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min.bowen\Repos\Sql-Queries\Projections\Trailing Revenue\"/>
    </mc:Choice>
  </mc:AlternateContent>
  <xr:revisionPtr revIDLastSave="0" documentId="13_ncr:1_{AAE9CC41-F9BE-4CD1-91EA-439CAB558D61}" xr6:coauthVersionLast="47" xr6:coauthVersionMax="47" xr10:uidLastSave="{00000000-0000-0000-0000-000000000000}"/>
  <bookViews>
    <workbookView xWindow="-28920" yWindow="-120" windowWidth="29040" windowHeight="15990" xr2:uid="{B91EBC67-3E86-4AD6-8FF2-400D7AA6F807}"/>
  </bookViews>
  <sheets>
    <sheet name="Trailing Revenue Annual Excel C" sheetId="1" r:id="rId1"/>
    <sheet name="Historical" sheetId="2" r:id="rId2"/>
    <sheet name="Projected 2024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5" i="1" l="1"/>
  <c r="P8" i="1"/>
  <c r="O9" i="1"/>
  <c r="O8" i="1"/>
  <c r="O35" i="1"/>
  <c r="I18" i="1"/>
  <c r="E20" i="2"/>
  <c r="L18" i="2"/>
  <c r="B27" i="2"/>
  <c r="B28" i="2"/>
  <c r="B29" i="2"/>
  <c r="B30" i="2"/>
  <c r="B31" i="2"/>
  <c r="B26" i="2"/>
  <c r="B3" i="3"/>
  <c r="I2" i="3"/>
  <c r="B2" i="3"/>
  <c r="K3" i="2"/>
  <c r="E18" i="2" s="1"/>
  <c r="K4" i="2"/>
  <c r="E19" i="2" s="1"/>
  <c r="K6" i="2"/>
  <c r="E21" i="2" s="1"/>
  <c r="K7" i="2"/>
  <c r="E22" i="2" s="1"/>
  <c r="K2" i="2"/>
  <c r="H7" i="2"/>
  <c r="C22" i="2" s="1"/>
  <c r="H6" i="2"/>
  <c r="G6" i="2"/>
  <c r="H5" i="2"/>
  <c r="G5" i="2"/>
  <c r="F5" i="2"/>
  <c r="H20" i="2" s="1"/>
  <c r="H4" i="2"/>
  <c r="G4" i="2"/>
  <c r="F4" i="2"/>
  <c r="E4" i="2"/>
  <c r="H3" i="2"/>
  <c r="G3" i="2"/>
  <c r="F3" i="2"/>
  <c r="E3" i="2"/>
  <c r="D3" i="2"/>
  <c r="H2" i="2"/>
  <c r="G2" i="2"/>
  <c r="F2" i="2"/>
  <c r="E2" i="2"/>
  <c r="D2" i="2"/>
  <c r="C2" i="2"/>
  <c r="B3" i="2"/>
  <c r="J3" i="2" s="1"/>
  <c r="B4" i="2"/>
  <c r="J4" i="2" s="1"/>
  <c r="B5" i="2"/>
  <c r="J5" i="2" s="1"/>
  <c r="B6" i="2"/>
  <c r="J6" i="2" s="1"/>
  <c r="B7" i="2"/>
  <c r="J7" i="2" s="1"/>
  <c r="B2" i="2"/>
  <c r="J2" i="2" s="1"/>
  <c r="B25" i="1"/>
  <c r="L17" i="1"/>
  <c r="J17" i="1"/>
  <c r="J24" i="1" s="1"/>
  <c r="H17" i="1"/>
  <c r="F17" i="1"/>
  <c r="B18" i="1"/>
  <c r="C18" i="1"/>
  <c r="D18" i="1"/>
  <c r="E18" i="1"/>
  <c r="F18" i="1"/>
  <c r="F24" i="1" s="1"/>
  <c r="G18" i="1"/>
  <c r="H18" i="1"/>
  <c r="H24" i="1" s="1"/>
  <c r="J18" i="1"/>
  <c r="B19" i="1"/>
  <c r="C19" i="1"/>
  <c r="D19" i="1"/>
  <c r="D24" i="1" s="1"/>
  <c r="E19" i="1"/>
  <c r="F19" i="1"/>
  <c r="G19" i="1"/>
  <c r="H19" i="1"/>
  <c r="B20" i="1"/>
  <c r="C20" i="1"/>
  <c r="D20" i="1"/>
  <c r="E20" i="1"/>
  <c r="F20" i="1"/>
  <c r="B21" i="1"/>
  <c r="C21" i="1"/>
  <c r="D21" i="1"/>
  <c r="K17" i="1"/>
  <c r="I17" i="1"/>
  <c r="G17" i="1"/>
  <c r="E17" i="1"/>
  <c r="D17" i="1"/>
  <c r="C17" i="1"/>
  <c r="B17" i="1"/>
  <c r="B11" i="1"/>
  <c r="B12" i="1"/>
  <c r="B13" i="1"/>
  <c r="B14" i="1"/>
  <c r="B10" i="1"/>
  <c r="D14" i="1"/>
  <c r="D13" i="1"/>
  <c r="D12" i="1"/>
  <c r="D11" i="1"/>
  <c r="C14" i="1"/>
  <c r="C13" i="1"/>
  <c r="E13" i="1"/>
  <c r="F13" i="1"/>
  <c r="C12" i="1"/>
  <c r="E12" i="1"/>
  <c r="F12" i="1"/>
  <c r="G12" i="1"/>
  <c r="H12" i="1"/>
  <c r="C11" i="1"/>
  <c r="E11" i="1"/>
  <c r="F11" i="1"/>
  <c r="G11" i="1"/>
  <c r="H11" i="1"/>
  <c r="I11" i="1"/>
  <c r="J11" i="1"/>
  <c r="K10" i="1"/>
  <c r="I10" i="1"/>
  <c r="G10" i="1"/>
  <c r="E10" i="1"/>
  <c r="C10" i="1"/>
  <c r="L10" i="1"/>
  <c r="J10" i="1"/>
  <c r="H10" i="1"/>
  <c r="F10" i="1"/>
  <c r="D10" i="1"/>
  <c r="C21" i="2" l="1"/>
  <c r="F21" i="2" s="1"/>
  <c r="H19" i="2"/>
  <c r="K16" i="2"/>
  <c r="H21" i="2"/>
  <c r="C19" i="2"/>
  <c r="G19" i="2" s="1"/>
  <c r="H23" i="2"/>
  <c r="C20" i="2"/>
  <c r="G20" i="2" s="1"/>
  <c r="K17" i="2"/>
  <c r="K18" i="2"/>
  <c r="J8" i="2"/>
  <c r="C17" i="2"/>
  <c r="C8" i="2"/>
  <c r="C26" i="2" s="1"/>
  <c r="L17" i="2"/>
  <c r="L16" i="2"/>
  <c r="E17" i="2"/>
  <c r="E23" i="2" s="1"/>
  <c r="H18" i="2"/>
  <c r="G22" i="2"/>
  <c r="F22" i="2"/>
  <c r="D8" i="2"/>
  <c r="C27" i="2" s="1"/>
  <c r="I2" i="2"/>
  <c r="I7" i="2"/>
  <c r="L7" i="2" s="1"/>
  <c r="C18" i="2"/>
  <c r="H22" i="2"/>
  <c r="I6" i="2"/>
  <c r="L6" i="2" s="1"/>
  <c r="I5" i="2"/>
  <c r="L5" i="2" s="1"/>
  <c r="I4" i="2"/>
  <c r="L4" i="2" s="1"/>
  <c r="H17" i="2"/>
  <c r="I3" i="2"/>
  <c r="L3" i="2" s="1"/>
  <c r="E8" i="2"/>
  <c r="C28" i="2" s="1"/>
  <c r="F8" i="2"/>
  <c r="C29" i="2" s="1"/>
  <c r="G8" i="2"/>
  <c r="C30" i="2" s="1"/>
  <c r="H8" i="2"/>
  <c r="C31" i="2" s="1"/>
  <c r="C25" i="1"/>
  <c r="D25" i="1" s="1"/>
  <c r="C2" i="3" s="1"/>
  <c r="C3" i="3"/>
  <c r="B4" i="3"/>
  <c r="G21" i="2" l="1"/>
  <c r="F20" i="2"/>
  <c r="E25" i="1"/>
  <c r="G25" i="1" s="1"/>
  <c r="G17" i="2"/>
  <c r="M16" i="2"/>
  <c r="F19" i="2"/>
  <c r="O17" i="2"/>
  <c r="C23" i="2"/>
  <c r="G23" i="2" s="1"/>
  <c r="P16" i="2"/>
  <c r="N16" i="2"/>
  <c r="M18" i="2"/>
  <c r="F17" i="2"/>
  <c r="M17" i="2"/>
  <c r="O16" i="2"/>
  <c r="P17" i="2"/>
  <c r="N17" i="2"/>
  <c r="I8" i="2"/>
  <c r="K8" i="2" s="1"/>
  <c r="I9" i="2"/>
  <c r="L2" i="2"/>
  <c r="C32" i="2"/>
  <c r="G18" i="2"/>
  <c r="F18" i="2"/>
  <c r="D3" i="3"/>
  <c r="C4" i="3"/>
  <c r="F25" i="1" l="1"/>
  <c r="D2" i="3" s="1"/>
  <c r="D4" i="3" s="1"/>
  <c r="F23" i="2"/>
  <c r="E3" i="3"/>
  <c r="I25" i="1"/>
  <c r="H25" i="1"/>
  <c r="E2" i="3" s="1"/>
  <c r="F3" i="3" l="1"/>
  <c r="E4" i="3"/>
  <c r="J25" i="1"/>
  <c r="F2" i="3" s="1"/>
  <c r="K25" i="1"/>
  <c r="L25" i="1" s="1"/>
  <c r="G2" i="3" s="1"/>
  <c r="H2" i="3" l="1"/>
  <c r="F4" i="3"/>
  <c r="G3" i="3"/>
  <c r="G4" i="3" s="1"/>
  <c r="I4" i="3" l="1"/>
  <c r="H3" i="3"/>
  <c r="H4" i="3"/>
</calcChain>
</file>

<file path=xl/sharedStrings.xml><?xml version="1.0" encoding="utf-8"?>
<sst xmlns="http://schemas.openxmlformats.org/spreadsheetml/2006/main" count="73" uniqueCount="49">
  <si>
    <t>Year</t>
  </si>
  <si>
    <t>Spend</t>
  </si>
  <si>
    <t>SubsOrigin</t>
  </si>
  <si>
    <t>CVOrigin</t>
  </si>
  <si>
    <t>SubsAfterY1</t>
  </si>
  <si>
    <t>CVAfterY1</t>
  </si>
  <si>
    <t>SubsAfterY2</t>
  </si>
  <si>
    <t>CVAfterY2</t>
  </si>
  <si>
    <t>SubsAfterY3</t>
  </si>
  <si>
    <t>CVAfterY3</t>
  </si>
  <si>
    <t>SubsAfterY4</t>
  </si>
  <si>
    <t>CVAfterY4</t>
  </si>
  <si>
    <t>SubsAfterY5</t>
  </si>
  <si>
    <t>CVAfterY5</t>
  </si>
  <si>
    <t>TotalEarned</t>
  </si>
  <si>
    <t>EarnedAFTEROrigin</t>
  </si>
  <si>
    <t>Subs retention</t>
  </si>
  <si>
    <t>Subs YOY Retention</t>
  </si>
  <si>
    <t>Year Started</t>
  </si>
  <si>
    <t>Subs YOY retention projection</t>
  </si>
  <si>
    <t>2025 / 2024</t>
  </si>
  <si>
    <t>2026 / 2025</t>
  </si>
  <si>
    <t>2027 / 2026</t>
  </si>
  <si>
    <t>2028 / 2027</t>
  </si>
  <si>
    <t>2029 / 2028</t>
  </si>
  <si>
    <t>No- Spend Revenue</t>
  </si>
  <si>
    <t>Projected 2024</t>
  </si>
  <si>
    <t>Year Sub Started</t>
  </si>
  <si>
    <t>CV earned</t>
  </si>
  <si>
    <t>Sum For the Year</t>
  </si>
  <si>
    <t>If we stopped campaigns right now.</t>
  </si>
  <si>
    <t>If we hit our projections</t>
  </si>
  <si>
    <t>Loss</t>
  </si>
  <si>
    <t>Sum</t>
  </si>
  <si>
    <t>Total</t>
  </si>
  <si>
    <t>overall</t>
  </si>
  <si>
    <t>Money made to date</t>
  </si>
  <si>
    <t>Year started</t>
  </si>
  <si>
    <t xml:space="preserve">Total Money made </t>
  </si>
  <si>
    <t>Money Made per dollar spent</t>
  </si>
  <si>
    <t>Money made per dollar spent in the First Year</t>
  </si>
  <si>
    <t>Money made per dollar spent</t>
  </si>
  <si>
    <t>Difference (22 - 20)</t>
  </si>
  <si>
    <t>Difference (21 - 20)</t>
  </si>
  <si>
    <t>Four-year comparison (Projection)</t>
  </si>
  <si>
    <t>Difference (22 - 21)</t>
  </si>
  <si>
    <t># Why did 2023 make less than 2020? A: Because 2020 grew over 4 years</t>
  </si>
  <si>
    <t>Years of Accruement</t>
  </si>
  <si>
    <t>ROI 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</si>
</sst>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5">
    <xf numFmtId="0" fontId="0" fillId="0" borderId="0" xfId="0"/>
    <xf numFmtId="44" fontId="0" fillId="0" borderId="0" xfId="2" applyFont="1"/>
    <xf numFmtId="164" fontId="0" fillId="0" borderId="0" xfId="1" applyNumberFormat="1" applyFont="1"/>
    <xf numFmtId="10" fontId="0" fillId="0" borderId="0" xfId="2" applyNumberFormat="1" applyFont="1"/>
    <xf numFmtId="9" fontId="0" fillId="0" borderId="0" xfId="3" applyFont="1"/>
    <xf numFmtId="10" fontId="0" fillId="0" borderId="0" xfId="3" applyNumberFormat="1" applyFont="1"/>
    <xf numFmtId="0" fontId="0" fillId="0" borderId="0" xfId="2" applyNumberFormat="1" applyFont="1"/>
    <xf numFmtId="0" fontId="0" fillId="0" borderId="0" xfId="3" applyNumberFormat="1" applyFont="1"/>
    <xf numFmtId="44" fontId="0" fillId="0" borderId="0" xfId="0" applyNumberFormat="1"/>
    <xf numFmtId="0" fontId="0" fillId="0" borderId="10" xfId="0" applyBorder="1"/>
    <xf numFmtId="44" fontId="0" fillId="0" borderId="11" xfId="0" applyNumberFormat="1" applyBorder="1"/>
    <xf numFmtId="0" fontId="0" fillId="0" borderId="13" xfId="0" applyBorder="1"/>
    <xf numFmtId="44" fontId="0" fillId="0" borderId="14" xfId="0" applyNumberFormat="1" applyBorder="1"/>
    <xf numFmtId="0" fontId="0" fillId="0" borderId="15" xfId="0" applyBorder="1"/>
    <xf numFmtId="0" fontId="0" fillId="0" borderId="16" xfId="0" applyBorder="1"/>
    <xf numFmtId="44" fontId="0" fillId="0" borderId="17" xfId="0" applyNumberFormat="1" applyBorder="1"/>
    <xf numFmtId="0" fontId="0" fillId="0" borderId="11" xfId="0" applyBorder="1"/>
    <xf numFmtId="0" fontId="0" fillId="0" borderId="12" xfId="0" applyBorder="1"/>
    <xf numFmtId="0" fontId="0" fillId="0" borderId="18" xfId="0" applyBorder="1"/>
    <xf numFmtId="44" fontId="0" fillId="0" borderId="18" xfId="0" applyNumberFormat="1" applyBorder="1"/>
    <xf numFmtId="44" fontId="0" fillId="0" borderId="19" xfId="0" applyNumberFormat="1" applyBorder="1"/>
    <xf numFmtId="44" fontId="0" fillId="0" borderId="13" xfId="2" applyFont="1" applyFill="1" applyBorder="1"/>
    <xf numFmtId="0" fontId="0" fillId="0" borderId="0" xfId="0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0" fillId="0" borderId="0" xfId="2" applyFont="1" applyBorder="1"/>
    <xf numFmtId="44" fontId="18" fillId="33" borderId="0" xfId="0" applyNumberFormat="1" applyFont="1" applyFill="1"/>
    <xf numFmtId="44" fontId="0" fillId="33" borderId="0" xfId="0" applyNumberFormat="1" applyFill="1"/>
    <xf numFmtId="44" fontId="0" fillId="33" borderId="0" xfId="2" applyFont="1" applyFill="1"/>
    <xf numFmtId="44" fontId="18" fillId="0" borderId="0" xfId="0" applyNumberFormat="1" applyFont="1"/>
    <xf numFmtId="0" fontId="0" fillId="33" borderId="0" xfId="0" applyFill="1"/>
    <xf numFmtId="0" fontId="18" fillId="33" borderId="0" xfId="0" applyFont="1" applyFill="1"/>
    <xf numFmtId="0" fontId="18" fillId="0" borderId="0" xfId="0" applyFont="1"/>
    <xf numFmtId="44" fontId="16" fillId="0" borderId="11" xfId="0" applyNumberFormat="1" applyFont="1" applyBorder="1"/>
    <xf numFmtId="44" fontId="16" fillId="33" borderId="0" xfId="0" applyNumberFormat="1" applyFont="1" applyFill="1"/>
    <xf numFmtId="44" fontId="16" fillId="0" borderId="0" xfId="0" applyNumberFormat="1" applyFont="1"/>
    <xf numFmtId="44" fontId="16" fillId="0" borderId="16" xfId="0" applyNumberFormat="1" applyFont="1" applyBorder="1"/>
    <xf numFmtId="0" fontId="0" fillId="0" borderId="0" xfId="0" applyAlignment="1">
      <alignment vertical="center" wrapText="1"/>
    </xf>
    <xf numFmtId="164" fontId="0" fillId="34" borderId="0" xfId="1" applyNumberFormat="1" applyFont="1" applyFill="1"/>
    <xf numFmtId="9" fontId="0" fillId="34" borderId="0" xfId="3" applyFont="1" applyFill="1"/>
    <xf numFmtId="0" fontId="0" fillId="0" borderId="0" xfId="0" applyAlignment="1">
      <alignment horizontal="center" vertical="center" textRotation="90"/>
    </xf>
    <xf numFmtId="0" fontId="0" fillId="0" borderId="13" xfId="0" applyBorder="1" applyAlignment="1">
      <alignment horizontal="center" vertical="center" textRotation="90"/>
    </xf>
    <xf numFmtId="0" fontId="0" fillId="0" borderId="15" xfId="0" applyBorder="1" applyAlignment="1">
      <alignment horizontal="center" vertical="center" textRotation="90"/>
    </xf>
    <xf numFmtId="44" fontId="0" fillId="0" borderId="0" xfId="2" applyFont="1" applyAlignment="1">
      <alignment vertical="center" wrapText="1"/>
    </xf>
    <xf numFmtId="164" fontId="0" fillId="0" borderId="0" xfId="1" applyNumberFormat="1" applyFont="1" applyAlignment="1">
      <alignment vertical="center" wrapText="1"/>
    </xf>
    <xf numFmtId="44" fontId="0" fillId="0" borderId="0" xfId="0" applyNumberFormat="1" applyAlignment="1">
      <alignment vertical="center" wrapText="1"/>
    </xf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D42DC-0D07-422C-B941-EEAC50D5389F}">
  <dimension ref="A1:P38"/>
  <sheetViews>
    <sheetView tabSelected="1" topLeftCell="A4" workbookViewId="0">
      <selection activeCell="P35" sqref="P35"/>
    </sheetView>
  </sheetViews>
  <sheetFormatPr defaultRowHeight="15" x14ac:dyDescent="0.25"/>
  <cols>
    <col min="1" max="1" width="18.140625" bestFit="1" customWidth="1"/>
    <col min="2" max="2" width="15.28515625" style="1" bestFit="1" customWidth="1"/>
    <col min="3" max="3" width="12.5703125" style="2" bestFit="1" customWidth="1"/>
    <col min="4" max="4" width="15.28515625" style="1" bestFit="1" customWidth="1"/>
    <col min="5" max="5" width="12.5703125" style="2" bestFit="1" customWidth="1"/>
    <col min="6" max="6" width="15.28515625" style="1" bestFit="1" customWidth="1"/>
    <col min="7" max="7" width="11.5703125" style="2" bestFit="1" customWidth="1"/>
    <col min="8" max="8" width="14.28515625" style="1" bestFit="1" customWidth="1"/>
    <col min="9" max="9" width="11.5703125" style="2" bestFit="1" customWidth="1"/>
    <col min="10" max="10" width="14.28515625" style="1" bestFit="1" customWidth="1"/>
    <col min="11" max="11" width="11.5703125" style="2" bestFit="1" customWidth="1"/>
    <col min="12" max="12" width="14.28515625" style="1" bestFit="1" customWidth="1"/>
    <col min="13" max="13" width="12.7109375" style="2" bestFit="1" customWidth="1"/>
    <col min="14" max="14" width="12.5703125" style="1" bestFit="1" customWidth="1"/>
    <col min="15" max="15" width="16.28515625" style="1" bestFit="1" customWidth="1"/>
    <col min="16" max="16" width="19.5703125" style="1" bestFit="1" customWidth="1"/>
  </cols>
  <sheetData>
    <row r="1" spans="1:16" x14ac:dyDescent="0.25">
      <c r="A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2019</v>
      </c>
      <c r="B2" s="1">
        <v>339813.29</v>
      </c>
      <c r="C2" s="2">
        <v>2949</v>
      </c>
      <c r="D2" s="1">
        <v>2155534.5299999998</v>
      </c>
      <c r="E2" s="2">
        <v>1963</v>
      </c>
      <c r="F2" s="1">
        <v>1488126.41</v>
      </c>
      <c r="G2" s="2">
        <v>1341</v>
      </c>
      <c r="H2" s="1">
        <v>1077743.32</v>
      </c>
      <c r="I2" s="2">
        <v>998</v>
      </c>
      <c r="J2" s="1">
        <v>822640.18</v>
      </c>
      <c r="K2" s="2">
        <v>749</v>
      </c>
      <c r="L2" s="1">
        <v>620262.92000000004</v>
      </c>
      <c r="M2" s="2">
        <v>594</v>
      </c>
      <c r="N2" s="1">
        <v>489142.3</v>
      </c>
      <c r="O2" s="1">
        <v>6653449.6600000001</v>
      </c>
      <c r="P2" s="1">
        <v>4497915.13</v>
      </c>
    </row>
    <row r="3" spans="1:16" x14ac:dyDescent="0.25">
      <c r="A3">
        <v>2020</v>
      </c>
      <c r="B3" s="1">
        <v>2268311.84</v>
      </c>
      <c r="C3" s="2">
        <v>14136</v>
      </c>
      <c r="D3" s="1">
        <v>10699961.75</v>
      </c>
      <c r="E3" s="2">
        <v>8667</v>
      </c>
      <c r="F3" s="1">
        <v>6934029.8300000001</v>
      </c>
      <c r="G3" s="2">
        <v>5368</v>
      </c>
      <c r="H3" s="1">
        <v>4450942.8499999996</v>
      </c>
      <c r="I3" s="2">
        <v>3870</v>
      </c>
      <c r="J3" s="1">
        <v>3232494.62</v>
      </c>
      <c r="K3" s="2">
        <v>3102</v>
      </c>
      <c r="L3" s="1">
        <v>2562957.3199999998</v>
      </c>
      <c r="M3" s="2">
        <v>0</v>
      </c>
      <c r="N3" s="1">
        <v>0</v>
      </c>
      <c r="O3" s="1">
        <v>27880386.370000001</v>
      </c>
      <c r="P3" s="1">
        <v>17180424.620000001</v>
      </c>
    </row>
    <row r="4" spans="1:16" x14ac:dyDescent="0.25">
      <c r="A4">
        <v>2021</v>
      </c>
      <c r="B4" s="1">
        <v>1647249.32</v>
      </c>
      <c r="C4" s="2">
        <v>13998</v>
      </c>
      <c r="D4" s="1">
        <v>10360547.689999999</v>
      </c>
      <c r="E4" s="2">
        <v>7944</v>
      </c>
      <c r="F4" s="1">
        <v>6541163.8099999996</v>
      </c>
      <c r="G4" s="2">
        <v>5370</v>
      </c>
      <c r="H4" s="1">
        <v>4583919.49</v>
      </c>
      <c r="I4" s="2">
        <v>4210</v>
      </c>
      <c r="J4" s="1">
        <v>3609334.62</v>
      </c>
      <c r="K4" s="2">
        <v>0</v>
      </c>
      <c r="L4" s="1">
        <v>0</v>
      </c>
      <c r="M4" s="2">
        <v>0</v>
      </c>
      <c r="N4" s="1">
        <v>0</v>
      </c>
      <c r="O4" s="1">
        <v>25094965.609999999</v>
      </c>
      <c r="P4" s="1">
        <v>14734417.92</v>
      </c>
    </row>
    <row r="5" spans="1:16" x14ac:dyDescent="0.25">
      <c r="A5">
        <v>2022</v>
      </c>
      <c r="B5" s="1">
        <v>4000000</v>
      </c>
      <c r="C5" s="2">
        <v>17479</v>
      </c>
      <c r="D5" s="1">
        <v>14376261.27</v>
      </c>
      <c r="E5" s="2">
        <v>10635</v>
      </c>
      <c r="F5" s="1">
        <v>8916576.2899999991</v>
      </c>
      <c r="G5" s="2">
        <v>7620</v>
      </c>
      <c r="H5" s="1">
        <v>6404533.71</v>
      </c>
      <c r="I5" s="2">
        <v>0</v>
      </c>
      <c r="J5" s="1">
        <v>0</v>
      </c>
      <c r="K5" s="2">
        <v>0</v>
      </c>
      <c r="L5" s="1">
        <v>0</v>
      </c>
      <c r="M5" s="2">
        <v>0</v>
      </c>
      <c r="N5" s="1">
        <v>0</v>
      </c>
      <c r="O5" s="1">
        <v>29697371.27</v>
      </c>
      <c r="P5" s="1">
        <v>15321110</v>
      </c>
    </row>
    <row r="6" spans="1:16" x14ac:dyDescent="0.25">
      <c r="A6">
        <v>2023</v>
      </c>
      <c r="B6" s="1">
        <v>5548772.5700000003</v>
      </c>
      <c r="C6" s="2">
        <v>20474</v>
      </c>
      <c r="D6" s="1">
        <v>16798279.48</v>
      </c>
      <c r="E6" s="2">
        <v>13468</v>
      </c>
      <c r="F6" s="1">
        <v>11263854.4</v>
      </c>
      <c r="G6" s="2">
        <v>0</v>
      </c>
      <c r="H6" s="1">
        <v>0</v>
      </c>
      <c r="I6" s="2">
        <v>0</v>
      </c>
      <c r="J6" s="1">
        <v>0</v>
      </c>
      <c r="K6" s="2">
        <v>0</v>
      </c>
      <c r="L6" s="1">
        <v>0</v>
      </c>
      <c r="M6" s="2">
        <v>0</v>
      </c>
      <c r="N6" s="1">
        <v>0</v>
      </c>
      <c r="O6" s="1">
        <v>28062133.879999999</v>
      </c>
      <c r="P6" s="1">
        <v>11263854.4</v>
      </c>
    </row>
    <row r="7" spans="1:16" x14ac:dyDescent="0.25">
      <c r="A7">
        <v>2024</v>
      </c>
      <c r="B7" s="1">
        <v>4561046.79</v>
      </c>
      <c r="C7" s="2">
        <v>18912</v>
      </c>
      <c r="D7" s="1">
        <v>16201067.699999999</v>
      </c>
      <c r="E7" s="2">
        <v>0</v>
      </c>
      <c r="F7" s="1">
        <v>0</v>
      </c>
      <c r="G7" s="2">
        <v>0</v>
      </c>
      <c r="H7" s="1">
        <v>0</v>
      </c>
      <c r="I7" s="2">
        <v>0</v>
      </c>
      <c r="J7" s="1">
        <v>0</v>
      </c>
      <c r="K7" s="2">
        <v>0</v>
      </c>
      <c r="L7" s="1">
        <v>0</v>
      </c>
      <c r="M7" s="2">
        <v>0</v>
      </c>
      <c r="N7" s="1">
        <v>0</v>
      </c>
      <c r="O7" s="1">
        <v>16201067.699999999</v>
      </c>
      <c r="P7" s="1">
        <v>0</v>
      </c>
    </row>
    <row r="8" spans="1:16" x14ac:dyDescent="0.25">
      <c r="O8" s="1">
        <f>SUM(O2:O7)</f>
        <v>133589374.48999999</v>
      </c>
      <c r="P8" s="1">
        <f>SUM(P2:P7)</f>
        <v>62997722.07</v>
      </c>
    </row>
    <row r="9" spans="1:16" x14ac:dyDescent="0.25">
      <c r="B9" s="2" t="s">
        <v>16</v>
      </c>
      <c r="O9" s="1">
        <f>O8-O35</f>
        <v>13375353.779999986</v>
      </c>
    </row>
    <row r="10" spans="1:16" x14ac:dyDescent="0.25">
      <c r="A10" s="39" t="s">
        <v>18</v>
      </c>
      <c r="B10" s="6">
        <f>+A2</f>
        <v>2019</v>
      </c>
      <c r="C10" s="37" t="str">
        <f>CONCATENATE(A3, " / ", A2)</f>
        <v>2020 / 2019</v>
      </c>
      <c r="D10" s="3">
        <f>E2/C2</f>
        <v>0.66564937266870128</v>
      </c>
      <c r="E10" s="37" t="str">
        <f>CONCATENATE(A4, " / ", A2)</f>
        <v>2021 / 2019</v>
      </c>
      <c r="F10" s="5">
        <f>G2/C2</f>
        <v>0.45473041709053919</v>
      </c>
      <c r="G10" s="37" t="str">
        <f>CONCATENATE(A5, " / ", A2)</f>
        <v>2022 / 2019</v>
      </c>
      <c r="H10" s="5">
        <f>I2/C2</f>
        <v>0.33841980332316041</v>
      </c>
      <c r="I10" s="37" t="str">
        <f>CONCATENATE(A6, " / ", A2)</f>
        <v>2023 / 2019</v>
      </c>
      <c r="J10" s="5">
        <f>K2/C2</f>
        <v>0.25398440149203122</v>
      </c>
      <c r="K10" s="37" t="str">
        <f>CONCATENATE(A7, " / ", A2)</f>
        <v>2024 / 2019</v>
      </c>
      <c r="L10" s="5">
        <f>M2/C2</f>
        <v>0.20142421159715157</v>
      </c>
    </row>
    <row r="11" spans="1:16" x14ac:dyDescent="0.25">
      <c r="A11" s="39"/>
      <c r="B11" s="6">
        <f t="shared" ref="B11:B14" si="0">+A3</f>
        <v>2020</v>
      </c>
      <c r="C11" s="37" t="str">
        <f>CONCATENATE(A4, " / ", A3)</f>
        <v>2021 / 2020</v>
      </c>
      <c r="D11" s="3">
        <f>E3/C3</f>
        <v>0.61311544991511036</v>
      </c>
      <c r="E11" s="37" t="str">
        <f>CONCATENATE(A5, " / ", A3)</f>
        <v>2022 / 2020</v>
      </c>
      <c r="F11" s="5">
        <f>G3/C3</f>
        <v>0.37973967176004525</v>
      </c>
      <c r="G11" s="37" t="str">
        <f>CONCATENATE(A6, " / ", A3)</f>
        <v>2023 / 2020</v>
      </c>
      <c r="H11" s="5">
        <f>I3/C3</f>
        <v>0.27376910016977929</v>
      </c>
      <c r="I11" s="37" t="str">
        <f>CONCATENATE(A7, " / ", A3)</f>
        <v>2024 / 2020</v>
      </c>
      <c r="J11" s="5">
        <f>K3/C3</f>
        <v>0.21943972835314091</v>
      </c>
    </row>
    <row r="12" spans="1:16" x14ac:dyDescent="0.25">
      <c r="A12" s="39"/>
      <c r="B12" s="6">
        <f t="shared" si="0"/>
        <v>2021</v>
      </c>
      <c r="C12" s="37" t="str">
        <f>CONCATENATE(A5, " / ", A4)</f>
        <v>2022 / 2021</v>
      </c>
      <c r="D12" s="3">
        <f>E4/C4</f>
        <v>0.5675096442348907</v>
      </c>
      <c r="E12" s="37" t="str">
        <f>CONCATENATE(A6, " / ", A4)</f>
        <v>2023 / 2021</v>
      </c>
      <c r="F12" s="5">
        <f>G4/C4</f>
        <v>0.38362623231890269</v>
      </c>
      <c r="G12" s="37" t="str">
        <f>CONCATENATE(A7, " / ", A4)</f>
        <v>2024 / 2021</v>
      </c>
      <c r="H12" s="5">
        <f>I4/C4</f>
        <v>0.30075725103586226</v>
      </c>
    </row>
    <row r="13" spans="1:16" x14ac:dyDescent="0.25">
      <c r="A13" s="39"/>
      <c r="B13" s="6">
        <f t="shared" si="0"/>
        <v>2022</v>
      </c>
      <c r="C13" s="37" t="str">
        <f>CONCATENATE(A6, " / ", A5)</f>
        <v>2023 / 2022</v>
      </c>
      <c r="D13" s="3">
        <f>E5/C5</f>
        <v>0.60844441901710622</v>
      </c>
      <c r="E13" s="37" t="str">
        <f>CONCATENATE(A7, " / ", A5)</f>
        <v>2024 / 2022</v>
      </c>
      <c r="F13" s="5">
        <f>G5/C5</f>
        <v>0.43595171348475314</v>
      </c>
    </row>
    <row r="14" spans="1:16" x14ac:dyDescent="0.25">
      <c r="A14" s="39"/>
      <c r="B14" s="6">
        <f t="shared" si="0"/>
        <v>2023</v>
      </c>
      <c r="C14" s="37" t="str">
        <f>CONCATENATE(A7, " / ", A6)</f>
        <v>2024 / 2023</v>
      </c>
      <c r="D14" s="3">
        <f>E6/C6</f>
        <v>0.6578099052456774</v>
      </c>
    </row>
    <row r="16" spans="1:16" x14ac:dyDescent="0.25">
      <c r="B16" s="1" t="s">
        <v>17</v>
      </c>
    </row>
    <row r="17" spans="1:16" x14ac:dyDescent="0.25">
      <c r="A17" s="39" t="s">
        <v>18</v>
      </c>
      <c r="B17" s="6">
        <f>+A2</f>
        <v>2019</v>
      </c>
      <c r="C17" s="37" t="str">
        <f>_xlfn.CONCAT(A3," / ",A2)</f>
        <v>2020 / 2019</v>
      </c>
      <c r="D17" s="5">
        <f>E2/C2</f>
        <v>0.66564937266870128</v>
      </c>
      <c r="E17" s="37" t="str">
        <f>_xlfn.CONCAT(A4, " / ",A3)</f>
        <v>2021 / 2020</v>
      </c>
      <c r="F17" s="5">
        <f>G2/E2</f>
        <v>0.6831380539989812</v>
      </c>
      <c r="G17" s="37" t="str">
        <f>_xlfn.CONCAT(A5," / ",A4)</f>
        <v>2022 / 2021</v>
      </c>
      <c r="H17" s="5">
        <f>I2/G2</f>
        <v>0.74422073079791196</v>
      </c>
      <c r="I17" s="37" t="str">
        <f>_xlfn.CONCAT(A6, " / ",A5)</f>
        <v>2023 / 2022</v>
      </c>
      <c r="J17" s="5">
        <f>K2/I2</f>
        <v>0.75050100200400804</v>
      </c>
      <c r="K17" s="37" t="str">
        <f>_xlfn.CONCAT(A7, " / ", A6)</f>
        <v>2024 / 2023</v>
      </c>
      <c r="L17" s="5">
        <f>M2/K2</f>
        <v>0.79305740987983975</v>
      </c>
    </row>
    <row r="18" spans="1:16" x14ac:dyDescent="0.25">
      <c r="A18" s="39"/>
      <c r="B18" s="6">
        <f t="shared" ref="B18:B21" si="1">+A3</f>
        <v>2020</v>
      </c>
      <c r="C18" s="37" t="str">
        <f t="shared" ref="C18:C21" si="2">_xlfn.CONCAT(A4," / ",A3)</f>
        <v>2021 / 2020</v>
      </c>
      <c r="D18" s="5">
        <f t="shared" ref="D18:D21" si="3">E3/C3</f>
        <v>0.61311544991511036</v>
      </c>
      <c r="E18" s="37" t="str">
        <f t="shared" ref="E18:E20" si="4">_xlfn.CONCAT(A5, " / ",A4)</f>
        <v>2022 / 2021</v>
      </c>
      <c r="F18" s="5">
        <f t="shared" ref="F18:F20" si="5">G3/E3</f>
        <v>0.61936079381562248</v>
      </c>
      <c r="G18" s="37" t="str">
        <f t="shared" ref="G18:G19" si="6">_xlfn.CONCAT(A6," / ",A5)</f>
        <v>2023 / 2022</v>
      </c>
      <c r="H18" s="5">
        <f t="shared" ref="H18:H19" si="7">I3/G3</f>
        <v>0.72093889716840531</v>
      </c>
      <c r="I18" s="37" t="str">
        <f t="shared" ref="I18" si="8">_xlfn.CONCAT(A7, " / ",A6)</f>
        <v>2024 / 2023</v>
      </c>
      <c r="J18" s="5">
        <f t="shared" ref="J18" si="9">K3/I3</f>
        <v>0.80155038759689923</v>
      </c>
      <c r="L18" s="5"/>
    </row>
    <row r="19" spans="1:16" x14ac:dyDescent="0.25">
      <c r="A19" s="39"/>
      <c r="B19" s="6">
        <f t="shared" si="1"/>
        <v>2021</v>
      </c>
      <c r="C19" s="37" t="str">
        <f t="shared" si="2"/>
        <v>2022 / 2021</v>
      </c>
      <c r="D19" s="5">
        <f t="shared" si="3"/>
        <v>0.5675096442348907</v>
      </c>
      <c r="E19" s="37" t="str">
        <f t="shared" si="4"/>
        <v>2023 / 2022</v>
      </c>
      <c r="F19" s="5">
        <f t="shared" si="5"/>
        <v>0.67598187311178248</v>
      </c>
      <c r="G19" s="37" t="str">
        <f t="shared" si="6"/>
        <v>2024 / 2023</v>
      </c>
      <c r="H19" s="5">
        <f t="shared" si="7"/>
        <v>0.78398510242085662</v>
      </c>
      <c r="J19" s="5"/>
      <c r="L19" s="5"/>
    </row>
    <row r="20" spans="1:16" x14ac:dyDescent="0.25">
      <c r="A20" s="39"/>
      <c r="B20" s="6">
        <f t="shared" si="1"/>
        <v>2022</v>
      </c>
      <c r="C20" s="37" t="str">
        <f t="shared" si="2"/>
        <v>2023 / 2022</v>
      </c>
      <c r="D20" s="5">
        <f t="shared" si="3"/>
        <v>0.60844441901710622</v>
      </c>
      <c r="E20" s="37" t="str">
        <f t="shared" si="4"/>
        <v>2024 / 2023</v>
      </c>
      <c r="F20" s="5">
        <f t="shared" si="5"/>
        <v>0.71650211565585331</v>
      </c>
      <c r="H20" s="5"/>
      <c r="J20" s="5"/>
      <c r="L20" s="5"/>
    </row>
    <row r="21" spans="1:16" x14ac:dyDescent="0.25">
      <c r="A21" s="39"/>
      <c r="B21" s="6">
        <f t="shared" si="1"/>
        <v>2023</v>
      </c>
      <c r="C21" s="37" t="str">
        <f t="shared" si="2"/>
        <v>2024 / 2023</v>
      </c>
      <c r="D21" s="5">
        <f t="shared" si="3"/>
        <v>0.6578099052456774</v>
      </c>
      <c r="F21" s="5"/>
      <c r="H21" s="5"/>
      <c r="J21" s="5"/>
      <c r="L21" s="5"/>
    </row>
    <row r="23" spans="1:16" x14ac:dyDescent="0.25">
      <c r="B23" s="1" t="s">
        <v>19</v>
      </c>
    </row>
    <row r="24" spans="1:16" s="4" customFormat="1" x14ac:dyDescent="0.25">
      <c r="A24" s="4" t="s">
        <v>0</v>
      </c>
      <c r="B24" s="7">
        <v>2024</v>
      </c>
      <c r="C24" s="38" t="s">
        <v>20</v>
      </c>
      <c r="D24" s="4">
        <f>+D19</f>
        <v>0.5675096442348907</v>
      </c>
      <c r="E24" s="38" t="s">
        <v>21</v>
      </c>
      <c r="F24" s="4">
        <f>+F18</f>
        <v>0.61936079381562248</v>
      </c>
      <c r="G24" s="38" t="s">
        <v>22</v>
      </c>
      <c r="H24" s="4">
        <f>+H18</f>
        <v>0.72093889716840531</v>
      </c>
      <c r="I24" s="38" t="s">
        <v>23</v>
      </c>
      <c r="J24" s="4">
        <f>+J17</f>
        <v>0.75050100200400804</v>
      </c>
      <c r="K24" s="38" t="s">
        <v>24</v>
      </c>
      <c r="L24" s="4">
        <v>0.78</v>
      </c>
    </row>
    <row r="25" spans="1:16" x14ac:dyDescent="0.25">
      <c r="A25" t="s">
        <v>25</v>
      </c>
      <c r="B25" s="1">
        <f>D7</f>
        <v>16201067.699999999</v>
      </c>
      <c r="C25" s="2">
        <f>C7*D24</f>
        <v>10732.742391770253</v>
      </c>
      <c r="D25" s="1">
        <f>+C25*($D$7/$C$7)</f>
        <v>9194262.1666523777</v>
      </c>
      <c r="E25" s="2">
        <f>C25*F24</f>
        <v>6647.4398475854059</v>
      </c>
      <c r="F25" s="1">
        <f>+E25*($D$7/$C$7)</f>
        <v>5694565.5140867615</v>
      </c>
      <c r="G25" s="2">
        <f>+E25*H24</f>
        <v>4792.3979527115353</v>
      </c>
      <c r="H25" s="1">
        <f>+G25*($D$7/$C$7)</f>
        <v>4105433.7815789431</v>
      </c>
      <c r="I25" s="2">
        <f>+G25*J24</f>
        <v>3596.6994655119638</v>
      </c>
      <c r="J25" s="1">
        <f>+I25*($D$7/$C$7)</f>
        <v>3081132.1667361008</v>
      </c>
      <c r="K25" s="2">
        <f>I25*L24</f>
        <v>2805.425583099332</v>
      </c>
      <c r="L25" s="1">
        <f>+K25*($D$7/$C$7)</f>
        <v>2403283.0900541586</v>
      </c>
    </row>
    <row r="26" spans="1:16" x14ac:dyDescent="0.25">
      <c r="A26" t="s">
        <v>26</v>
      </c>
    </row>
    <row r="28" spans="1:16" x14ac:dyDescent="0.25">
      <c r="A28" t="s">
        <v>0</v>
      </c>
      <c r="B28" s="1" t="s">
        <v>1</v>
      </c>
      <c r="C28" s="2" t="s">
        <v>2</v>
      </c>
      <c r="D28" s="1" t="s">
        <v>3</v>
      </c>
      <c r="E28" s="2" t="s">
        <v>4</v>
      </c>
      <c r="F28" s="1" t="s">
        <v>5</v>
      </c>
      <c r="G28" s="2" t="s">
        <v>6</v>
      </c>
      <c r="H28" s="1" t="s">
        <v>7</v>
      </c>
      <c r="I28" s="2" t="s">
        <v>8</v>
      </c>
      <c r="J28" s="1" t="s">
        <v>9</v>
      </c>
      <c r="K28" s="2" t="s">
        <v>10</v>
      </c>
      <c r="L28" s="1" t="s">
        <v>11</v>
      </c>
      <c r="M28" s="2" t="s">
        <v>12</v>
      </c>
      <c r="N28" s="1" t="s">
        <v>13</v>
      </c>
      <c r="O28" s="1" t="s">
        <v>14</v>
      </c>
      <c r="P28" s="1" t="s">
        <v>15</v>
      </c>
    </row>
    <row r="29" spans="1:16" x14ac:dyDescent="0.25">
      <c r="A29" s="36">
        <v>2019</v>
      </c>
      <c r="B29" s="42">
        <v>339813.29</v>
      </c>
      <c r="C29" s="43">
        <v>2952</v>
      </c>
      <c r="D29" s="42">
        <v>2158732.9900000002</v>
      </c>
      <c r="E29" s="43">
        <v>1965</v>
      </c>
      <c r="F29" s="42">
        <v>1149871.45</v>
      </c>
      <c r="G29" s="43">
        <v>1343</v>
      </c>
      <c r="H29" s="42">
        <v>849331.36</v>
      </c>
      <c r="I29" s="43">
        <v>1001</v>
      </c>
      <c r="J29" s="42">
        <v>661016.42000000004</v>
      </c>
      <c r="K29" s="43">
        <v>753</v>
      </c>
      <c r="L29" s="42">
        <v>501816.32000000001</v>
      </c>
      <c r="M29" s="43">
        <v>584</v>
      </c>
      <c r="N29" s="42">
        <v>386260.23</v>
      </c>
      <c r="O29" s="42">
        <v>5707028.7699999996</v>
      </c>
      <c r="P29" s="42">
        <v>3548295.78</v>
      </c>
    </row>
    <row r="30" spans="1:16" x14ac:dyDescent="0.25">
      <c r="A30" s="36">
        <v>2020</v>
      </c>
      <c r="B30" s="42">
        <v>2268311.84</v>
      </c>
      <c r="C30" s="43">
        <v>14138</v>
      </c>
      <c r="D30" s="42">
        <v>10705503.32</v>
      </c>
      <c r="E30" s="43">
        <v>8666</v>
      </c>
      <c r="F30" s="42">
        <v>5168807.5199999996</v>
      </c>
      <c r="G30" s="43">
        <v>5367</v>
      </c>
      <c r="H30" s="42">
        <v>3523366.78</v>
      </c>
      <c r="I30" s="43">
        <v>3873</v>
      </c>
      <c r="J30" s="42">
        <v>2561826.4</v>
      </c>
      <c r="K30" s="43">
        <v>3026</v>
      </c>
      <c r="L30" s="42">
        <v>1971839.74</v>
      </c>
      <c r="M30" s="43">
        <v>0</v>
      </c>
      <c r="N30" s="42">
        <v>0</v>
      </c>
      <c r="O30" s="42">
        <v>23931343.760000002</v>
      </c>
      <c r="P30" s="42">
        <v>13225840.439999999</v>
      </c>
    </row>
    <row r="31" spans="1:16" x14ac:dyDescent="0.25">
      <c r="A31" s="36">
        <v>2021</v>
      </c>
      <c r="B31" s="42">
        <v>1647249.32</v>
      </c>
      <c r="C31" s="43">
        <v>15256</v>
      </c>
      <c r="D31" s="42">
        <v>10718854</v>
      </c>
      <c r="E31" s="43">
        <v>7946</v>
      </c>
      <c r="F31" s="42">
        <v>4954534.82</v>
      </c>
      <c r="G31" s="43">
        <v>5380</v>
      </c>
      <c r="H31" s="42">
        <v>3512174.05</v>
      </c>
      <c r="I31" s="43">
        <v>4099</v>
      </c>
      <c r="J31" s="42">
        <v>2675377.67</v>
      </c>
      <c r="K31" s="43">
        <v>0</v>
      </c>
      <c r="L31" s="42">
        <v>0</v>
      </c>
      <c r="M31" s="43">
        <v>0</v>
      </c>
      <c r="N31" s="42">
        <v>0</v>
      </c>
      <c r="O31" s="42">
        <v>21860940.539999999</v>
      </c>
      <c r="P31" s="42">
        <v>11142086.539999999</v>
      </c>
    </row>
    <row r="32" spans="1:16" x14ac:dyDescent="0.25">
      <c r="A32" s="36">
        <v>2022</v>
      </c>
      <c r="B32" s="42">
        <v>5500000</v>
      </c>
      <c r="C32" s="43">
        <v>19148</v>
      </c>
      <c r="D32" s="42">
        <v>14413174</v>
      </c>
      <c r="E32" s="43">
        <v>10658</v>
      </c>
      <c r="F32" s="42">
        <v>6729968.6399999997</v>
      </c>
      <c r="G32" s="43">
        <v>7315</v>
      </c>
      <c r="H32" s="42">
        <v>4623186.6500000004</v>
      </c>
      <c r="I32" s="43">
        <v>0</v>
      </c>
      <c r="J32" s="42">
        <v>0</v>
      </c>
      <c r="K32" s="43">
        <v>0</v>
      </c>
      <c r="L32" s="42">
        <v>0</v>
      </c>
      <c r="M32" s="43">
        <v>0</v>
      </c>
      <c r="N32" s="42">
        <v>0</v>
      </c>
      <c r="O32" s="42">
        <v>25766329.289999999</v>
      </c>
      <c r="P32" s="42">
        <v>11353155.289999999</v>
      </c>
    </row>
    <row r="33" spans="1:16" x14ac:dyDescent="0.25">
      <c r="A33" s="36">
        <v>2023</v>
      </c>
      <c r="B33" s="42">
        <v>5548772.5700000003</v>
      </c>
      <c r="C33" s="43">
        <v>21584</v>
      </c>
      <c r="D33" s="42">
        <v>16614070</v>
      </c>
      <c r="E33" s="43">
        <v>12735</v>
      </c>
      <c r="F33" s="42">
        <v>7996580.3499999996</v>
      </c>
      <c r="G33" s="43">
        <v>0</v>
      </c>
      <c r="H33" s="42">
        <v>0</v>
      </c>
      <c r="I33" s="43">
        <v>0</v>
      </c>
      <c r="J33" s="42">
        <v>0</v>
      </c>
      <c r="K33" s="43">
        <v>0</v>
      </c>
      <c r="L33" s="42">
        <v>0</v>
      </c>
      <c r="M33" s="43">
        <v>0</v>
      </c>
      <c r="N33" s="42">
        <v>0</v>
      </c>
      <c r="O33" s="42">
        <v>24610650.350000001</v>
      </c>
      <c r="P33" s="42">
        <v>7996580.3499999996</v>
      </c>
    </row>
    <row r="34" spans="1:16" x14ac:dyDescent="0.25">
      <c r="A34" s="36">
        <v>2024</v>
      </c>
      <c r="B34" s="42">
        <v>4561323</v>
      </c>
      <c r="C34" s="43">
        <v>22592</v>
      </c>
      <c r="D34" s="42">
        <v>18337728</v>
      </c>
      <c r="E34" s="43">
        <v>0</v>
      </c>
      <c r="F34" s="42">
        <v>0</v>
      </c>
      <c r="G34" s="43">
        <v>0</v>
      </c>
      <c r="H34" s="42">
        <v>0</v>
      </c>
      <c r="I34" s="43">
        <v>0</v>
      </c>
      <c r="J34" s="42">
        <v>0</v>
      </c>
      <c r="K34" s="43">
        <v>0</v>
      </c>
      <c r="L34" s="42">
        <v>0</v>
      </c>
      <c r="M34" s="43">
        <v>0</v>
      </c>
      <c r="N34" s="42">
        <v>0</v>
      </c>
      <c r="O34" s="42">
        <v>18337728</v>
      </c>
      <c r="P34" s="42">
        <v>0</v>
      </c>
    </row>
    <row r="35" spans="1:16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43"/>
      <c r="N35" s="36"/>
      <c r="O35" s="44">
        <f>SUM(O29:O34)</f>
        <v>120214020.71000001</v>
      </c>
      <c r="P35" s="44">
        <f>SUM(P29:P34)</f>
        <v>47265958.399999999</v>
      </c>
    </row>
    <row r="36" spans="1:16" x14ac:dyDescent="0.25">
      <c r="N36" s="36"/>
      <c r="O36" s="36"/>
      <c r="P36" s="36"/>
    </row>
    <row r="37" spans="1:16" x14ac:dyDescent="0.25">
      <c r="N37" s="36"/>
      <c r="O37" s="36"/>
      <c r="P37" s="36"/>
    </row>
    <row r="38" spans="1:16" x14ac:dyDescent="0.25">
      <c r="N38" s="36"/>
      <c r="O38" s="36"/>
      <c r="P38" s="36"/>
    </row>
  </sheetData>
  <mergeCells count="2">
    <mergeCell ref="A10:A14"/>
    <mergeCell ref="A17:A21"/>
  </mergeCells>
  <pageMargins left="0.7" right="0.7" top="0.75" bottom="0.75" header="0.3" footer="0.3"/>
  <ignoredErrors>
    <ignoredError sqref="E17:E20 G17:G19 I17:K18 E25:K2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CD4C7-14F1-4D3B-A3B6-09DFD44F78DA}">
  <dimension ref="A1:P32"/>
  <sheetViews>
    <sheetView topLeftCell="A10" workbookViewId="0">
      <selection activeCell="D3" sqref="D3"/>
    </sheetView>
  </sheetViews>
  <sheetFormatPr defaultRowHeight="15" x14ac:dyDescent="0.25"/>
  <cols>
    <col min="2" max="2" width="11.42578125" bestFit="1" customWidth="1"/>
    <col min="3" max="3" width="18.85546875" bestFit="1" customWidth="1"/>
    <col min="4" max="8" width="15.28515625" bestFit="1" customWidth="1"/>
    <col min="9" max="9" width="16.28515625" bestFit="1" customWidth="1"/>
    <col min="10" max="10" width="15.28515625" bestFit="1" customWidth="1"/>
    <col min="11" max="11" width="14.28515625" bestFit="1" customWidth="1"/>
    <col min="13" max="13" width="14.28515625" bestFit="1" customWidth="1"/>
    <col min="14" max="14" width="13.42578125" bestFit="1" customWidth="1"/>
    <col min="15" max="15" width="15" bestFit="1" customWidth="1"/>
  </cols>
  <sheetData>
    <row r="1" spans="1:16" x14ac:dyDescent="0.25">
      <c r="A1" s="9"/>
      <c r="B1" s="16" t="s">
        <v>28</v>
      </c>
      <c r="C1" s="16">
        <v>2019</v>
      </c>
      <c r="D1" s="16">
        <v>2020</v>
      </c>
      <c r="E1" s="16">
        <v>2021</v>
      </c>
      <c r="F1" s="16">
        <v>2022</v>
      </c>
      <c r="G1" s="16">
        <v>2023</v>
      </c>
      <c r="H1" s="16">
        <v>2024</v>
      </c>
      <c r="I1" s="16" t="s">
        <v>34</v>
      </c>
      <c r="J1" s="9"/>
      <c r="K1" s="17" t="s">
        <v>1</v>
      </c>
      <c r="L1" t="s">
        <v>35</v>
      </c>
    </row>
    <row r="2" spans="1:16" x14ac:dyDescent="0.25">
      <c r="A2" s="40" t="s">
        <v>27</v>
      </c>
      <c r="B2" s="9">
        <f>'Trailing Revenue Annual Excel C'!A2</f>
        <v>2019</v>
      </c>
      <c r="C2" s="32">
        <f>'Trailing Revenue Annual Excel C'!D2</f>
        <v>2155534.5299999998</v>
      </c>
      <c r="D2" s="10">
        <f>'Trailing Revenue Annual Excel C'!F2</f>
        <v>1488126.41</v>
      </c>
      <c r="E2" s="10">
        <f>'Trailing Revenue Annual Excel C'!H2</f>
        <v>1077743.32</v>
      </c>
      <c r="F2" s="10">
        <f>+'Trailing Revenue Annual Excel C'!J2</f>
        <v>822640.18</v>
      </c>
      <c r="G2" s="10">
        <f>+'Trailing Revenue Annual Excel C'!L2</f>
        <v>620262.92000000004</v>
      </c>
      <c r="H2" s="10">
        <f>+'Trailing Revenue Annual Excel C'!N2</f>
        <v>489142.3</v>
      </c>
      <c r="I2" s="8">
        <f>SUM(C2:H2)</f>
        <v>6653449.6599999992</v>
      </c>
      <c r="J2" s="11">
        <f>+B2</f>
        <v>2019</v>
      </c>
      <c r="K2" s="12">
        <f>'Trailing Revenue Annual Excel C'!B2</f>
        <v>339813.29</v>
      </c>
      <c r="L2">
        <f t="shared" ref="L2:L5" si="0">I2/K2</f>
        <v>19.579721734838564</v>
      </c>
    </row>
    <row r="3" spans="1:16" x14ac:dyDescent="0.25">
      <c r="A3" s="40"/>
      <c r="B3" s="11">
        <f>'Trailing Revenue Annual Excel C'!A3</f>
        <v>2020</v>
      </c>
      <c r="C3" s="8"/>
      <c r="D3" s="33">
        <f>+'Trailing Revenue Annual Excel C'!D3</f>
        <v>10699961.75</v>
      </c>
      <c r="E3" s="8">
        <f>+'Trailing Revenue Annual Excel C'!F3</f>
        <v>6934029.8300000001</v>
      </c>
      <c r="F3" s="8">
        <f>+'Trailing Revenue Annual Excel C'!H3</f>
        <v>4450942.8499999996</v>
      </c>
      <c r="G3" s="8">
        <f>+'Trailing Revenue Annual Excel C'!J3</f>
        <v>3232494.62</v>
      </c>
      <c r="H3" s="8">
        <f>+'Trailing Revenue Annual Excel C'!L3</f>
        <v>2562957.3199999998</v>
      </c>
      <c r="I3" s="8">
        <f t="shared" ref="I3:I8" si="1">SUM(C3:H3)</f>
        <v>27880386.370000001</v>
      </c>
      <c r="J3" s="11">
        <f t="shared" ref="J3:J7" si="2">+B3</f>
        <v>2020</v>
      </c>
      <c r="K3" s="12">
        <f>'Trailing Revenue Annual Excel C'!B3</f>
        <v>2268311.84</v>
      </c>
      <c r="L3">
        <f t="shared" si="0"/>
        <v>12.291249323990657</v>
      </c>
    </row>
    <row r="4" spans="1:16" x14ac:dyDescent="0.25">
      <c r="A4" s="40"/>
      <c r="B4" s="11">
        <f>'Trailing Revenue Annual Excel C'!A4</f>
        <v>2021</v>
      </c>
      <c r="E4" s="33">
        <f>+'Trailing Revenue Annual Excel C'!D4</f>
        <v>10360547.689999999</v>
      </c>
      <c r="F4" s="8">
        <f>+'Trailing Revenue Annual Excel C'!F4</f>
        <v>6541163.8099999996</v>
      </c>
      <c r="G4" s="8">
        <f>+'Trailing Revenue Annual Excel C'!H4</f>
        <v>4583919.49</v>
      </c>
      <c r="H4" s="8">
        <f>+'Trailing Revenue Annual Excel C'!J4</f>
        <v>3609334.62</v>
      </c>
      <c r="I4" s="8">
        <f t="shared" si="1"/>
        <v>25094965.610000003</v>
      </c>
      <c r="J4" s="11">
        <f t="shared" si="2"/>
        <v>2021</v>
      </c>
      <c r="K4" s="12">
        <f>'Trailing Revenue Annual Excel C'!B4</f>
        <v>1647249.32</v>
      </c>
      <c r="L4">
        <f t="shared" si="0"/>
        <v>15.234467123653147</v>
      </c>
    </row>
    <row r="5" spans="1:16" x14ac:dyDescent="0.25">
      <c r="A5" s="40"/>
      <c r="B5" s="11">
        <f>'Trailing Revenue Annual Excel C'!A5</f>
        <v>2022</v>
      </c>
      <c r="F5" s="34">
        <f>+'Trailing Revenue Annual Excel C'!D5</f>
        <v>14376261.27</v>
      </c>
      <c r="G5" s="8">
        <f>+'Trailing Revenue Annual Excel C'!F5</f>
        <v>8916576.2899999991</v>
      </c>
      <c r="H5" s="8">
        <f>+'Trailing Revenue Annual Excel C'!H5</f>
        <v>6404533.71</v>
      </c>
      <c r="I5" s="8">
        <f t="shared" si="1"/>
        <v>29697371.27</v>
      </c>
      <c r="J5" s="11">
        <f t="shared" si="2"/>
        <v>2022</v>
      </c>
      <c r="K5" s="12">
        <v>5500000</v>
      </c>
      <c r="L5">
        <f t="shared" si="0"/>
        <v>5.3995220490909093</v>
      </c>
    </row>
    <row r="6" spans="1:16" x14ac:dyDescent="0.25">
      <c r="A6" s="40"/>
      <c r="B6" s="11">
        <f>'Trailing Revenue Annual Excel C'!A6</f>
        <v>2023</v>
      </c>
      <c r="G6" s="34">
        <f>+'Trailing Revenue Annual Excel C'!D6</f>
        <v>16798279.48</v>
      </c>
      <c r="H6" s="8">
        <f>+'Trailing Revenue Annual Excel C'!F6</f>
        <v>11263854.4</v>
      </c>
      <c r="I6" s="8">
        <f t="shared" si="1"/>
        <v>28062133.880000003</v>
      </c>
      <c r="J6" s="11">
        <f t="shared" si="2"/>
        <v>2023</v>
      </c>
      <c r="K6" s="12">
        <f>'Trailing Revenue Annual Excel C'!B6</f>
        <v>5548772.5700000003</v>
      </c>
      <c r="L6">
        <f>I6/K6</f>
        <v>5.0573588169248032</v>
      </c>
    </row>
    <row r="7" spans="1:16" x14ac:dyDescent="0.25">
      <c r="A7" s="41"/>
      <c r="B7" s="13">
        <f>'Trailing Revenue Annual Excel C'!A7</f>
        <v>2024</v>
      </c>
      <c r="C7" s="14"/>
      <c r="D7" s="14"/>
      <c r="E7" s="14"/>
      <c r="F7" s="14"/>
      <c r="G7" s="14"/>
      <c r="H7" s="35">
        <f>+'Trailing Revenue Annual Excel C'!D7</f>
        <v>16201067.699999999</v>
      </c>
      <c r="I7" s="8">
        <f t="shared" si="1"/>
        <v>16201067.699999999</v>
      </c>
      <c r="J7" s="13">
        <f t="shared" si="2"/>
        <v>2024</v>
      </c>
      <c r="K7" s="15">
        <f>'Trailing Revenue Annual Excel C'!B7</f>
        <v>4561046.79</v>
      </c>
      <c r="L7">
        <f>I7/K7</f>
        <v>3.5520503178175025</v>
      </c>
    </row>
    <row r="8" spans="1:16" x14ac:dyDescent="0.25">
      <c r="A8" s="18" t="s">
        <v>29</v>
      </c>
      <c r="B8" s="18"/>
      <c r="C8" s="19">
        <f>SUM(C2:C7)</f>
        <v>2155534.5299999998</v>
      </c>
      <c r="D8" s="19">
        <f t="shared" ref="D8:H8" si="3">SUM(D2:D7)</f>
        <v>12188088.16</v>
      </c>
      <c r="E8" s="19">
        <f t="shared" si="3"/>
        <v>18372320.84</v>
      </c>
      <c r="F8" s="19">
        <f t="shared" si="3"/>
        <v>26191008.109999999</v>
      </c>
      <c r="G8" s="19">
        <f t="shared" si="3"/>
        <v>34151532.799999997</v>
      </c>
      <c r="H8" s="20">
        <f t="shared" si="3"/>
        <v>40530890.049999997</v>
      </c>
      <c r="I8" s="8">
        <f t="shared" si="1"/>
        <v>133589374.48999999</v>
      </c>
      <c r="J8" s="21">
        <f>SUM(K1:K7)</f>
        <v>19865193.809999999</v>
      </c>
      <c r="K8">
        <f>I8/J8</f>
        <v>6.7247959303952047</v>
      </c>
    </row>
    <row r="9" spans="1:16" x14ac:dyDescent="0.25">
      <c r="I9" s="8">
        <f>SUM(I1:I7)</f>
        <v>133589374.48999999</v>
      </c>
    </row>
    <row r="15" spans="1:16" ht="75" x14ac:dyDescent="0.25">
      <c r="J15" s="22" t="s">
        <v>44</v>
      </c>
      <c r="K15" s="22" t="s">
        <v>1</v>
      </c>
      <c r="L15" s="22" t="s">
        <v>41</v>
      </c>
      <c r="M15" s="22" t="s">
        <v>42</v>
      </c>
      <c r="N15" s="22" t="s">
        <v>43</v>
      </c>
      <c r="O15" s="22" t="s">
        <v>45</v>
      </c>
    </row>
    <row r="16" spans="1:16" ht="45" x14ac:dyDescent="0.25">
      <c r="B16" s="22" t="s">
        <v>37</v>
      </c>
      <c r="C16" s="22" t="s">
        <v>36</v>
      </c>
      <c r="D16" s="22" t="s">
        <v>47</v>
      </c>
      <c r="E16" s="22" t="s">
        <v>1</v>
      </c>
      <c r="F16" s="22" t="s">
        <v>48</v>
      </c>
      <c r="G16" s="22" t="s">
        <v>39</v>
      </c>
      <c r="H16" s="23" t="s">
        <v>40</v>
      </c>
      <c r="J16">
        <v>2020</v>
      </c>
      <c r="K16" s="8">
        <f>SUM(D3:G3)</f>
        <v>25317429.050000001</v>
      </c>
      <c r="L16" s="1">
        <f>K3</f>
        <v>2268311.84</v>
      </c>
      <c r="M16" s="1">
        <f>K16/L16</f>
        <v>11.161352951364924</v>
      </c>
      <c r="N16" s="8">
        <f>K18-K16</f>
        <v>8379942.2199999951</v>
      </c>
      <c r="O16" s="8">
        <f>K17-K16</f>
        <v>-222463.43999999762</v>
      </c>
      <c r="P16" s="8">
        <f>K18-K17</f>
        <v>8602405.6599999927</v>
      </c>
    </row>
    <row r="17" spans="1:16" x14ac:dyDescent="0.25">
      <c r="B17" s="9">
        <v>2019</v>
      </c>
      <c r="C17" s="8">
        <f>SUM(C2:H2)</f>
        <v>6653449.6599999992</v>
      </c>
      <c r="D17">
        <v>6</v>
      </c>
      <c r="E17" s="1">
        <f>K2</f>
        <v>339813.29</v>
      </c>
      <c r="F17" s="4">
        <f t="shared" ref="F17:F23" si="4">(C17-E17)/E17</f>
        <v>18.579721734838561</v>
      </c>
      <c r="G17" s="1">
        <f t="shared" ref="G17:G23" si="5">C17/E17</f>
        <v>19.579721734838564</v>
      </c>
      <c r="H17" s="1">
        <f>C2/K2</f>
        <v>6.3432908406848947</v>
      </c>
      <c r="J17">
        <v>2021</v>
      </c>
      <c r="K17" s="8">
        <f>SUM(E4:H4)</f>
        <v>25094965.610000003</v>
      </c>
      <c r="L17" s="1">
        <f>K4</f>
        <v>1647249.32</v>
      </c>
      <c r="M17" s="1">
        <f t="shared" ref="M17:M18" si="6">K17/L17</f>
        <v>15.234467123653147</v>
      </c>
      <c r="N17" s="8">
        <f>L18-L16</f>
        <v>3231688.16</v>
      </c>
      <c r="O17" s="8">
        <f>L17-L16</f>
        <v>-621062.51999999979</v>
      </c>
      <c r="P17" s="8">
        <f>L18-L17</f>
        <v>3852750.6799999997</v>
      </c>
    </row>
    <row r="18" spans="1:16" x14ac:dyDescent="0.25">
      <c r="B18" s="11">
        <v>2020</v>
      </c>
      <c r="C18" s="26">
        <f t="shared" ref="C18:C22" si="7">SUM(C3:H3)</f>
        <v>27880386.370000001</v>
      </c>
      <c r="D18" s="29">
        <v>5</v>
      </c>
      <c r="E18" s="27">
        <f t="shared" ref="E18:E22" si="8">K3</f>
        <v>2268311.84</v>
      </c>
      <c r="F18" s="4">
        <f t="shared" si="4"/>
        <v>11.291249323990657</v>
      </c>
      <c r="G18" s="1">
        <f t="shared" si="5"/>
        <v>12.291249323990657</v>
      </c>
      <c r="H18" s="1">
        <f>D3/K3</f>
        <v>4.7171475990708585</v>
      </c>
      <c r="J18">
        <v>2022</v>
      </c>
      <c r="K18" s="8">
        <f>SUM(F5:H5)+4000000</f>
        <v>33697371.269999996</v>
      </c>
      <c r="L18" s="1">
        <f>K5</f>
        <v>5500000</v>
      </c>
      <c r="M18" s="1">
        <f t="shared" si="6"/>
        <v>6.1267947763636359</v>
      </c>
    </row>
    <row r="19" spans="1:16" x14ac:dyDescent="0.25">
      <c r="B19" s="11">
        <v>2021</v>
      </c>
      <c r="C19" s="25">
        <f t="shared" si="7"/>
        <v>25094965.610000003</v>
      </c>
      <c r="D19" s="30">
        <v>4</v>
      </c>
      <c r="E19" s="27">
        <f t="shared" si="8"/>
        <v>1647249.32</v>
      </c>
      <c r="F19" s="4">
        <f t="shared" si="4"/>
        <v>14.234467123653147</v>
      </c>
      <c r="G19" s="1">
        <f t="shared" si="5"/>
        <v>15.234467123653147</v>
      </c>
      <c r="H19" s="1">
        <f>E4/K4</f>
        <v>6.2896050793331026</v>
      </c>
    </row>
    <row r="20" spans="1:16" x14ac:dyDescent="0.25">
      <c r="B20" s="11">
        <v>2022</v>
      </c>
      <c r="C20" s="28">
        <f t="shared" si="7"/>
        <v>29697371.27</v>
      </c>
      <c r="D20" s="31">
        <v>3</v>
      </c>
      <c r="E20" s="1">
        <f t="shared" si="8"/>
        <v>5500000</v>
      </c>
      <c r="F20" s="4">
        <f t="shared" si="4"/>
        <v>4.3995220490909093</v>
      </c>
      <c r="G20" s="1">
        <f t="shared" si="5"/>
        <v>5.3995220490909093</v>
      </c>
      <c r="H20" s="1">
        <f>F5/K5</f>
        <v>2.6138656854545452</v>
      </c>
    </row>
    <row r="21" spans="1:16" x14ac:dyDescent="0.25">
      <c r="A21" t="s">
        <v>46</v>
      </c>
      <c r="B21" s="11">
        <v>2023</v>
      </c>
      <c r="C21" s="8">
        <f t="shared" si="7"/>
        <v>28062133.880000003</v>
      </c>
      <c r="D21">
        <v>2</v>
      </c>
      <c r="E21" s="1">
        <f t="shared" si="8"/>
        <v>5548772.5700000003</v>
      </c>
      <c r="F21" s="4">
        <f t="shared" si="4"/>
        <v>4.0573588169248032</v>
      </c>
      <c r="G21" s="1">
        <f t="shared" si="5"/>
        <v>5.0573588169248032</v>
      </c>
      <c r="H21" s="1">
        <f>G6/K6</f>
        <v>3.027386555870319</v>
      </c>
    </row>
    <row r="22" spans="1:16" x14ac:dyDescent="0.25">
      <c r="B22" s="13">
        <v>2024</v>
      </c>
      <c r="C22" s="8">
        <f t="shared" si="7"/>
        <v>16201067.699999999</v>
      </c>
      <c r="D22">
        <v>1</v>
      </c>
      <c r="E22" s="1">
        <f t="shared" si="8"/>
        <v>4561046.79</v>
      </c>
      <c r="F22" s="4">
        <f t="shared" si="4"/>
        <v>2.5520503178175025</v>
      </c>
      <c r="G22" s="1">
        <f t="shared" si="5"/>
        <v>3.5520503178175025</v>
      </c>
      <c r="H22" s="1">
        <f>H7/K7</f>
        <v>3.5520503178175025</v>
      </c>
    </row>
    <row r="23" spans="1:16" x14ac:dyDescent="0.25">
      <c r="B23" t="s">
        <v>34</v>
      </c>
      <c r="C23" s="8">
        <f>SUM(C17:C22)</f>
        <v>133589374.48999999</v>
      </c>
      <c r="D23" s="8"/>
      <c r="E23" s="8">
        <f>SUM(E17:E22)</f>
        <v>19865193.809999999</v>
      </c>
      <c r="F23" s="4">
        <f t="shared" si="4"/>
        <v>5.7247959303952038</v>
      </c>
      <c r="G23" s="1">
        <f t="shared" si="5"/>
        <v>6.7247959303952047</v>
      </c>
      <c r="H23" s="24">
        <f>SUM(C2,D3,E4,F5,G6,H7)/SUM(K2:K7)</f>
        <v>3.5535345436430958</v>
      </c>
      <c r="I23" s="8"/>
    </row>
    <row r="25" spans="1:16" x14ac:dyDescent="0.25">
      <c r="B25" t="s">
        <v>38</v>
      </c>
    </row>
    <row r="26" spans="1:16" x14ac:dyDescent="0.25">
      <c r="B26">
        <f t="shared" ref="B26:B31" si="9">B17</f>
        <v>2019</v>
      </c>
      <c r="C26" s="8">
        <f>C8</f>
        <v>2155534.5299999998</v>
      </c>
    </row>
    <row r="27" spans="1:16" x14ac:dyDescent="0.25">
      <c r="B27">
        <f t="shared" si="9"/>
        <v>2020</v>
      </c>
      <c r="C27" s="8">
        <f>+D8</f>
        <v>12188088.16</v>
      </c>
    </row>
    <row r="28" spans="1:16" x14ac:dyDescent="0.25">
      <c r="B28">
        <f t="shared" si="9"/>
        <v>2021</v>
      </c>
      <c r="C28" s="8">
        <f>+E8</f>
        <v>18372320.84</v>
      </c>
    </row>
    <row r="29" spans="1:16" x14ac:dyDescent="0.25">
      <c r="B29">
        <f t="shared" si="9"/>
        <v>2022</v>
      </c>
      <c r="C29" s="8">
        <f>+F8</f>
        <v>26191008.109999999</v>
      </c>
    </row>
    <row r="30" spans="1:16" x14ac:dyDescent="0.25">
      <c r="B30">
        <f t="shared" si="9"/>
        <v>2023</v>
      </c>
      <c r="C30" s="8">
        <f>+G8</f>
        <v>34151532.799999997</v>
      </c>
    </row>
    <row r="31" spans="1:16" x14ac:dyDescent="0.25">
      <c r="B31">
        <f t="shared" si="9"/>
        <v>2024</v>
      </c>
      <c r="C31" s="8">
        <f>+H8</f>
        <v>40530890.049999997</v>
      </c>
    </row>
    <row r="32" spans="1:16" x14ac:dyDescent="0.25">
      <c r="B32" t="s">
        <v>34</v>
      </c>
      <c r="C32" s="8">
        <f>SUM(C26:C31)</f>
        <v>133589374.48999999</v>
      </c>
    </row>
  </sheetData>
  <mergeCells count="1">
    <mergeCell ref="A2:A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004C7-D9E5-4959-8D15-FC4842E0A57B}">
  <dimension ref="A1:I4"/>
  <sheetViews>
    <sheetView workbookViewId="0">
      <selection activeCell="B2" sqref="B2:I4"/>
    </sheetView>
  </sheetViews>
  <sheetFormatPr defaultRowHeight="15" x14ac:dyDescent="0.25"/>
  <cols>
    <col min="1" max="1" width="32.7109375" bestFit="1" customWidth="1"/>
    <col min="2" max="3" width="15.28515625" style="1" bestFit="1" customWidth="1"/>
    <col min="4" max="7" width="14.28515625" style="1" bestFit="1" customWidth="1"/>
    <col min="8" max="8" width="15.28515625" style="1" bestFit="1" customWidth="1"/>
    <col min="9" max="9" width="15.28515625" bestFit="1" customWidth="1"/>
  </cols>
  <sheetData>
    <row r="1" spans="1:9" x14ac:dyDescent="0.25">
      <c r="B1" s="6">
        <v>2024</v>
      </c>
      <c r="C1" s="6">
        <v>2025</v>
      </c>
      <c r="D1" s="6">
        <v>2026</v>
      </c>
      <c r="E1" s="6">
        <v>2027</v>
      </c>
      <c r="F1" s="6">
        <v>2028</v>
      </c>
      <c r="G1" s="6">
        <v>2029</v>
      </c>
      <c r="H1" s="6" t="s">
        <v>33</v>
      </c>
      <c r="I1" t="s">
        <v>1</v>
      </c>
    </row>
    <row r="2" spans="1:9" x14ac:dyDescent="0.25">
      <c r="A2" t="s">
        <v>30</v>
      </c>
      <c r="B2" s="1">
        <f>'Trailing Revenue Annual Excel C'!D7</f>
        <v>16201067.699999999</v>
      </c>
      <c r="C2" s="1">
        <f>+'Trailing Revenue Annual Excel C'!D25</f>
        <v>9194262.1666523777</v>
      </c>
      <c r="D2" s="1">
        <f>+'Trailing Revenue Annual Excel C'!F25</f>
        <v>5694565.5140867615</v>
      </c>
      <c r="E2" s="1">
        <f>+'Trailing Revenue Annual Excel C'!H25</f>
        <v>4105433.7815789431</v>
      </c>
      <c r="F2" s="1">
        <f>+'Trailing Revenue Annual Excel C'!J25</f>
        <v>3081132.1667361008</v>
      </c>
      <c r="G2" s="1">
        <f>+'Trailing Revenue Annual Excel C'!L25</f>
        <v>2403283.0900541586</v>
      </c>
      <c r="H2" s="1">
        <f>SUM(B2:G2)</f>
        <v>40679744.419108346</v>
      </c>
      <c r="I2" s="8">
        <f>'Trailing Revenue Annual Excel C'!B7</f>
        <v>4561046.79</v>
      </c>
    </row>
    <row r="3" spans="1:9" x14ac:dyDescent="0.25">
      <c r="A3" t="s">
        <v>31</v>
      </c>
      <c r="B3" s="1">
        <f>74000*0.32*(780)</f>
        <v>18470400</v>
      </c>
      <c r="C3" s="1">
        <f>+B3*'Trailing Revenue Annual Excel C'!D24</f>
        <v>10482130.132876124</v>
      </c>
      <c r="D3" s="1">
        <f>+C3*'Trailing Revenue Annual Excel C'!F24</f>
        <v>6492220.4399768123</v>
      </c>
      <c r="E3" s="1">
        <f>+D3*'Trailing Revenue Annual Excel C'!H24</f>
        <v>4680494.2441710625</v>
      </c>
      <c r="F3" s="1">
        <f>+'Projected 2024'!E3*'Trailing Revenue Annual Excel C'!J24</f>
        <v>3512715.6201243745</v>
      </c>
      <c r="G3" s="1">
        <f>+F3*'Trailing Revenue Annual Excel C'!L24</f>
        <v>2739918.1836970123</v>
      </c>
      <c r="H3" s="1">
        <f t="shared" ref="H3:H4" si="0">SUM(B3:G3)</f>
        <v>46377878.620845392</v>
      </c>
      <c r="I3" s="8">
        <v>5500000</v>
      </c>
    </row>
    <row r="4" spans="1:9" x14ac:dyDescent="0.25">
      <c r="A4" t="s">
        <v>32</v>
      </c>
      <c r="B4" s="1">
        <f>B3-B2</f>
        <v>2269332.3000000007</v>
      </c>
      <c r="C4" s="1">
        <f t="shared" ref="C4:G4" si="1">C3-C2</f>
        <v>1287867.9662237465</v>
      </c>
      <c r="D4" s="1">
        <f t="shared" si="1"/>
        <v>797654.92589005083</v>
      </c>
      <c r="E4" s="1">
        <f t="shared" si="1"/>
        <v>575060.46259211935</v>
      </c>
      <c r="F4" s="1">
        <f t="shared" si="1"/>
        <v>431583.45338827372</v>
      </c>
      <c r="G4" s="1">
        <f t="shared" si="1"/>
        <v>336635.09364285367</v>
      </c>
      <c r="H4" s="1">
        <f t="shared" si="0"/>
        <v>5698134.2017370444</v>
      </c>
      <c r="I4" s="8">
        <f>SUM(A4:G4)</f>
        <v>5698134.2017370444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3E1A7-C084-4127-A02D-8A1509EA331C}">
  <dimension ref="A1"/>
  <sheetViews>
    <sheetView workbookViewId="0">
      <selection activeCell="B3" sqref="B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Trailing Revenue Annual Excel C</vt:lpstr>
      <vt:lpstr>Historical</vt:lpstr>
      <vt:lpstr>Projected 2024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Bowen, Benjamin</cp:lastModifiedBy>
  <dcterms:created xsi:type="dcterms:W3CDTF">2024-10-14T18:23:42Z</dcterms:created>
  <dcterms:modified xsi:type="dcterms:W3CDTF">2024-12-03T20:53:37Z</dcterms:modified>
</cp:coreProperties>
</file>