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enjamin.bowen\Downloads\"/>
    </mc:Choice>
  </mc:AlternateContent>
  <xr:revisionPtr revIDLastSave="0" documentId="13_ncr:1_{7811F52D-7DE1-4766-A8D5-7A4924927D69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ummary &amp; Conclusion" sheetId="1" r:id="rId1"/>
    <sheet name="Branch Spend" sheetId="3" r:id="rId2"/>
    <sheet name="Orlando Spend And Close Rate" sheetId="2" r:id="rId3"/>
  </sheets>
  <definedNames>
    <definedName name="ExternalData_1" localSheetId="2" hidden="1">'Orlando Spend And Close Rate'!$A$1:$F$44</definedName>
    <definedName name="ExternalData_2" localSheetId="1" hidden="1">'Branch Spend'!$A$1:$U$30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C1" i="1"/>
  <c r="D1" i="1"/>
  <c r="E1" i="1"/>
  <c r="F1" i="1"/>
  <c r="G1" i="1"/>
  <c r="B2" i="1"/>
  <c r="C2" i="1"/>
  <c r="D2" i="1"/>
  <c r="E2" i="1"/>
  <c r="F2" i="1"/>
  <c r="G2" i="1"/>
  <c r="B3" i="1"/>
  <c r="C3" i="1"/>
  <c r="D3" i="1"/>
  <c r="E3" i="1"/>
  <c r="F3" i="1"/>
  <c r="G3" i="1"/>
  <c r="B5" i="1"/>
  <c r="C5" i="1"/>
  <c r="D5" i="1"/>
  <c r="E5" i="1"/>
  <c r="F5" i="1"/>
  <c r="G5" i="1"/>
  <c r="B6" i="1"/>
  <c r="C6" i="1"/>
  <c r="D6" i="1"/>
  <c r="E6" i="1"/>
  <c r="F6" i="1"/>
  <c r="G6" i="1"/>
  <c r="B8" i="1"/>
  <c r="C8" i="1"/>
  <c r="D8" i="1"/>
  <c r="E8" i="1"/>
  <c r="F8" i="1"/>
  <c r="G8" i="1"/>
  <c r="A2" i="1"/>
  <c r="A3" i="1"/>
  <c r="A5" i="1"/>
  <c r="A6" i="1"/>
  <c r="A8" i="1"/>
  <c r="A10" i="1"/>
  <c r="A11" i="1"/>
  <c r="N5" i="2"/>
  <c r="N6" i="2"/>
  <c r="N8" i="2"/>
  <c r="N3" i="2"/>
  <c r="N2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5" i="2"/>
  <c r="F26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L8" i="2"/>
  <c r="G44" i="2"/>
  <c r="G43" i="2"/>
  <c r="G42" i="2"/>
  <c r="G37" i="2"/>
  <c r="G35" i="2"/>
  <c r="G33" i="2"/>
  <c r="G30" i="2"/>
  <c r="M8" i="2" s="1"/>
  <c r="G28" i="2"/>
  <c r="G26" i="2"/>
  <c r="G25" i="2"/>
  <c r="G24" i="2"/>
  <c r="G23" i="2"/>
  <c r="G22" i="2"/>
  <c r="G21" i="2"/>
  <c r="G20" i="2"/>
  <c r="G19" i="2"/>
  <c r="G13" i="2"/>
  <c r="G15" i="2"/>
  <c r="G12" i="2"/>
  <c r="G11" i="2"/>
  <c r="G7" i="2"/>
  <c r="G6" i="2"/>
  <c r="G5" i="2"/>
  <c r="G4" i="2"/>
  <c r="G3" i="2"/>
  <c r="G10" i="2"/>
  <c r="G9" i="2"/>
  <c r="G31" i="2"/>
  <c r="G16" i="2"/>
  <c r="J6" i="2"/>
  <c r="K6" i="2"/>
  <c r="I6" i="2"/>
  <c r="J5" i="2"/>
  <c r="K5" i="2"/>
  <c r="I5" i="2"/>
  <c r="J8" i="2"/>
  <c r="K8" i="2"/>
  <c r="I8" i="2"/>
  <c r="J3" i="2"/>
  <c r="K3" i="2"/>
  <c r="I3" i="2"/>
  <c r="K2" i="2"/>
  <c r="J2" i="2"/>
  <c r="I2" i="2"/>
  <c r="L2" i="2" l="1"/>
  <c r="L3" i="2"/>
  <c r="L5" i="2"/>
  <c r="L6" i="2"/>
  <c r="M6" i="2"/>
  <c r="M2" i="2"/>
  <c r="M3" i="2"/>
  <c r="M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65E9D4-68B6-45F8-AC3F-D0DFF3AAA659}" keepAlive="1" name="Query - Branch Spend" description="Connection to the 'Branch Spend' query in the workbook." type="5" refreshedVersion="8" background="1" saveData="1">
    <dbPr connection="Provider=Microsoft.Mashup.OleDb.1;Data Source=$Workbook$;Location=&quot;Branch Spend&quot;;Extended Properties=&quot;&quot;" command="SELECT * FROM [Branch Spend]"/>
  </connection>
  <connection id="2" xr16:uid="{03E46979-9A13-4404-8EC3-1ED6B7D6116C}" keepAlive="1" name="Query - Orlando Spend And Close Rate" description="Connection to the 'Orlando Spend And Close Rate' query in the workbook." type="5" refreshedVersion="8" background="1" saveData="1">
    <dbPr connection="Provider=Microsoft.Mashup.OleDb.1;Data Source=$Workbook$;Location=&quot;Orlando Spend And Close Rate&quot;;Extended Properties=&quot;&quot;" command="SELECT * FROM [Orlando Spend And Close Rate]"/>
  </connection>
</connections>
</file>

<file path=xl/sharedStrings.xml><?xml version="1.0" encoding="utf-8"?>
<sst xmlns="http://schemas.openxmlformats.org/spreadsheetml/2006/main" count="229" uniqueCount="164">
  <si>
    <t>Branch</t>
  </si>
  <si>
    <t>Year</t>
  </si>
  <si>
    <t>Leads</t>
  </si>
  <si>
    <t>Sales</t>
  </si>
  <si>
    <t>Close Rate (Sales/Leads)</t>
  </si>
  <si>
    <t>Contract Value</t>
  </si>
  <si>
    <t>NULL</t>
  </si>
  <si>
    <t>Albany - NY</t>
  </si>
  <si>
    <t>Baton Rouge - LA</t>
  </si>
  <si>
    <t>Bloomington - IL</t>
  </si>
  <si>
    <t>Boston - MA</t>
  </si>
  <si>
    <t>Buffalo - NY</t>
  </si>
  <si>
    <t>Burlington -VT</t>
  </si>
  <si>
    <t>Chicago North - IL</t>
  </si>
  <si>
    <t>Chicago South - IL</t>
  </si>
  <si>
    <t>Corpus Christi - TX</t>
  </si>
  <si>
    <t>Dallas Fort Worth Northwest - TX</t>
  </si>
  <si>
    <t>DC West - DC</t>
  </si>
  <si>
    <t>Evansville - IN</t>
  </si>
  <si>
    <t>Harrisburg - PA</t>
  </si>
  <si>
    <t>Hartford - CT</t>
  </si>
  <si>
    <t>Iowa City - IA</t>
  </si>
  <si>
    <t>Kennewick - WA</t>
  </si>
  <si>
    <t>Lafayette - LA</t>
  </si>
  <si>
    <t>Lexington - KY</t>
  </si>
  <si>
    <t>Long Island - NY</t>
  </si>
  <si>
    <t>Lubbock - TX</t>
  </si>
  <si>
    <t>Manchester - NH</t>
  </si>
  <si>
    <t>McAllen - TX</t>
  </si>
  <si>
    <t>Midland - TX</t>
  </si>
  <si>
    <t>New Jersey Central - NJ</t>
  </si>
  <si>
    <t>Newport News - VA</t>
  </si>
  <si>
    <t>Northshore - LA</t>
  </si>
  <si>
    <t>Orchard Park - NY</t>
  </si>
  <si>
    <t>Orlando West - FL</t>
  </si>
  <si>
    <t>Oxford - CT</t>
  </si>
  <si>
    <t>Pensacola - FL</t>
  </si>
  <si>
    <t>Pittsburgh - PA</t>
  </si>
  <si>
    <t>Portland - ME</t>
  </si>
  <si>
    <t>Providence - RI</t>
  </si>
  <si>
    <t>Reno - NV</t>
  </si>
  <si>
    <t>Rochester - NY</t>
  </si>
  <si>
    <t>Sioux Falls - SD</t>
  </si>
  <si>
    <t>South Bend - IN</t>
  </si>
  <si>
    <t>Spokane - WA</t>
  </si>
  <si>
    <t>Springfield - MA</t>
  </si>
  <si>
    <t>Syracuse - NY</t>
  </si>
  <si>
    <t>Virginia Beach - VA</t>
  </si>
  <si>
    <t>Westchester - NY</t>
  </si>
  <si>
    <t>Column1</t>
  </si>
  <si>
    <t>Close rate</t>
  </si>
  <si>
    <t>Actual Orlando</t>
  </si>
  <si>
    <t>Avg Excl Orlando</t>
  </si>
  <si>
    <t>Avg Incl Orlando</t>
  </si>
  <si>
    <t>Median Incl Orlando</t>
  </si>
  <si>
    <t>Median Excl Orlando</t>
  </si>
  <si>
    <t>Spend</t>
  </si>
  <si>
    <t xml:space="preserve"> Branch </t>
  </si>
  <si>
    <t xml:space="preserve"> Google Ads </t>
  </si>
  <si>
    <t xml:space="preserve"> LSA </t>
  </si>
  <si>
    <t xml:space="preserve"> Bing </t>
  </si>
  <si>
    <t xml:space="preserve"> Goodzer </t>
  </si>
  <si>
    <t xml:space="preserve"> LBC </t>
  </si>
  <si>
    <t xml:space="preserve"> PestNet </t>
  </si>
  <si>
    <t xml:space="preserve"> eLocal </t>
  </si>
  <si>
    <t xml:space="preserve"> Meta </t>
  </si>
  <si>
    <t xml:space="preserve"> RingLocal </t>
  </si>
  <si>
    <t xml:space="preserve"> Con Affairs </t>
  </si>
  <si>
    <t xml:space="preserve"> Aragon </t>
  </si>
  <si>
    <t xml:space="preserve"> Service Direct </t>
  </si>
  <si>
    <t xml:space="preserve"> Baton </t>
  </si>
  <si>
    <t xml:space="preserve"> Lead Prediction </t>
  </si>
  <si>
    <t xml:space="preserve"> Abstrakt </t>
  </si>
  <si>
    <t xml:space="preserve"> Yelp </t>
  </si>
  <si>
    <t xml:space="preserve"> Total </t>
  </si>
  <si>
    <t xml:space="preserve"> Baton Raw </t>
  </si>
  <si>
    <t>_1</t>
  </si>
  <si>
    <t xml:space="preserve"> Albany </t>
  </si>
  <si>
    <t xml:space="preserve"> $1,131 </t>
  </si>
  <si>
    <t xml:space="preserve"> $113,153 </t>
  </si>
  <si>
    <t/>
  </si>
  <si>
    <t xml:space="preserve"> Baton Rouge </t>
  </si>
  <si>
    <t xml:space="preserve"> $299 </t>
  </si>
  <si>
    <t xml:space="preserve"> $108,663 </t>
  </si>
  <si>
    <t xml:space="preserve"> CT </t>
  </si>
  <si>
    <t xml:space="preserve"> $4,152 </t>
  </si>
  <si>
    <t xml:space="preserve"> $-   </t>
  </si>
  <si>
    <t xml:space="preserve"> Bloomington </t>
  </si>
  <si>
    <t xml:space="preserve"> $288 </t>
  </si>
  <si>
    <t xml:space="preserve"> $72,547 </t>
  </si>
  <si>
    <t xml:space="preserve"> Boston </t>
  </si>
  <si>
    <t xml:space="preserve"> $1,749 </t>
  </si>
  <si>
    <t xml:space="preserve"> $288,304 </t>
  </si>
  <si>
    <t xml:space="preserve"> Buffalo </t>
  </si>
  <si>
    <t xml:space="preserve"> $589 </t>
  </si>
  <si>
    <t xml:space="preserve"> $233,923 </t>
  </si>
  <si>
    <t xml:space="preserve"> Central NJ </t>
  </si>
  <si>
    <t xml:space="preserve"> $3,644 </t>
  </si>
  <si>
    <t xml:space="preserve"> $126,627 </t>
  </si>
  <si>
    <t xml:space="preserve"> Chicago </t>
  </si>
  <si>
    <t xml:space="preserve"> $10,225 </t>
  </si>
  <si>
    <t xml:space="preserve"> $413,426 </t>
  </si>
  <si>
    <t xml:space="preserve"> Corpus Christi </t>
  </si>
  <si>
    <t xml:space="preserve"> $179 </t>
  </si>
  <si>
    <t xml:space="preserve"> $102,302 </t>
  </si>
  <si>
    <t xml:space="preserve"> Dallas Fort Worth </t>
  </si>
  <si>
    <t xml:space="preserve"> $1,806 </t>
  </si>
  <si>
    <t xml:space="preserve"> $113,132 </t>
  </si>
  <si>
    <t xml:space="preserve"> Harrisburg </t>
  </si>
  <si>
    <t xml:space="preserve"> $5,508 </t>
  </si>
  <si>
    <t xml:space="preserve"> $288,115 </t>
  </si>
  <si>
    <t xml:space="preserve"> Hudson Valley </t>
  </si>
  <si>
    <t xml:space="preserve"> $2,654 </t>
  </si>
  <si>
    <t xml:space="preserve"> $295,870 </t>
  </si>
  <si>
    <t xml:space="preserve"> Lafayette </t>
  </si>
  <si>
    <t xml:space="preserve"> $91 </t>
  </si>
  <si>
    <t xml:space="preserve"> $75,940 </t>
  </si>
  <si>
    <t xml:space="preserve"> Lexington </t>
  </si>
  <si>
    <t xml:space="preserve"> $107,520 </t>
  </si>
  <si>
    <t xml:space="preserve"> Lubbock </t>
  </si>
  <si>
    <t xml:space="preserve"> $379 </t>
  </si>
  <si>
    <t xml:space="preserve"> $95,046 </t>
  </si>
  <si>
    <t xml:space="preserve"> Manchester </t>
  </si>
  <si>
    <t xml:space="preserve"> $690 </t>
  </si>
  <si>
    <t xml:space="preserve"> $239,204 </t>
  </si>
  <si>
    <t xml:space="preserve"> McAllen (Pharr) </t>
  </si>
  <si>
    <t xml:space="preserve"> $255 </t>
  </si>
  <si>
    <t xml:space="preserve"> $116,141 </t>
  </si>
  <si>
    <t xml:space="preserve"> Midland </t>
  </si>
  <si>
    <t xml:space="preserve"> $102 </t>
  </si>
  <si>
    <t xml:space="preserve"> $92,325 </t>
  </si>
  <si>
    <t xml:space="preserve"> North Shore </t>
  </si>
  <si>
    <t xml:space="preserve"> $109 </t>
  </si>
  <si>
    <t xml:space="preserve"> $50,471 </t>
  </si>
  <si>
    <t xml:space="preserve"> Northern VA </t>
  </si>
  <si>
    <t xml:space="preserve"> $3,936 </t>
  </si>
  <si>
    <t xml:space="preserve"> $114,597 </t>
  </si>
  <si>
    <t xml:space="preserve"> NY - Long Island </t>
  </si>
  <si>
    <t xml:space="preserve"> $1,747 </t>
  </si>
  <si>
    <t xml:space="preserve"> $304,085 </t>
  </si>
  <si>
    <t xml:space="preserve"> Orlando </t>
  </si>
  <si>
    <t xml:space="preserve"> $832 </t>
  </si>
  <si>
    <t xml:space="preserve"> $173,951 </t>
  </si>
  <si>
    <t xml:space="preserve"> Pittsburgh </t>
  </si>
  <si>
    <t xml:space="preserve"> $4,071 </t>
  </si>
  <si>
    <t xml:space="preserve"> $177,179 </t>
  </si>
  <si>
    <t xml:space="preserve"> Rhode Island </t>
  </si>
  <si>
    <t xml:space="preserve"> $3,013 </t>
  </si>
  <si>
    <t xml:space="preserve"> $247,072 </t>
  </si>
  <si>
    <t xml:space="preserve"> Rochester </t>
  </si>
  <si>
    <t xml:space="preserve"> $357 </t>
  </si>
  <si>
    <t xml:space="preserve"> $161,456 </t>
  </si>
  <si>
    <t xml:space="preserve"> Syracuse </t>
  </si>
  <si>
    <t xml:space="preserve"> $532 </t>
  </si>
  <si>
    <t xml:space="preserve"> $136,877 </t>
  </si>
  <si>
    <t xml:space="preserve"> Virginia Beach </t>
  </si>
  <si>
    <t xml:space="preserve"> $1,661 </t>
  </si>
  <si>
    <t xml:space="preserve"> $190,245 </t>
  </si>
  <si>
    <t xml:space="preserve"> Unattributed </t>
  </si>
  <si>
    <t xml:space="preserve"> $50,000 </t>
  </si>
  <si>
    <t xml:space="preserve"> $4,976,499 </t>
  </si>
  <si>
    <t>ROI (Contract Value minus spend divided by spend)</t>
  </si>
  <si>
    <t>Conclusion:</t>
  </si>
  <si>
    <t>Orlando is bringing down the company average and median in leads, sales, contract value and ROI while increasing the average and median company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</si>
</sst>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5" formatCode="_([$$-409]* #,##0.00_);_([$$-409]* \(#,##0.00\);_([$$-409]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NumberFormat="1"/>
    <xf numFmtId="44" fontId="0" fillId="0" borderId="0" xfId="1" applyFont="1"/>
    <xf numFmtId="10" fontId="0" fillId="0" borderId="0" xfId="2" applyNumberFormat="1" applyFont="1"/>
    <xf numFmtId="165" fontId="0" fillId="0" borderId="0" xfId="1" applyNumberFormat="1" applyFont="1"/>
    <xf numFmtId="0" fontId="0" fillId="0" borderId="1" xfId="0" applyFont="1" applyBorder="1"/>
    <xf numFmtId="1" fontId="0" fillId="0" borderId="0" xfId="0" applyNumberFormat="1"/>
    <xf numFmtId="6" fontId="0" fillId="0" borderId="0" xfId="0" applyNumberFormat="1"/>
    <xf numFmtId="165" fontId="0" fillId="0" borderId="0" xfId="0" applyNumberFormat="1"/>
    <xf numFmtId="44" fontId="0" fillId="0" borderId="0" xfId="0" applyNumberFormat="1"/>
    <xf numFmtId="0" fontId="2" fillId="0" borderId="0" xfId="0" applyFont="1"/>
    <xf numFmtId="0" fontId="2" fillId="0" borderId="0" xfId="0" applyFont="1" applyAlignment="1">
      <alignment wrapText="1"/>
    </xf>
    <xf numFmtId="10" fontId="2" fillId="0" borderId="0" xfId="2" applyNumberFormat="1" applyFont="1"/>
    <xf numFmtId="44" fontId="2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([$$-409]* #,##0.00_);_([$$-409]* \(#,##0.00\);_([$$-409]* &quot;-&quot;??_);_(@_)"/>
    </dxf>
    <dxf>
      <numFmt numFmtId="14" formatCode="0.0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AFDF956-F9F5-4EC7-B547-521A2DE94FCC}" autoFormatId="16" applyNumberFormats="0" applyBorderFormats="0" applyFontFormats="0" applyPatternFormats="0" applyAlignmentFormats="0" applyWidthHeightFormats="0">
  <queryTableRefresh nextId="22">
    <queryTableFields count="21">
      <queryTableField id="1" name=" Branch " tableColumnId="1"/>
      <queryTableField id="2" name=" Google Ads " tableColumnId="2"/>
      <queryTableField id="3" name=" LSA " tableColumnId="3"/>
      <queryTableField id="4" name=" Bing " tableColumnId="4"/>
      <queryTableField id="5" name=" Goodzer " tableColumnId="5"/>
      <queryTableField id="6" name=" LBC " tableColumnId="6"/>
      <queryTableField id="7" name=" PestNet " tableColumnId="7"/>
      <queryTableField id="8" name=" eLocal " tableColumnId="8"/>
      <queryTableField id="9" name=" Meta " tableColumnId="9"/>
      <queryTableField id="10" name=" RingLocal " tableColumnId="10"/>
      <queryTableField id="11" name=" Con Affairs " tableColumnId="11"/>
      <queryTableField id="12" name=" Aragon " tableColumnId="12"/>
      <queryTableField id="13" name=" Service Direct " tableColumnId="13"/>
      <queryTableField id="14" name=" Baton " tableColumnId="14"/>
      <queryTableField id="15" name=" Lead Prediction " tableColumnId="15"/>
      <queryTableField id="16" name=" Abstrakt " tableColumnId="16"/>
      <queryTableField id="17" name=" Yelp " tableColumnId="17"/>
      <queryTableField id="18" name=" Total " tableColumnId="18"/>
      <queryTableField id="19" name="Column1" tableColumnId="19"/>
      <queryTableField id="20" name=" Baton Raw " tableColumnId="20"/>
      <queryTableField id="21" name="_1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5C6494A-004E-4EF3-8E8D-9B9D10FFFDBB}" autoFormatId="16" applyNumberFormats="0" applyBorderFormats="0" applyFontFormats="0" applyPatternFormats="0" applyAlignmentFormats="0" applyWidthHeightFormats="0">
  <queryTableRefresh nextId="9" unboundColumnsRight="1">
    <queryTableFields count="7">
      <queryTableField id="1" name="Branch" tableColumnId="1"/>
      <queryTableField id="2" name="Year" tableColumnId="2"/>
      <queryTableField id="3" name="Leads" tableColumnId="3"/>
      <queryTableField id="4" name="Sales" tableColumnId="4"/>
      <queryTableField id="5" name="Close Rate (Sales/Leads)" tableColumnId="5"/>
      <queryTableField id="6" name="Contract Value" tableColumnId="6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14B753-5367-4CEE-9738-AD28FC7BBC38}" name="Branch_Spend" displayName="Branch_Spend" ref="A1:U30" tableType="queryTable" totalsRowShown="0">
  <autoFilter ref="A1:U30" xr:uid="{5A14B753-5367-4CEE-9738-AD28FC7BBC38}"/>
  <tableColumns count="21">
    <tableColumn id="1" xr3:uid="{59CC342B-57D8-4DB2-BFEA-50CC6F787490}" uniqueName="1" name=" Branch " queryTableFieldId="1" dataDxfId="4"/>
    <tableColumn id="2" xr3:uid="{32030DD2-3320-451A-ACE6-6825E4194CBA}" uniqueName="2" name=" Google Ads " queryTableFieldId="2"/>
    <tableColumn id="3" xr3:uid="{404B9133-51F2-4C64-82E3-C96938222342}" uniqueName="3" name=" LSA " queryTableFieldId="3"/>
    <tableColumn id="4" xr3:uid="{53EB4737-AB1C-469C-B3F9-A5ECEA2B7D99}" uniqueName="4" name=" Bing " queryTableFieldId="4"/>
    <tableColumn id="5" xr3:uid="{44F3DAEF-29A8-423F-B01F-4CB33ABF6B39}" uniqueName="5" name=" Goodzer " queryTableFieldId="5"/>
    <tableColumn id="6" xr3:uid="{86D57E49-5C48-4E25-B6DA-B8AE3C8C1031}" uniqueName="6" name=" LBC " queryTableFieldId="6"/>
    <tableColumn id="7" xr3:uid="{1CA0095E-E37E-4DE9-A11D-064BA1F8E35B}" uniqueName="7" name=" PestNet " queryTableFieldId="7"/>
    <tableColumn id="8" xr3:uid="{70922347-722F-4809-98D6-76C454026929}" uniqueName="8" name=" eLocal " queryTableFieldId="8"/>
    <tableColumn id="9" xr3:uid="{BD184F57-910B-43A5-B0DF-67418CB81C24}" uniqueName="9" name=" Meta " queryTableFieldId="9"/>
    <tableColumn id="10" xr3:uid="{DA3CB87E-E880-496A-BAC4-24B77E010BD2}" uniqueName="10" name=" RingLocal " queryTableFieldId="10"/>
    <tableColumn id="11" xr3:uid="{07F9B218-CC37-4620-ADE0-0C115AEB158D}" uniqueName="11" name=" Con Affairs " queryTableFieldId="11"/>
    <tableColumn id="12" xr3:uid="{B1A446B6-323B-42CA-B672-B5DBAEE954BD}" uniqueName="12" name=" Aragon " queryTableFieldId="12"/>
    <tableColumn id="13" xr3:uid="{B597AFE9-5248-44CB-834E-7550C855E96E}" uniqueName="13" name=" Service Direct " queryTableFieldId="13"/>
    <tableColumn id="14" xr3:uid="{C1E858F9-892A-490F-9786-C099682C6B3A}" uniqueName="14" name=" Baton " queryTableFieldId="14" dataDxfId="3"/>
    <tableColumn id="15" xr3:uid="{F1D90F49-E7C2-4931-9B8A-B161016762E6}" uniqueName="15" name=" Lead Prediction " queryTableFieldId="15"/>
    <tableColumn id="16" xr3:uid="{44EF3DE6-AFA5-4819-82E0-64579D5E177F}" uniqueName="16" name=" Abstrakt " queryTableFieldId="16"/>
    <tableColumn id="17" xr3:uid="{96D7D180-FDE5-4E55-A772-FDC18898AD25}" uniqueName="17" name=" Yelp " queryTableFieldId="17"/>
    <tableColumn id="18" xr3:uid="{B22CCE16-934C-4CAB-B58F-64C00D42DD47}" uniqueName="18" name=" Total " queryTableFieldId="18" dataDxfId="2"/>
    <tableColumn id="19" xr3:uid="{32C1BFFA-AF4D-4AB9-8D6E-0024CAAF273D}" uniqueName="19" name="Column1" queryTableFieldId="19" dataDxfId="1"/>
    <tableColumn id="20" xr3:uid="{EF086C36-B4B6-4206-A9BE-85D69944DC3A}" uniqueName="20" name=" Baton Raw " queryTableFieldId="20"/>
    <tableColumn id="21" xr3:uid="{3B548BFB-2A87-4F58-8F82-8185186F4B0D}" uniqueName="21" name="_1" queryTableFieldId="2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7F3641-1EA1-4A30-9D81-789059E0EB43}" name="Orlando_Spend_And_Close_Rate" displayName="Orlando_Spend_And_Close_Rate" ref="A1:G44" tableType="queryTable" totalsRowShown="0">
  <autoFilter ref="A1:G44" xr:uid="{B27F3641-1EA1-4A30-9D81-789059E0EB43}"/>
  <tableColumns count="7">
    <tableColumn id="1" xr3:uid="{3F4D56C8-F210-49E2-A536-1C578C705109}" uniqueName="1" name="Branch" queryTableFieldId="1" dataDxfId="7"/>
    <tableColumn id="2" xr3:uid="{88E14C59-8776-4784-A877-F050745A6A2F}" uniqueName="2" name="Year" queryTableFieldId="2"/>
    <tableColumn id="3" xr3:uid="{F95098E8-1294-4F82-8225-CA037D5B8F32}" uniqueName="3" name="Leads" queryTableFieldId="3"/>
    <tableColumn id="4" xr3:uid="{8F4D564D-7048-4D8F-A647-36149652FE8A}" uniqueName="4" name="Sales" queryTableFieldId="4"/>
    <tableColumn id="5" xr3:uid="{690667AE-E3D9-48C0-A02C-344A9BFB6AE2}" uniqueName="5" name="Close Rate (Sales/Leads)" queryTableFieldId="5" dataDxfId="6" dataCellStyle="Percent"/>
    <tableColumn id="6" xr3:uid="{5EC79CF0-9EC2-421E-B1E2-BF95687F35E4}" uniqueName="6" name="Contract Value" queryTableFieldId="6" dataDxfId="5" dataCellStyle="Currency"/>
    <tableColumn id="8" xr3:uid="{6155F831-60CC-463D-9C36-F1829403240E}" uniqueName="8" name="Spend" queryTableFieldId="8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M8" sqref="M8"/>
    </sheetView>
  </sheetViews>
  <sheetFormatPr defaultRowHeight="15" x14ac:dyDescent="0.25"/>
  <cols>
    <col min="1" max="1" width="20.28515625" style="10" customWidth="1"/>
    <col min="2" max="3" width="12" bestFit="1" customWidth="1"/>
    <col min="4" max="4" width="12" style="3" bestFit="1" customWidth="1"/>
    <col min="5" max="5" width="15.5703125" style="2" bestFit="1" customWidth="1"/>
    <col min="6" max="6" width="12.5703125" style="2" bestFit="1" customWidth="1"/>
  </cols>
  <sheetData>
    <row r="1" spans="1:7" x14ac:dyDescent="0.25">
      <c r="B1" s="10" t="str">
        <f>'Orlando Spend And Close Rate'!I1</f>
        <v>Leads</v>
      </c>
      <c r="C1" s="10" t="str">
        <f>'Orlando Spend And Close Rate'!J1</f>
        <v>Sales</v>
      </c>
      <c r="D1" s="12" t="str">
        <f>'Orlando Spend And Close Rate'!K1</f>
        <v>Close rate</v>
      </c>
      <c r="E1" s="13" t="str">
        <f>'Orlando Spend And Close Rate'!L1</f>
        <v>Contract Value</v>
      </c>
      <c r="F1" s="13" t="str">
        <f>'Orlando Spend And Close Rate'!M1</f>
        <v>Spend</v>
      </c>
      <c r="G1" s="10" t="str">
        <f>'Orlando Spend And Close Rate'!N1</f>
        <v>ROI (Contract Value minus spend divided by spend)</v>
      </c>
    </row>
    <row r="2" spans="1:7" x14ac:dyDescent="0.25">
      <c r="A2" s="10" t="str">
        <f>'Orlando Spend And Close Rate'!H2</f>
        <v>Avg Incl Orlando</v>
      </c>
      <c r="B2" s="6">
        <f>'Orlando Spend And Close Rate'!I2</f>
        <v>2054.9761904761904</v>
      </c>
      <c r="C2" s="6">
        <f>'Orlando Spend And Close Rate'!J2</f>
        <v>780.35714285714289</v>
      </c>
      <c r="D2" s="3">
        <f>'Orlando Spend And Close Rate'!K2</f>
        <v>0.36272142857142853</v>
      </c>
      <c r="E2" s="2">
        <f>'Orlando Spend And Close Rate'!L2</f>
        <v>763991.76428571402</v>
      </c>
      <c r="F2" s="2">
        <f>'Orlando Spend And Close Rate'!M2</f>
        <v>171339.20689655171</v>
      </c>
      <c r="G2">
        <f>'Orlando Spend And Close Rate'!N2</f>
        <v>3.4589430412560738</v>
      </c>
    </row>
    <row r="3" spans="1:7" x14ac:dyDescent="0.25">
      <c r="A3" s="10" t="str">
        <f>'Orlando Spend And Close Rate'!H3</f>
        <v>Avg Excl Orlando</v>
      </c>
      <c r="B3" s="6">
        <f>'Orlando Spend And Close Rate'!I3</f>
        <v>2076.9268292682927</v>
      </c>
      <c r="C3" s="6">
        <f>'Orlando Spend And Close Rate'!J3</f>
        <v>790.2439024390244</v>
      </c>
      <c r="D3" s="3">
        <f>'Orlando Spend And Close Rate'!K3</f>
        <v>0.36364878048780486</v>
      </c>
      <c r="E3" s="2">
        <f>'Orlando Spend And Close Rate'!L3</f>
        <v>775073.53902439005</v>
      </c>
      <c r="F3" s="2">
        <f>'Orlando Spend And Close Rate'!M3</f>
        <v>171245.92857142858</v>
      </c>
      <c r="G3">
        <f>'Orlando Spend And Close Rate'!N3</f>
        <v>3.5260844768119446</v>
      </c>
    </row>
    <row r="5" spans="1:7" x14ac:dyDescent="0.25">
      <c r="A5" s="10" t="str">
        <f>'Orlando Spend And Close Rate'!H5</f>
        <v>Median Incl Orlando</v>
      </c>
      <c r="B5" s="6">
        <f>'Orlando Spend And Close Rate'!I5</f>
        <v>1710.5</v>
      </c>
      <c r="C5">
        <f>'Orlando Spend And Close Rate'!J5</f>
        <v>603</v>
      </c>
      <c r="D5" s="3">
        <f>'Orlando Spend And Close Rate'!K5</f>
        <v>0.36509999999999998</v>
      </c>
      <c r="E5" s="2">
        <f>'Orlando Spend And Close Rate'!L5</f>
        <v>581903.75</v>
      </c>
      <c r="F5" s="2">
        <f>'Orlando Spend And Close Rate'!M5</f>
        <v>161456</v>
      </c>
      <c r="G5">
        <f>'Orlando Spend And Close Rate'!N5</f>
        <v>2.6041011173322763</v>
      </c>
    </row>
    <row r="6" spans="1:7" x14ac:dyDescent="0.25">
      <c r="A6" s="10" t="str">
        <f>'Orlando Spend And Close Rate'!H6</f>
        <v>Median Excl Orlando</v>
      </c>
      <c r="B6">
        <f>'Orlando Spend And Close Rate'!I6</f>
        <v>1724</v>
      </c>
      <c r="C6">
        <f>'Orlando Spend And Close Rate'!J6</f>
        <v>617</v>
      </c>
      <c r="D6" s="3">
        <f>'Orlando Spend And Close Rate'!K6</f>
        <v>0.36549999999999999</v>
      </c>
      <c r="E6" s="2">
        <f>'Orlando Spend And Close Rate'!L6</f>
        <v>595648.5</v>
      </c>
      <c r="F6" s="2">
        <f>'Orlando Spend And Close Rate'!M6</f>
        <v>149166.5</v>
      </c>
      <c r="G6">
        <f>'Orlando Spend And Close Rate'!N6</f>
        <v>2.9931787633282272</v>
      </c>
    </row>
    <row r="8" spans="1:7" x14ac:dyDescent="0.25">
      <c r="A8" s="10" t="str">
        <f>'Orlando Spend And Close Rate'!H8</f>
        <v>Actual Orlando</v>
      </c>
      <c r="B8">
        <f>'Orlando Spend And Close Rate'!I8</f>
        <v>1155</v>
      </c>
      <c r="C8">
        <f>'Orlando Spend And Close Rate'!J8</f>
        <v>375</v>
      </c>
      <c r="D8" s="3">
        <f>'Orlando Spend And Close Rate'!K8</f>
        <v>0.32469999999999999</v>
      </c>
      <c r="E8" s="2">
        <f>'Orlando Spend And Close Rate'!L8</f>
        <v>309639</v>
      </c>
      <c r="F8" s="2">
        <f>'Orlando Spend And Close Rate'!M8</f>
        <v>173951</v>
      </c>
      <c r="G8">
        <f>'Orlando Spend And Close Rate'!N8</f>
        <v>0.78003575719599194</v>
      </c>
    </row>
    <row r="10" spans="1:7" x14ac:dyDescent="0.25">
      <c r="A10" s="10" t="str">
        <f>'Orlando Spend And Close Rate'!H10</f>
        <v>Conclusion:</v>
      </c>
    </row>
    <row r="11" spans="1:7" ht="135" x14ac:dyDescent="0.25">
      <c r="A11" s="11" t="str">
        <f>'Orlando Spend And Close Rate'!H11</f>
        <v>Orlando is bringing down the company average and median in leads, sales, contract value and ROI while increasing the average and median company spend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85D12-3802-4C50-B027-AAC14D3B3E3C}">
  <dimension ref="A1:U30"/>
  <sheetViews>
    <sheetView workbookViewId="0">
      <selection activeCell="R28" sqref="R28"/>
    </sheetView>
  </sheetViews>
  <sheetFormatPr defaultRowHeight="15" x14ac:dyDescent="0.25"/>
  <cols>
    <col min="1" max="1" width="17.42578125" bestFit="1" customWidth="1"/>
    <col min="2" max="2" width="14.28515625" bestFit="1" customWidth="1"/>
    <col min="3" max="4" width="8" bestFit="1" customWidth="1"/>
    <col min="5" max="5" width="11.7109375" bestFit="1" customWidth="1"/>
    <col min="6" max="6" width="7.28515625" bestFit="1" customWidth="1"/>
    <col min="7" max="7" width="11.28515625" bestFit="1" customWidth="1"/>
    <col min="8" max="8" width="9.7109375" bestFit="1" customWidth="1"/>
    <col min="9" max="9" width="8.85546875" bestFit="1" customWidth="1"/>
    <col min="10" max="10" width="12.42578125" bestFit="1" customWidth="1"/>
    <col min="11" max="11" width="13.85546875" bestFit="1" customWidth="1"/>
    <col min="12" max="12" width="10.42578125" bestFit="1" customWidth="1"/>
    <col min="13" max="13" width="16.42578125" bestFit="1" customWidth="1"/>
    <col min="14" max="14" width="9.28515625" bestFit="1" customWidth="1"/>
    <col min="15" max="15" width="18" bestFit="1" customWidth="1"/>
    <col min="16" max="16" width="11.5703125" bestFit="1" customWidth="1"/>
    <col min="17" max="17" width="8.140625" bestFit="1" customWidth="1"/>
    <col min="18" max="18" width="11" bestFit="1" customWidth="1"/>
    <col min="19" max="19" width="11.140625" bestFit="1" customWidth="1"/>
    <col min="20" max="20" width="13.42578125" bestFit="1" customWidth="1"/>
    <col min="21" max="21" width="5.28515625" bestFit="1" customWidth="1"/>
  </cols>
  <sheetData>
    <row r="1" spans="1:21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49</v>
      </c>
      <c r="T1" t="s">
        <v>75</v>
      </c>
      <c r="U1" t="s">
        <v>76</v>
      </c>
    </row>
    <row r="2" spans="1:21" x14ac:dyDescent="0.25">
      <c r="A2" s="1" t="s">
        <v>77</v>
      </c>
      <c r="B2">
        <v>40771</v>
      </c>
      <c r="C2">
        <v>33542</v>
      </c>
      <c r="D2">
        <v>5272</v>
      </c>
      <c r="E2">
        <v>1850</v>
      </c>
      <c r="F2">
        <v>3036</v>
      </c>
      <c r="G2">
        <v>8707</v>
      </c>
      <c r="H2">
        <v>6055</v>
      </c>
      <c r="I2">
        <v>67</v>
      </c>
      <c r="J2">
        <v>528</v>
      </c>
      <c r="K2">
        <v>1657</v>
      </c>
      <c r="L2">
        <v>1525</v>
      </c>
      <c r="M2">
        <v>4630</v>
      </c>
      <c r="N2" s="1" t="s">
        <v>78</v>
      </c>
      <c r="O2">
        <v>3312</v>
      </c>
      <c r="P2">
        <v>724</v>
      </c>
      <c r="Q2">
        <v>345</v>
      </c>
      <c r="R2" s="1" t="s">
        <v>79</v>
      </c>
      <c r="S2" s="1" t="s">
        <v>80</v>
      </c>
      <c r="T2">
        <v>6676</v>
      </c>
      <c r="U2" s="1" t="s">
        <v>80</v>
      </c>
    </row>
    <row r="3" spans="1:21" x14ac:dyDescent="0.25">
      <c r="A3" s="1" t="s">
        <v>81</v>
      </c>
      <c r="B3">
        <v>36130</v>
      </c>
      <c r="C3">
        <v>44523</v>
      </c>
      <c r="D3">
        <v>1606</v>
      </c>
      <c r="E3">
        <v>2540</v>
      </c>
      <c r="F3">
        <v>3036</v>
      </c>
      <c r="G3">
        <v>8707</v>
      </c>
      <c r="H3">
        <v>3325</v>
      </c>
      <c r="I3">
        <v>67</v>
      </c>
      <c r="J3">
        <v>528</v>
      </c>
      <c r="K3">
        <v>1657</v>
      </c>
      <c r="L3">
        <v>1525</v>
      </c>
      <c r="M3">
        <v>340</v>
      </c>
      <c r="N3" s="1" t="s">
        <v>82</v>
      </c>
      <c r="O3">
        <v>3312</v>
      </c>
      <c r="P3">
        <v>724</v>
      </c>
      <c r="Q3">
        <v>345</v>
      </c>
      <c r="R3" s="1" t="s">
        <v>83</v>
      </c>
      <c r="S3" s="1" t="s">
        <v>80</v>
      </c>
      <c r="T3">
        <v>1764</v>
      </c>
      <c r="U3" s="1" t="s">
        <v>80</v>
      </c>
    </row>
    <row r="4" spans="1:21" x14ac:dyDescent="0.25">
      <c r="A4" s="1" t="s">
        <v>84</v>
      </c>
      <c r="B4">
        <v>182206</v>
      </c>
      <c r="C4">
        <v>226155</v>
      </c>
      <c r="D4">
        <v>14923</v>
      </c>
      <c r="E4">
        <v>8910</v>
      </c>
      <c r="F4">
        <v>6072</v>
      </c>
      <c r="G4">
        <v>17414</v>
      </c>
      <c r="H4">
        <v>43105</v>
      </c>
      <c r="I4">
        <v>135</v>
      </c>
      <c r="J4">
        <v>1056</v>
      </c>
      <c r="K4">
        <v>3313</v>
      </c>
      <c r="L4">
        <v>3049</v>
      </c>
      <c r="M4">
        <v>15985</v>
      </c>
      <c r="N4" s="1" t="s">
        <v>85</v>
      </c>
      <c r="O4">
        <v>6625</v>
      </c>
      <c r="P4">
        <v>1448</v>
      </c>
      <c r="Q4">
        <v>690</v>
      </c>
      <c r="R4" s="7">
        <v>530666</v>
      </c>
      <c r="S4" s="1" t="s">
        <v>86</v>
      </c>
      <c r="T4">
        <v>24501</v>
      </c>
      <c r="U4" s="1" t="s">
        <v>80</v>
      </c>
    </row>
    <row r="5" spans="1:21" x14ac:dyDescent="0.25">
      <c r="A5" s="1" t="s">
        <v>87</v>
      </c>
      <c r="B5">
        <v>26964</v>
      </c>
      <c r="C5">
        <v>8672</v>
      </c>
      <c r="D5">
        <v>4482</v>
      </c>
      <c r="E5">
        <v>2240</v>
      </c>
      <c r="F5">
        <v>3036</v>
      </c>
      <c r="G5">
        <v>8707</v>
      </c>
      <c r="H5">
        <v>9180</v>
      </c>
      <c r="I5">
        <v>67</v>
      </c>
      <c r="J5">
        <v>528</v>
      </c>
      <c r="K5">
        <v>1657</v>
      </c>
      <c r="L5">
        <v>1525</v>
      </c>
      <c r="M5">
        <v>820</v>
      </c>
      <c r="N5" s="1" t="s">
        <v>88</v>
      </c>
      <c r="O5">
        <v>3312</v>
      </c>
      <c r="P5">
        <v>724</v>
      </c>
      <c r="Q5">
        <v>345</v>
      </c>
      <c r="R5" s="1" t="s">
        <v>89</v>
      </c>
      <c r="S5" s="1" t="s">
        <v>80</v>
      </c>
      <c r="T5">
        <v>1697</v>
      </c>
      <c r="U5" s="1" t="s">
        <v>80</v>
      </c>
    </row>
    <row r="6" spans="1:21" x14ac:dyDescent="0.25">
      <c r="A6" s="1" t="s">
        <v>90</v>
      </c>
      <c r="B6">
        <v>149714</v>
      </c>
      <c r="C6">
        <v>88958</v>
      </c>
      <c r="D6">
        <v>9967</v>
      </c>
      <c r="E6">
        <v>2465</v>
      </c>
      <c r="F6">
        <v>3036</v>
      </c>
      <c r="G6">
        <v>8707</v>
      </c>
      <c r="H6">
        <v>12900</v>
      </c>
      <c r="I6">
        <v>67</v>
      </c>
      <c r="J6">
        <v>528</v>
      </c>
      <c r="K6">
        <v>1657</v>
      </c>
      <c r="L6">
        <v>1525</v>
      </c>
      <c r="M6">
        <v>2650</v>
      </c>
      <c r="N6" s="1" t="s">
        <v>91</v>
      </c>
      <c r="O6">
        <v>3312</v>
      </c>
      <c r="P6">
        <v>724</v>
      </c>
      <c r="Q6">
        <v>345</v>
      </c>
      <c r="R6" s="1" t="s">
        <v>92</v>
      </c>
      <c r="S6" s="1" t="s">
        <v>80</v>
      </c>
      <c r="T6">
        <v>10319</v>
      </c>
      <c r="U6" s="1" t="s">
        <v>80</v>
      </c>
    </row>
    <row r="7" spans="1:21" x14ac:dyDescent="0.25">
      <c r="A7" s="1" t="s">
        <v>93</v>
      </c>
      <c r="B7">
        <v>78712</v>
      </c>
      <c r="C7">
        <v>104342</v>
      </c>
      <c r="D7">
        <v>5272</v>
      </c>
      <c r="E7">
        <v>3650</v>
      </c>
      <c r="F7">
        <v>3036</v>
      </c>
      <c r="G7">
        <v>8707</v>
      </c>
      <c r="H7">
        <v>18455</v>
      </c>
      <c r="I7">
        <v>67</v>
      </c>
      <c r="J7">
        <v>528</v>
      </c>
      <c r="K7">
        <v>1657</v>
      </c>
      <c r="L7">
        <v>1525</v>
      </c>
      <c r="M7">
        <v>3000</v>
      </c>
      <c r="N7" s="1" t="s">
        <v>94</v>
      </c>
      <c r="O7">
        <v>3312</v>
      </c>
      <c r="P7">
        <v>724</v>
      </c>
      <c r="Q7">
        <v>345</v>
      </c>
      <c r="R7" s="1" t="s">
        <v>95</v>
      </c>
      <c r="S7" s="1" t="s">
        <v>80</v>
      </c>
      <c r="T7">
        <v>3478</v>
      </c>
      <c r="U7" s="1" t="s">
        <v>80</v>
      </c>
    </row>
    <row r="8" spans="1:21" x14ac:dyDescent="0.25">
      <c r="A8" s="1" t="s">
        <v>96</v>
      </c>
      <c r="B8">
        <v>44281</v>
      </c>
      <c r="C8">
        <v>48405</v>
      </c>
      <c r="D8">
        <v>5311</v>
      </c>
      <c r="E8">
        <v>825</v>
      </c>
      <c r="F8">
        <v>3036</v>
      </c>
      <c r="G8">
        <v>8707</v>
      </c>
      <c r="H8">
        <v>3510</v>
      </c>
      <c r="I8">
        <v>67</v>
      </c>
      <c r="J8">
        <v>528</v>
      </c>
      <c r="K8">
        <v>1657</v>
      </c>
      <c r="L8">
        <v>1525</v>
      </c>
      <c r="M8">
        <v>750</v>
      </c>
      <c r="N8" s="1" t="s">
        <v>97</v>
      </c>
      <c r="O8">
        <v>3312</v>
      </c>
      <c r="P8">
        <v>724</v>
      </c>
      <c r="Q8">
        <v>345</v>
      </c>
      <c r="R8" s="1" t="s">
        <v>98</v>
      </c>
      <c r="S8" s="1" t="s">
        <v>80</v>
      </c>
      <c r="T8">
        <v>21505</v>
      </c>
      <c r="U8" s="1" t="s">
        <v>80</v>
      </c>
    </row>
    <row r="9" spans="1:21" x14ac:dyDescent="0.25">
      <c r="A9" s="1" t="s">
        <v>99</v>
      </c>
      <c r="B9">
        <v>248799</v>
      </c>
      <c r="C9">
        <v>75312</v>
      </c>
      <c r="D9">
        <v>13445</v>
      </c>
      <c r="E9">
        <v>2500</v>
      </c>
      <c r="F9">
        <v>6072</v>
      </c>
      <c r="G9">
        <v>17414</v>
      </c>
      <c r="H9">
        <v>21230</v>
      </c>
      <c r="I9">
        <v>135</v>
      </c>
      <c r="J9">
        <v>1056</v>
      </c>
      <c r="K9">
        <v>3313</v>
      </c>
      <c r="L9">
        <v>3049</v>
      </c>
      <c r="M9">
        <v>5205</v>
      </c>
      <c r="N9" s="1" t="s">
        <v>100</v>
      </c>
      <c r="O9">
        <v>6625</v>
      </c>
      <c r="P9">
        <v>1448</v>
      </c>
      <c r="Q9">
        <v>690</v>
      </c>
      <c r="R9" s="1" t="s">
        <v>101</v>
      </c>
      <c r="S9" s="1" t="s">
        <v>86</v>
      </c>
      <c r="T9">
        <v>60341</v>
      </c>
      <c r="U9" s="1" t="s">
        <v>80</v>
      </c>
    </row>
    <row r="10" spans="1:21" x14ac:dyDescent="0.25">
      <c r="A10" s="1" t="s">
        <v>102</v>
      </c>
      <c r="B10">
        <v>28907</v>
      </c>
      <c r="C10">
        <v>45281</v>
      </c>
      <c r="D10">
        <v>1537.59</v>
      </c>
      <c r="E10">
        <v>2010</v>
      </c>
      <c r="F10">
        <v>3036</v>
      </c>
      <c r="G10">
        <v>8707</v>
      </c>
      <c r="H10">
        <v>3680</v>
      </c>
      <c r="I10">
        <v>67</v>
      </c>
      <c r="J10">
        <v>528</v>
      </c>
      <c r="K10">
        <v>1657</v>
      </c>
      <c r="L10">
        <v>1525</v>
      </c>
      <c r="M10">
        <v>806</v>
      </c>
      <c r="N10" s="1" t="s">
        <v>103</v>
      </c>
      <c r="O10">
        <v>3312</v>
      </c>
      <c r="P10">
        <v>724</v>
      </c>
      <c r="Q10">
        <v>345</v>
      </c>
      <c r="R10" s="1" t="s">
        <v>104</v>
      </c>
      <c r="S10" s="1" t="s">
        <v>80</v>
      </c>
      <c r="T10">
        <v>1056</v>
      </c>
      <c r="U10" s="1" t="s">
        <v>80</v>
      </c>
    </row>
    <row r="11" spans="1:21" x14ac:dyDescent="0.25">
      <c r="A11" s="1" t="s">
        <v>105</v>
      </c>
      <c r="B11">
        <v>71889</v>
      </c>
      <c r="C11">
        <v>16528</v>
      </c>
      <c r="D11">
        <v>1537.59</v>
      </c>
      <c r="E11">
        <v>910</v>
      </c>
      <c r="F11">
        <v>3036</v>
      </c>
      <c r="G11">
        <v>8707</v>
      </c>
      <c r="H11">
        <v>560</v>
      </c>
      <c r="I11">
        <v>67</v>
      </c>
      <c r="J11">
        <v>528</v>
      </c>
      <c r="K11">
        <v>1657</v>
      </c>
      <c r="L11">
        <v>1525</v>
      </c>
      <c r="N11" s="1" t="s">
        <v>106</v>
      </c>
      <c r="O11">
        <v>3312</v>
      </c>
      <c r="P11">
        <v>724</v>
      </c>
      <c r="Q11">
        <v>345</v>
      </c>
      <c r="R11" s="1" t="s">
        <v>107</v>
      </c>
      <c r="S11" s="1" t="s">
        <v>80</v>
      </c>
      <c r="T11">
        <v>10660</v>
      </c>
      <c r="U11" s="1" t="s">
        <v>80</v>
      </c>
    </row>
    <row r="12" spans="1:21" x14ac:dyDescent="0.25">
      <c r="A12" s="1" t="s">
        <v>108</v>
      </c>
      <c r="B12">
        <v>137042.04</v>
      </c>
      <c r="C12">
        <v>94979</v>
      </c>
      <c r="D12">
        <v>9725</v>
      </c>
      <c r="E12">
        <v>5970</v>
      </c>
      <c r="F12">
        <v>3036</v>
      </c>
      <c r="G12">
        <v>8707</v>
      </c>
      <c r="H12">
        <v>9230</v>
      </c>
      <c r="I12">
        <v>67</v>
      </c>
      <c r="J12">
        <v>528</v>
      </c>
      <c r="K12">
        <v>1657</v>
      </c>
      <c r="L12">
        <v>1525</v>
      </c>
      <c r="M12">
        <v>5760</v>
      </c>
      <c r="N12" s="1" t="s">
        <v>109</v>
      </c>
      <c r="O12">
        <v>3312</v>
      </c>
      <c r="P12">
        <v>724</v>
      </c>
      <c r="Q12">
        <v>345</v>
      </c>
      <c r="R12" s="1" t="s">
        <v>110</v>
      </c>
      <c r="S12" s="1" t="s">
        <v>80</v>
      </c>
      <c r="T12">
        <v>32505</v>
      </c>
      <c r="U12" s="1" t="s">
        <v>80</v>
      </c>
    </row>
    <row r="13" spans="1:21" x14ac:dyDescent="0.25">
      <c r="A13" s="1" t="s">
        <v>111</v>
      </c>
      <c r="B13">
        <v>176628</v>
      </c>
      <c r="C13">
        <v>64266</v>
      </c>
      <c r="D13">
        <v>5272</v>
      </c>
      <c r="E13">
        <v>2990</v>
      </c>
      <c r="F13">
        <v>3036</v>
      </c>
      <c r="G13">
        <v>8707</v>
      </c>
      <c r="H13">
        <v>14995</v>
      </c>
      <c r="I13">
        <v>67</v>
      </c>
      <c r="J13">
        <v>528</v>
      </c>
      <c r="K13">
        <v>1657</v>
      </c>
      <c r="L13">
        <v>1525</v>
      </c>
      <c r="M13">
        <v>9165</v>
      </c>
      <c r="N13" s="1" t="s">
        <v>112</v>
      </c>
      <c r="O13">
        <v>3312</v>
      </c>
      <c r="P13">
        <v>724</v>
      </c>
      <c r="Q13">
        <v>345</v>
      </c>
      <c r="R13" s="1" t="s">
        <v>113</v>
      </c>
      <c r="S13" s="1" t="s">
        <v>80</v>
      </c>
      <c r="T13">
        <v>15659</v>
      </c>
      <c r="U13" s="1" t="s">
        <v>80</v>
      </c>
    </row>
    <row r="14" spans="1:21" x14ac:dyDescent="0.25">
      <c r="A14" s="1" t="s">
        <v>114</v>
      </c>
      <c r="B14">
        <v>33242</v>
      </c>
      <c r="C14">
        <v>13896</v>
      </c>
      <c r="D14">
        <v>1606</v>
      </c>
      <c r="E14">
        <v>2335</v>
      </c>
      <c r="F14">
        <v>3036</v>
      </c>
      <c r="G14">
        <v>8707</v>
      </c>
      <c r="H14">
        <v>4715</v>
      </c>
      <c r="I14">
        <v>67</v>
      </c>
      <c r="J14">
        <v>528</v>
      </c>
      <c r="K14">
        <v>1657</v>
      </c>
      <c r="L14">
        <v>1525</v>
      </c>
      <c r="M14">
        <v>155</v>
      </c>
      <c r="N14" s="1" t="s">
        <v>115</v>
      </c>
      <c r="O14">
        <v>3312</v>
      </c>
      <c r="P14">
        <v>724</v>
      </c>
      <c r="Q14">
        <v>345</v>
      </c>
      <c r="R14" s="1" t="s">
        <v>116</v>
      </c>
      <c r="S14" s="1" t="s">
        <v>80</v>
      </c>
      <c r="T14">
        <v>536</v>
      </c>
      <c r="U14" s="1" t="s">
        <v>80</v>
      </c>
    </row>
    <row r="15" spans="1:21" x14ac:dyDescent="0.25">
      <c r="A15" s="1" t="s">
        <v>117</v>
      </c>
      <c r="B15">
        <v>36734</v>
      </c>
      <c r="C15">
        <v>41556</v>
      </c>
      <c r="D15">
        <v>3944</v>
      </c>
      <c r="E15">
        <v>1555</v>
      </c>
      <c r="F15">
        <v>3036</v>
      </c>
      <c r="G15">
        <v>8707</v>
      </c>
      <c r="H15">
        <v>3390</v>
      </c>
      <c r="I15">
        <v>67</v>
      </c>
      <c r="J15">
        <v>528</v>
      </c>
      <c r="K15">
        <v>1657</v>
      </c>
      <c r="L15">
        <v>1525</v>
      </c>
      <c r="M15">
        <v>440</v>
      </c>
      <c r="N15" s="1" t="s">
        <v>86</v>
      </c>
      <c r="O15">
        <v>3312</v>
      </c>
      <c r="P15">
        <v>724</v>
      </c>
      <c r="Q15">
        <v>345</v>
      </c>
      <c r="R15" s="1" t="s">
        <v>118</v>
      </c>
      <c r="S15" s="1" t="s">
        <v>80</v>
      </c>
      <c r="U15" s="1" t="s">
        <v>80</v>
      </c>
    </row>
    <row r="16" spans="1:21" x14ac:dyDescent="0.25">
      <c r="A16" s="1" t="s">
        <v>119</v>
      </c>
      <c r="B16">
        <v>21152</v>
      </c>
      <c r="C16">
        <v>47576</v>
      </c>
      <c r="D16">
        <v>1537.59</v>
      </c>
      <c r="E16">
        <v>2635</v>
      </c>
      <c r="F16">
        <v>3036</v>
      </c>
      <c r="G16">
        <v>8707</v>
      </c>
      <c r="H16">
        <v>1445</v>
      </c>
      <c r="I16">
        <v>67</v>
      </c>
      <c r="J16">
        <v>528</v>
      </c>
      <c r="K16">
        <v>1657</v>
      </c>
      <c r="L16">
        <v>1525</v>
      </c>
      <c r="M16">
        <v>420</v>
      </c>
      <c r="N16" s="1" t="s">
        <v>120</v>
      </c>
      <c r="O16">
        <v>3312</v>
      </c>
      <c r="P16">
        <v>724</v>
      </c>
      <c r="Q16">
        <v>345</v>
      </c>
      <c r="R16" s="1" t="s">
        <v>121</v>
      </c>
      <c r="S16" s="1" t="s">
        <v>80</v>
      </c>
      <c r="T16">
        <v>2237</v>
      </c>
      <c r="U16" s="1" t="s">
        <v>80</v>
      </c>
    </row>
    <row r="17" spans="1:21" x14ac:dyDescent="0.25">
      <c r="A17" s="1" t="s">
        <v>122</v>
      </c>
      <c r="B17">
        <v>149714</v>
      </c>
      <c r="C17">
        <v>57237</v>
      </c>
      <c r="D17">
        <v>4656</v>
      </c>
      <c r="E17">
        <v>1900</v>
      </c>
      <c r="F17">
        <v>3036</v>
      </c>
      <c r="G17">
        <v>8707</v>
      </c>
      <c r="H17">
        <v>3505</v>
      </c>
      <c r="I17">
        <v>67</v>
      </c>
      <c r="J17">
        <v>528</v>
      </c>
      <c r="K17">
        <v>1657</v>
      </c>
      <c r="L17">
        <v>1525</v>
      </c>
      <c r="M17">
        <v>1600</v>
      </c>
      <c r="N17" s="1" t="s">
        <v>123</v>
      </c>
      <c r="O17">
        <v>3312</v>
      </c>
      <c r="P17">
        <v>724</v>
      </c>
      <c r="Q17">
        <v>345</v>
      </c>
      <c r="R17" s="1" t="s">
        <v>124</v>
      </c>
      <c r="S17" s="1" t="s">
        <v>80</v>
      </c>
      <c r="T17">
        <v>4074</v>
      </c>
      <c r="U17" s="1" t="s">
        <v>80</v>
      </c>
    </row>
    <row r="18" spans="1:21" x14ac:dyDescent="0.25">
      <c r="A18" s="1" t="s">
        <v>125</v>
      </c>
      <c r="B18">
        <v>30278</v>
      </c>
      <c r="C18">
        <v>51439</v>
      </c>
      <c r="D18">
        <v>1537.59</v>
      </c>
      <c r="E18">
        <v>4025</v>
      </c>
      <c r="F18">
        <v>3036</v>
      </c>
      <c r="G18">
        <v>8707</v>
      </c>
      <c r="H18">
        <v>7640</v>
      </c>
      <c r="I18">
        <v>67</v>
      </c>
      <c r="J18">
        <v>528</v>
      </c>
      <c r="K18">
        <v>1657</v>
      </c>
      <c r="L18">
        <v>1525</v>
      </c>
      <c r="M18">
        <v>1065</v>
      </c>
      <c r="N18" s="1" t="s">
        <v>126</v>
      </c>
      <c r="O18">
        <v>3312</v>
      </c>
      <c r="P18">
        <v>724</v>
      </c>
      <c r="Q18">
        <v>345</v>
      </c>
      <c r="R18" s="1" t="s">
        <v>127</v>
      </c>
      <c r="S18" s="1" t="s">
        <v>80</v>
      </c>
      <c r="T18">
        <v>1505</v>
      </c>
      <c r="U18" s="1" t="s">
        <v>80</v>
      </c>
    </row>
    <row r="19" spans="1:21" x14ac:dyDescent="0.25">
      <c r="A19" s="1" t="s">
        <v>128</v>
      </c>
      <c r="B19">
        <v>26146</v>
      </c>
      <c r="C19">
        <v>41418</v>
      </c>
      <c r="D19">
        <v>1537.59</v>
      </c>
      <c r="E19">
        <v>580</v>
      </c>
      <c r="F19">
        <v>3036</v>
      </c>
      <c r="G19">
        <v>8707</v>
      </c>
      <c r="H19">
        <v>2585</v>
      </c>
      <c r="I19">
        <v>67</v>
      </c>
      <c r="J19">
        <v>528</v>
      </c>
      <c r="K19">
        <v>1657</v>
      </c>
      <c r="L19">
        <v>1525</v>
      </c>
      <c r="M19">
        <v>55</v>
      </c>
      <c r="N19" s="1" t="s">
        <v>129</v>
      </c>
      <c r="O19">
        <v>3312</v>
      </c>
      <c r="P19">
        <v>724</v>
      </c>
      <c r="Q19">
        <v>345</v>
      </c>
      <c r="R19" s="1" t="s">
        <v>130</v>
      </c>
      <c r="S19" s="1" t="s">
        <v>80</v>
      </c>
      <c r="T19">
        <v>600</v>
      </c>
      <c r="U19" s="1" t="s">
        <v>80</v>
      </c>
    </row>
    <row r="20" spans="1:21" x14ac:dyDescent="0.25">
      <c r="A20" s="1" t="s">
        <v>131</v>
      </c>
      <c r="B20">
        <v>15337</v>
      </c>
      <c r="C20">
        <v>10283</v>
      </c>
      <c r="D20">
        <v>1606</v>
      </c>
      <c r="E20">
        <v>1525</v>
      </c>
      <c r="F20">
        <v>3036</v>
      </c>
      <c r="G20">
        <v>8707</v>
      </c>
      <c r="H20">
        <v>1545</v>
      </c>
      <c r="I20">
        <v>67</v>
      </c>
      <c r="J20">
        <v>528</v>
      </c>
      <c r="K20">
        <v>1657</v>
      </c>
      <c r="L20">
        <v>1525</v>
      </c>
      <c r="M20">
        <v>165</v>
      </c>
      <c r="N20" s="1" t="s">
        <v>132</v>
      </c>
      <c r="O20">
        <v>3312</v>
      </c>
      <c r="P20">
        <v>724</v>
      </c>
      <c r="Q20">
        <v>345</v>
      </c>
      <c r="R20" s="1" t="s">
        <v>133</v>
      </c>
      <c r="S20" s="1" t="s">
        <v>80</v>
      </c>
      <c r="T20">
        <v>646</v>
      </c>
      <c r="U20" s="1" t="s">
        <v>80</v>
      </c>
    </row>
    <row r="21" spans="1:21" x14ac:dyDescent="0.25">
      <c r="A21" s="1" t="s">
        <v>134</v>
      </c>
      <c r="B21">
        <v>61142</v>
      </c>
      <c r="C21">
        <v>14242</v>
      </c>
      <c r="D21">
        <v>2191</v>
      </c>
      <c r="E21">
        <v>1715</v>
      </c>
      <c r="F21">
        <v>3036</v>
      </c>
      <c r="G21">
        <v>8707</v>
      </c>
      <c r="H21">
        <v>9725</v>
      </c>
      <c r="I21">
        <v>67</v>
      </c>
      <c r="J21">
        <v>528</v>
      </c>
      <c r="K21">
        <v>1657</v>
      </c>
      <c r="L21">
        <v>1525</v>
      </c>
      <c r="M21">
        <v>1745</v>
      </c>
      <c r="N21" s="1" t="s">
        <v>135</v>
      </c>
      <c r="O21">
        <v>3312</v>
      </c>
      <c r="P21">
        <v>724</v>
      </c>
      <c r="Q21">
        <v>345</v>
      </c>
      <c r="R21" s="1" t="s">
        <v>136</v>
      </c>
      <c r="S21" s="1" t="s">
        <v>80</v>
      </c>
      <c r="T21">
        <v>23229</v>
      </c>
      <c r="U21" s="1" t="s">
        <v>80</v>
      </c>
    </row>
    <row r="22" spans="1:21" x14ac:dyDescent="0.25">
      <c r="A22" s="1" t="s">
        <v>137</v>
      </c>
      <c r="B22">
        <v>176579</v>
      </c>
      <c r="C22">
        <v>79860</v>
      </c>
      <c r="D22">
        <v>5272</v>
      </c>
      <c r="E22">
        <v>5900</v>
      </c>
      <c r="F22">
        <v>3036</v>
      </c>
      <c r="G22">
        <v>8707</v>
      </c>
      <c r="H22">
        <v>12910</v>
      </c>
      <c r="I22">
        <v>67</v>
      </c>
      <c r="J22">
        <v>528</v>
      </c>
      <c r="K22">
        <v>1657</v>
      </c>
      <c r="L22">
        <v>1525</v>
      </c>
      <c r="M22">
        <v>1915</v>
      </c>
      <c r="N22" s="1" t="s">
        <v>138</v>
      </c>
      <c r="O22">
        <v>3312</v>
      </c>
      <c r="P22">
        <v>724</v>
      </c>
      <c r="Q22">
        <v>345</v>
      </c>
      <c r="R22" s="1" t="s">
        <v>139</v>
      </c>
      <c r="S22" s="1" t="s">
        <v>80</v>
      </c>
      <c r="T22">
        <v>10312</v>
      </c>
      <c r="U22" s="1" t="s">
        <v>80</v>
      </c>
    </row>
    <row r="23" spans="1:21" x14ac:dyDescent="0.25">
      <c r="A23" s="1" t="s">
        <v>140</v>
      </c>
      <c r="B23">
        <v>96190</v>
      </c>
      <c r="C23">
        <v>42481</v>
      </c>
      <c r="D23">
        <v>6147</v>
      </c>
      <c r="E23">
        <v>3835</v>
      </c>
      <c r="F23">
        <v>3036</v>
      </c>
      <c r="G23">
        <v>8707</v>
      </c>
      <c r="H23">
        <v>3020</v>
      </c>
      <c r="I23">
        <v>67</v>
      </c>
      <c r="J23">
        <v>528</v>
      </c>
      <c r="K23">
        <v>1657</v>
      </c>
      <c r="L23">
        <v>1525</v>
      </c>
      <c r="M23">
        <v>1545</v>
      </c>
      <c r="N23" s="1" t="s">
        <v>141</v>
      </c>
      <c r="O23">
        <v>3312</v>
      </c>
      <c r="P23">
        <v>724</v>
      </c>
      <c r="Q23">
        <v>345</v>
      </c>
      <c r="R23" s="1" t="s">
        <v>142</v>
      </c>
      <c r="S23" s="1" t="s">
        <v>80</v>
      </c>
      <c r="T23">
        <v>4907</v>
      </c>
      <c r="U23" s="1" t="s">
        <v>80</v>
      </c>
    </row>
    <row r="24" spans="1:21" x14ac:dyDescent="0.25">
      <c r="A24" s="1" t="s">
        <v>143</v>
      </c>
      <c r="B24">
        <v>97088</v>
      </c>
      <c r="C24">
        <v>37427</v>
      </c>
      <c r="D24">
        <v>7561</v>
      </c>
      <c r="E24">
        <v>955</v>
      </c>
      <c r="F24">
        <v>3036</v>
      </c>
      <c r="G24">
        <v>8707</v>
      </c>
      <c r="H24">
        <v>7175</v>
      </c>
      <c r="I24">
        <v>67</v>
      </c>
      <c r="J24">
        <v>528</v>
      </c>
      <c r="K24">
        <v>1657</v>
      </c>
      <c r="L24">
        <v>1525</v>
      </c>
      <c r="M24">
        <v>3000</v>
      </c>
      <c r="N24" s="1" t="s">
        <v>144</v>
      </c>
      <c r="O24">
        <v>3312</v>
      </c>
      <c r="P24">
        <v>724</v>
      </c>
      <c r="Q24">
        <v>345</v>
      </c>
      <c r="R24" s="1" t="s">
        <v>145</v>
      </c>
      <c r="S24" s="1" t="s">
        <v>80</v>
      </c>
      <c r="T24">
        <v>24025</v>
      </c>
      <c r="U24" s="1" t="s">
        <v>80</v>
      </c>
    </row>
    <row r="25" spans="1:21" x14ac:dyDescent="0.25">
      <c r="A25" s="1" t="s">
        <v>146</v>
      </c>
      <c r="B25">
        <v>100200</v>
      </c>
      <c r="C25">
        <v>63824</v>
      </c>
      <c r="D25">
        <v>13515</v>
      </c>
      <c r="E25">
        <v>3590</v>
      </c>
      <c r="F25">
        <v>3036</v>
      </c>
      <c r="G25">
        <v>8707</v>
      </c>
      <c r="H25">
        <v>33060</v>
      </c>
      <c r="I25">
        <v>67</v>
      </c>
      <c r="J25">
        <v>528</v>
      </c>
      <c r="K25">
        <v>1657</v>
      </c>
      <c r="L25">
        <v>1525</v>
      </c>
      <c r="M25">
        <v>9970</v>
      </c>
      <c r="N25" s="1" t="s">
        <v>147</v>
      </c>
      <c r="O25">
        <v>3312</v>
      </c>
      <c r="P25">
        <v>724</v>
      </c>
      <c r="Q25">
        <v>345</v>
      </c>
      <c r="R25" s="1" t="s">
        <v>148</v>
      </c>
      <c r="S25" s="1" t="s">
        <v>80</v>
      </c>
      <c r="T25">
        <v>17780</v>
      </c>
      <c r="U25" s="1" t="s">
        <v>80</v>
      </c>
    </row>
    <row r="26" spans="1:21" x14ac:dyDescent="0.25">
      <c r="A26" s="1" t="s">
        <v>149</v>
      </c>
      <c r="B26">
        <v>58121</v>
      </c>
      <c r="C26">
        <v>62540</v>
      </c>
      <c r="D26">
        <v>5272</v>
      </c>
      <c r="E26">
        <v>1940</v>
      </c>
      <c r="F26">
        <v>3036</v>
      </c>
      <c r="G26">
        <v>8707</v>
      </c>
      <c r="H26">
        <v>11135</v>
      </c>
      <c r="I26">
        <v>67</v>
      </c>
      <c r="J26">
        <v>528</v>
      </c>
      <c r="K26">
        <v>1657</v>
      </c>
      <c r="L26">
        <v>1525</v>
      </c>
      <c r="M26">
        <v>2190</v>
      </c>
      <c r="N26" s="1" t="s">
        <v>150</v>
      </c>
      <c r="O26">
        <v>3312</v>
      </c>
      <c r="P26">
        <v>724</v>
      </c>
      <c r="Q26">
        <v>345</v>
      </c>
      <c r="R26" s="1" t="s">
        <v>151</v>
      </c>
      <c r="S26" s="1" t="s">
        <v>80</v>
      </c>
      <c r="T26">
        <v>2105</v>
      </c>
      <c r="U26" s="1" t="s">
        <v>80</v>
      </c>
    </row>
    <row r="27" spans="1:21" x14ac:dyDescent="0.25">
      <c r="A27" s="1" t="s">
        <v>152</v>
      </c>
      <c r="B27">
        <v>44646</v>
      </c>
      <c r="C27">
        <v>46816</v>
      </c>
      <c r="D27">
        <v>5272</v>
      </c>
      <c r="E27">
        <v>5050</v>
      </c>
      <c r="F27">
        <v>3036</v>
      </c>
      <c r="G27">
        <v>8707</v>
      </c>
      <c r="H27">
        <v>11745</v>
      </c>
      <c r="I27">
        <v>67</v>
      </c>
      <c r="J27">
        <v>528</v>
      </c>
      <c r="K27">
        <v>1657</v>
      </c>
      <c r="L27">
        <v>1525</v>
      </c>
      <c r="M27">
        <v>2915</v>
      </c>
      <c r="N27" s="1" t="s">
        <v>153</v>
      </c>
      <c r="O27">
        <v>3312</v>
      </c>
      <c r="P27">
        <v>724</v>
      </c>
      <c r="Q27">
        <v>345</v>
      </c>
      <c r="R27" s="1" t="s">
        <v>154</v>
      </c>
      <c r="S27" s="1" t="s">
        <v>80</v>
      </c>
      <c r="T27">
        <v>3138</v>
      </c>
      <c r="U27" s="1" t="s">
        <v>80</v>
      </c>
    </row>
    <row r="28" spans="1:21" x14ac:dyDescent="0.25">
      <c r="A28" s="1" t="s">
        <v>155</v>
      </c>
      <c r="B28">
        <v>103437</v>
      </c>
      <c r="C28">
        <v>43980</v>
      </c>
      <c r="D28">
        <v>13071</v>
      </c>
      <c r="E28">
        <v>1380</v>
      </c>
      <c r="F28">
        <v>3036</v>
      </c>
      <c r="G28">
        <v>8707</v>
      </c>
      <c r="H28">
        <v>4650</v>
      </c>
      <c r="I28">
        <v>67</v>
      </c>
      <c r="J28">
        <v>528</v>
      </c>
      <c r="K28">
        <v>1657</v>
      </c>
      <c r="L28">
        <v>1525</v>
      </c>
      <c r="M28">
        <v>2165</v>
      </c>
      <c r="N28" s="1" t="s">
        <v>156</v>
      </c>
      <c r="O28">
        <v>3312</v>
      </c>
      <c r="P28">
        <v>724</v>
      </c>
      <c r="Q28">
        <v>345</v>
      </c>
      <c r="R28" s="1" t="s">
        <v>157</v>
      </c>
      <c r="S28" s="1" t="s">
        <v>80</v>
      </c>
      <c r="T28">
        <v>9804</v>
      </c>
      <c r="U28" s="1" t="s">
        <v>80</v>
      </c>
    </row>
    <row r="29" spans="1:21" x14ac:dyDescent="0.25">
      <c r="A29" s="1" t="s">
        <v>158</v>
      </c>
      <c r="N29" s="1" t="s">
        <v>80</v>
      </c>
      <c r="R29" s="1" t="s">
        <v>86</v>
      </c>
      <c r="S29" s="1" t="s">
        <v>80</v>
      </c>
      <c r="U29" s="1" t="s">
        <v>80</v>
      </c>
    </row>
    <row r="30" spans="1:21" x14ac:dyDescent="0.25">
      <c r="A30" s="1" t="s">
        <v>74</v>
      </c>
      <c r="B30">
        <v>2272049</v>
      </c>
      <c r="C30">
        <v>1505540</v>
      </c>
      <c r="D30">
        <v>153076</v>
      </c>
      <c r="E30">
        <v>75780</v>
      </c>
      <c r="F30">
        <v>88050</v>
      </c>
      <c r="G30">
        <v>252500</v>
      </c>
      <c r="H30">
        <v>264470</v>
      </c>
      <c r="I30">
        <v>1953</v>
      </c>
      <c r="J30">
        <v>15315</v>
      </c>
      <c r="K30">
        <v>48040</v>
      </c>
      <c r="L30">
        <v>44215</v>
      </c>
      <c r="M30">
        <v>78456</v>
      </c>
      <c r="N30" s="1" t="s">
        <v>159</v>
      </c>
      <c r="O30">
        <v>96056</v>
      </c>
      <c r="P30">
        <v>21000</v>
      </c>
      <c r="Q30">
        <v>10000</v>
      </c>
      <c r="R30" s="1" t="s">
        <v>160</v>
      </c>
      <c r="S30" s="1" t="s">
        <v>80</v>
      </c>
      <c r="T30">
        <v>295059</v>
      </c>
      <c r="U30" s="1" t="s">
        <v>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20139-53C0-4948-8FCC-B12A034885C5}">
  <dimension ref="A1:P44"/>
  <sheetViews>
    <sheetView workbookViewId="0">
      <selection activeCell="H12" sqref="H12"/>
    </sheetView>
  </sheetViews>
  <sheetFormatPr defaultRowHeight="15" x14ac:dyDescent="0.25"/>
  <cols>
    <col min="1" max="1" width="30.5703125" bestFit="1" customWidth="1"/>
    <col min="2" max="2" width="7.28515625" bestFit="1" customWidth="1"/>
    <col min="3" max="3" width="8.28515625" bestFit="1" customWidth="1"/>
    <col min="4" max="4" width="7.85546875" bestFit="1" customWidth="1"/>
    <col min="5" max="5" width="25.28515625" style="3" bestFit="1" customWidth="1"/>
    <col min="6" max="6" width="16.42578125" style="4" bestFit="1" customWidth="1"/>
    <col min="7" max="7" width="12.5703125" style="2" bestFit="1" customWidth="1"/>
    <col min="8" max="8" width="19.5703125" bestFit="1" customWidth="1"/>
    <col min="11" max="11" width="9.85546875" bestFit="1" customWidth="1"/>
    <col min="12" max="12" width="15.5703125" style="2" bestFit="1" customWidth="1"/>
    <col min="13" max="13" width="12.5703125" style="2" bestFit="1" customWidth="1"/>
    <col min="15" max="16" width="12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4" t="s">
        <v>5</v>
      </c>
      <c r="G1" s="2" t="s">
        <v>56</v>
      </c>
      <c r="I1" t="s">
        <v>2</v>
      </c>
      <c r="J1" t="s">
        <v>3</v>
      </c>
      <c r="K1" t="s">
        <v>50</v>
      </c>
      <c r="L1" s="2" t="s">
        <v>5</v>
      </c>
      <c r="M1" s="2" t="s">
        <v>56</v>
      </c>
      <c r="N1" t="s">
        <v>161</v>
      </c>
    </row>
    <row r="2" spans="1:16" x14ac:dyDescent="0.25">
      <c r="A2" s="1" t="s">
        <v>6</v>
      </c>
      <c r="B2">
        <v>2025</v>
      </c>
      <c r="C2">
        <v>12820</v>
      </c>
      <c r="D2">
        <v>0</v>
      </c>
      <c r="E2" s="3">
        <v>0</v>
      </c>
      <c r="F2" s="4" t="s">
        <v>6</v>
      </c>
      <c r="H2" s="5" t="s">
        <v>53</v>
      </c>
      <c r="I2" s="6">
        <f>AVERAGE(C3:C44)</f>
        <v>2054.9761904761904</v>
      </c>
      <c r="J2" s="6">
        <f>AVERAGE(D3:D44)</f>
        <v>780.35714285714289</v>
      </c>
      <c r="K2" s="3">
        <f>AVERAGE(E3:E44)</f>
        <v>0.36272142857142853</v>
      </c>
      <c r="L2" s="2">
        <f>AVERAGE(F3:F44)</f>
        <v>763991.76428571402</v>
      </c>
      <c r="M2" s="2">
        <f>AVERAGE(G3:G44)</f>
        <v>171339.20689655171</v>
      </c>
      <c r="N2">
        <f>(L2-M2)/M2</f>
        <v>3.4589430412560738</v>
      </c>
      <c r="O2" s="9"/>
      <c r="P2" s="9"/>
    </row>
    <row r="3" spans="1:16" x14ac:dyDescent="0.25">
      <c r="A3" s="1" t="s">
        <v>7</v>
      </c>
      <c r="B3">
        <v>2025</v>
      </c>
      <c r="C3">
        <v>1724</v>
      </c>
      <c r="D3">
        <v>724</v>
      </c>
      <c r="E3" s="3">
        <v>0.42</v>
      </c>
      <c r="F3" s="4">
        <f>707824.27</f>
        <v>707824.27</v>
      </c>
      <c r="G3" s="2">
        <f>113153</f>
        <v>113153</v>
      </c>
      <c r="H3" t="s">
        <v>52</v>
      </c>
      <c r="I3" s="6">
        <f>AVERAGE(C3:C29,C31:C44)</f>
        <v>2076.9268292682927</v>
      </c>
      <c r="J3" s="6">
        <f t="shared" ref="J3:L3" si="0">AVERAGE(D3:D29,D31:D44)</f>
        <v>790.2439024390244</v>
      </c>
      <c r="K3" s="3">
        <f t="shared" si="0"/>
        <v>0.36364878048780486</v>
      </c>
      <c r="L3" s="2">
        <f t="shared" si="0"/>
        <v>775073.53902439005</v>
      </c>
      <c r="M3" s="2">
        <f>AVERAGE(G3:G29,G31:G44)</f>
        <v>171245.92857142858</v>
      </c>
      <c r="N3">
        <f>(L3-M3)/M3</f>
        <v>3.5260844768119446</v>
      </c>
      <c r="O3" s="9"/>
      <c r="P3" s="9"/>
    </row>
    <row r="4" spans="1:16" x14ac:dyDescent="0.25">
      <c r="A4" s="1" t="s">
        <v>8</v>
      </c>
      <c r="B4">
        <v>2025</v>
      </c>
      <c r="C4">
        <v>1697</v>
      </c>
      <c r="D4">
        <v>564</v>
      </c>
      <c r="E4" s="3">
        <v>0.33239999999999997</v>
      </c>
      <c r="F4" s="4">
        <f>489151.78</f>
        <v>489151.78</v>
      </c>
      <c r="G4" s="2">
        <f>108663</f>
        <v>108663</v>
      </c>
      <c r="O4" s="9"/>
      <c r="P4" s="9"/>
    </row>
    <row r="5" spans="1:16" x14ac:dyDescent="0.25">
      <c r="A5" s="1" t="s">
        <v>9</v>
      </c>
      <c r="B5">
        <v>2025</v>
      </c>
      <c r="C5">
        <v>708</v>
      </c>
      <c r="D5">
        <v>259</v>
      </c>
      <c r="E5" s="3">
        <v>0.36580000000000001</v>
      </c>
      <c r="F5" s="4">
        <f>239120.44</f>
        <v>239120.44</v>
      </c>
      <c r="G5" s="2">
        <f>72547</f>
        <v>72547</v>
      </c>
      <c r="H5" t="s">
        <v>54</v>
      </c>
      <c r="I5" s="6">
        <f>MEDIAN(C3:C44)</f>
        <v>1710.5</v>
      </c>
      <c r="J5">
        <f t="shared" ref="J5:L5" si="1">MEDIAN(D3:D44)</f>
        <v>603</v>
      </c>
      <c r="K5" s="3">
        <f t="shared" si="1"/>
        <v>0.36509999999999998</v>
      </c>
      <c r="L5" s="2">
        <f t="shared" si="1"/>
        <v>581903.75</v>
      </c>
      <c r="M5" s="2">
        <f>MEDIAN(G3:G44)</f>
        <v>161456</v>
      </c>
      <c r="N5">
        <f t="shared" ref="N4:N8" si="2">(L5-M5)/M5</f>
        <v>2.6041011173322763</v>
      </c>
      <c r="O5" s="9"/>
      <c r="P5" s="9"/>
    </row>
    <row r="6" spans="1:16" x14ac:dyDescent="0.25">
      <c r="A6" s="1" t="s">
        <v>10</v>
      </c>
      <c r="B6">
        <v>2025</v>
      </c>
      <c r="C6">
        <v>3369</v>
      </c>
      <c r="D6">
        <v>1220</v>
      </c>
      <c r="E6" s="3">
        <v>0.36209999999999998</v>
      </c>
      <c r="F6" s="4">
        <f>1377950.46</f>
        <v>1377950.46</v>
      </c>
      <c r="G6" s="2">
        <f>288304</f>
        <v>288304</v>
      </c>
      <c r="H6" t="s">
        <v>55</v>
      </c>
      <c r="I6">
        <f>MEDIAN(C3:C29,C31:C44)</f>
        <v>1724</v>
      </c>
      <c r="J6">
        <f t="shared" ref="J6:L6" si="3">MEDIAN(D3:D29,D31:D44)</f>
        <v>617</v>
      </c>
      <c r="K6" s="3">
        <f t="shared" si="3"/>
        <v>0.36549999999999999</v>
      </c>
      <c r="L6" s="2">
        <f t="shared" si="3"/>
        <v>595648.5</v>
      </c>
      <c r="M6" s="2">
        <f>MEDIAN(G31:G44,G3:G29)</f>
        <v>149166.5</v>
      </c>
      <c r="N6">
        <f t="shared" si="2"/>
        <v>2.9931787633282272</v>
      </c>
      <c r="O6" s="9"/>
      <c r="P6" s="9"/>
    </row>
    <row r="7" spans="1:16" x14ac:dyDescent="0.25">
      <c r="A7" s="1" t="s">
        <v>11</v>
      </c>
      <c r="B7">
        <v>2025</v>
      </c>
      <c r="C7">
        <v>2324</v>
      </c>
      <c r="D7">
        <v>892</v>
      </c>
      <c r="E7" s="3">
        <v>0.38379999999999997</v>
      </c>
      <c r="F7" s="4">
        <f>844118.05</f>
        <v>844118.05</v>
      </c>
      <c r="G7" s="2">
        <f>233923</f>
        <v>233923</v>
      </c>
      <c r="O7" s="9"/>
      <c r="P7" s="9"/>
    </row>
    <row r="8" spans="1:16" x14ac:dyDescent="0.25">
      <c r="A8" s="1" t="s">
        <v>12</v>
      </c>
      <c r="B8">
        <v>2025</v>
      </c>
      <c r="C8">
        <v>256</v>
      </c>
      <c r="D8">
        <v>85</v>
      </c>
      <c r="E8" s="3">
        <v>0.33200000000000002</v>
      </c>
      <c r="F8" s="4">
        <f>97955</f>
        <v>97955</v>
      </c>
      <c r="H8" t="s">
        <v>51</v>
      </c>
      <c r="I8">
        <f>C30</f>
        <v>1155</v>
      </c>
      <c r="J8">
        <f>D30</f>
        <v>375</v>
      </c>
      <c r="K8" s="3">
        <f>E30</f>
        <v>0.32469999999999999</v>
      </c>
      <c r="L8" s="2">
        <f>F30</f>
        <v>309639</v>
      </c>
      <c r="M8" s="2">
        <f>G30</f>
        <v>173951</v>
      </c>
      <c r="N8">
        <f t="shared" si="2"/>
        <v>0.78003575719599194</v>
      </c>
      <c r="O8" s="9"/>
      <c r="P8" s="9"/>
    </row>
    <row r="9" spans="1:16" x14ac:dyDescent="0.25">
      <c r="A9" s="1" t="s">
        <v>13</v>
      </c>
      <c r="B9">
        <v>2025</v>
      </c>
      <c r="C9">
        <v>2223</v>
      </c>
      <c r="D9">
        <v>793</v>
      </c>
      <c r="E9" s="3">
        <v>0.35670000000000002</v>
      </c>
      <c r="F9" s="4">
        <f>688330.55</f>
        <v>688330.55</v>
      </c>
      <c r="G9" s="2">
        <f>413426/2</f>
        <v>206713</v>
      </c>
      <c r="K9" s="3"/>
      <c r="O9" s="9"/>
      <c r="P9" s="9"/>
    </row>
    <row r="10" spans="1:16" x14ac:dyDescent="0.25">
      <c r="A10" s="1" t="s">
        <v>14</v>
      </c>
      <c r="B10">
        <v>2025</v>
      </c>
      <c r="C10">
        <v>2902</v>
      </c>
      <c r="D10">
        <v>960</v>
      </c>
      <c r="E10" s="3">
        <v>0.33079999999999998</v>
      </c>
      <c r="F10" s="4">
        <f>760691.21</f>
        <v>760691.21</v>
      </c>
      <c r="G10" s="2">
        <f>413426/2</f>
        <v>206713</v>
      </c>
      <c r="H10" t="s">
        <v>162</v>
      </c>
    </row>
    <row r="11" spans="1:16" x14ac:dyDescent="0.25">
      <c r="A11" s="1" t="s">
        <v>15</v>
      </c>
      <c r="B11">
        <v>2025</v>
      </c>
      <c r="C11">
        <v>2242</v>
      </c>
      <c r="D11">
        <v>838</v>
      </c>
      <c r="E11" s="3">
        <v>0.37380000000000002</v>
      </c>
      <c r="F11" s="4">
        <f>668817.89</f>
        <v>668817.89</v>
      </c>
      <c r="G11" s="2">
        <f>102302</f>
        <v>102302</v>
      </c>
      <c r="H11" t="s">
        <v>163</v>
      </c>
    </row>
    <row r="12" spans="1:16" x14ac:dyDescent="0.25">
      <c r="A12" s="1" t="s">
        <v>16</v>
      </c>
      <c r="B12">
        <v>2025</v>
      </c>
      <c r="C12">
        <v>1162</v>
      </c>
      <c r="D12">
        <v>369</v>
      </c>
      <c r="E12" s="3">
        <v>0.31759999999999999</v>
      </c>
      <c r="F12" s="4">
        <f>312978.42</f>
        <v>312978.42</v>
      </c>
      <c r="G12" s="2">
        <f>113132</f>
        <v>113132</v>
      </c>
    </row>
    <row r="13" spans="1:16" x14ac:dyDescent="0.25">
      <c r="A13" s="1" t="s">
        <v>17</v>
      </c>
      <c r="B13">
        <v>2025</v>
      </c>
      <c r="C13">
        <v>1092</v>
      </c>
      <c r="D13">
        <v>327</v>
      </c>
      <c r="E13" s="3">
        <v>0.29949999999999999</v>
      </c>
      <c r="F13" s="4">
        <f>308748.38</f>
        <v>308748.38</v>
      </c>
      <c r="G13" s="2">
        <f>114597</f>
        <v>114597</v>
      </c>
      <c r="K13" s="8"/>
    </row>
    <row r="14" spans="1:16" x14ac:dyDescent="0.25">
      <c r="A14" s="1" t="s">
        <v>18</v>
      </c>
      <c r="B14">
        <v>2025</v>
      </c>
      <c r="C14">
        <v>404</v>
      </c>
      <c r="D14">
        <v>105</v>
      </c>
      <c r="E14" s="3">
        <v>0.25990000000000002</v>
      </c>
      <c r="F14" s="4">
        <f>99742</f>
        <v>99742</v>
      </c>
    </row>
    <row r="15" spans="1:16" x14ac:dyDescent="0.25">
      <c r="A15" s="1" t="s">
        <v>19</v>
      </c>
      <c r="B15">
        <v>2025</v>
      </c>
      <c r="C15">
        <v>4781</v>
      </c>
      <c r="D15">
        <v>2075</v>
      </c>
      <c r="E15" s="3">
        <v>0.434</v>
      </c>
      <c r="F15" s="4">
        <f>1918479.26</f>
        <v>1918479.26</v>
      </c>
      <c r="G15" s="2">
        <f>288115</f>
        <v>288115</v>
      </c>
    </row>
    <row r="16" spans="1:16" x14ac:dyDescent="0.25">
      <c r="A16" s="1" t="s">
        <v>20</v>
      </c>
      <c r="B16">
        <v>2025</v>
      </c>
      <c r="C16">
        <v>5824</v>
      </c>
      <c r="D16">
        <v>2331</v>
      </c>
      <c r="E16" s="3">
        <v>0.4002</v>
      </c>
      <c r="F16" s="4">
        <f>2534227.95</f>
        <v>2534227.9500000002</v>
      </c>
      <c r="G16" s="2">
        <f>530666/2</f>
        <v>265333</v>
      </c>
    </row>
    <row r="17" spans="1:7" x14ac:dyDescent="0.25">
      <c r="A17" s="1" t="s">
        <v>21</v>
      </c>
      <c r="B17">
        <v>2025</v>
      </c>
      <c r="C17">
        <v>776</v>
      </c>
      <c r="D17">
        <v>291</v>
      </c>
      <c r="E17" s="3">
        <v>0.375</v>
      </c>
      <c r="F17" s="4">
        <f>300511.94</f>
        <v>300511.94</v>
      </c>
    </row>
    <row r="18" spans="1:7" x14ac:dyDescent="0.25">
      <c r="A18" s="1" t="s">
        <v>22</v>
      </c>
      <c r="B18">
        <v>2025</v>
      </c>
      <c r="C18">
        <v>249</v>
      </c>
      <c r="D18">
        <v>91</v>
      </c>
      <c r="E18" s="3">
        <v>0.36549999999999999</v>
      </c>
      <c r="F18" s="4">
        <f>88091.77</f>
        <v>88091.77</v>
      </c>
    </row>
    <row r="19" spans="1:7" x14ac:dyDescent="0.25">
      <c r="A19" s="1" t="s">
        <v>23</v>
      </c>
      <c r="B19">
        <v>2025</v>
      </c>
      <c r="C19">
        <v>1289</v>
      </c>
      <c r="D19">
        <v>473</v>
      </c>
      <c r="E19" s="3">
        <v>0.36699999999999999</v>
      </c>
      <c r="F19" s="4">
        <f>373423.94</f>
        <v>373423.94</v>
      </c>
      <c r="G19" s="2">
        <f>75940</f>
        <v>75940</v>
      </c>
    </row>
    <row r="20" spans="1:7" x14ac:dyDescent="0.25">
      <c r="A20" s="1" t="s">
        <v>24</v>
      </c>
      <c r="B20">
        <v>2025</v>
      </c>
      <c r="C20">
        <v>1824</v>
      </c>
      <c r="D20">
        <v>617</v>
      </c>
      <c r="E20" s="3">
        <v>0.33829999999999999</v>
      </c>
      <c r="F20" s="4">
        <f>623360.76</f>
        <v>623360.76</v>
      </c>
      <c r="G20" s="2">
        <f>107520</f>
        <v>107520</v>
      </c>
    </row>
    <row r="21" spans="1:7" x14ac:dyDescent="0.25">
      <c r="A21" s="1" t="s">
        <v>25</v>
      </c>
      <c r="B21">
        <v>2025</v>
      </c>
      <c r="C21">
        <v>4001</v>
      </c>
      <c r="D21">
        <v>1459</v>
      </c>
      <c r="E21" s="3">
        <v>0.36470000000000002</v>
      </c>
      <c r="F21" s="4">
        <f>1555056.53</f>
        <v>1555056.53</v>
      </c>
      <c r="G21" s="2">
        <f>304085</f>
        <v>304085</v>
      </c>
    </row>
    <row r="22" spans="1:7" x14ac:dyDescent="0.25">
      <c r="A22" s="1" t="s">
        <v>26</v>
      </c>
      <c r="B22">
        <v>2025</v>
      </c>
      <c r="C22">
        <v>1964</v>
      </c>
      <c r="D22">
        <v>756</v>
      </c>
      <c r="E22" s="3">
        <v>0.38490000000000002</v>
      </c>
      <c r="F22" s="4">
        <f>595648.5</f>
        <v>595648.5</v>
      </c>
      <c r="G22" s="2">
        <f>95046</f>
        <v>95046</v>
      </c>
    </row>
    <row r="23" spans="1:7" x14ac:dyDescent="0.25">
      <c r="A23" s="1" t="s">
        <v>27</v>
      </c>
      <c r="B23">
        <v>2025</v>
      </c>
      <c r="C23">
        <v>2118</v>
      </c>
      <c r="D23">
        <v>836</v>
      </c>
      <c r="E23" s="3">
        <v>0.3947</v>
      </c>
      <c r="F23" s="4">
        <f>922365.41</f>
        <v>922365.41</v>
      </c>
      <c r="G23" s="2">
        <f>239204</f>
        <v>239204</v>
      </c>
    </row>
    <row r="24" spans="1:7" x14ac:dyDescent="0.25">
      <c r="A24" s="1" t="s">
        <v>28</v>
      </c>
      <c r="B24">
        <v>2025</v>
      </c>
      <c r="C24">
        <v>2556</v>
      </c>
      <c r="D24">
        <v>853</v>
      </c>
      <c r="E24" s="3">
        <v>0.3337</v>
      </c>
      <c r="F24" s="4">
        <f>719753.12</f>
        <v>719753.12</v>
      </c>
      <c r="G24" s="2">
        <f>116141</f>
        <v>116141</v>
      </c>
    </row>
    <row r="25" spans="1:7" x14ac:dyDescent="0.25">
      <c r="A25" s="1" t="s">
        <v>29</v>
      </c>
      <c r="B25">
        <v>2025</v>
      </c>
      <c r="C25">
        <v>2951</v>
      </c>
      <c r="D25">
        <v>1244</v>
      </c>
      <c r="E25" s="3">
        <v>0.42159999999999997</v>
      </c>
      <c r="F25" s="4">
        <f>1172173.64</f>
        <v>1172173.6399999999</v>
      </c>
      <c r="G25" s="2">
        <f>92325</f>
        <v>92325</v>
      </c>
    </row>
    <row r="26" spans="1:7" x14ac:dyDescent="0.25">
      <c r="A26" s="1" t="s">
        <v>30</v>
      </c>
      <c r="B26">
        <v>2025</v>
      </c>
      <c r="C26">
        <v>1399</v>
      </c>
      <c r="D26">
        <v>475</v>
      </c>
      <c r="E26" s="3">
        <v>0.33950000000000002</v>
      </c>
      <c r="F26" s="4">
        <f>462826.88</f>
        <v>462826.88</v>
      </c>
      <c r="G26" s="2">
        <f>126627</f>
        <v>126627</v>
      </c>
    </row>
    <row r="27" spans="1:7" x14ac:dyDescent="0.25">
      <c r="A27" s="1" t="s">
        <v>31</v>
      </c>
      <c r="B27">
        <v>2025</v>
      </c>
      <c r="C27">
        <v>1563</v>
      </c>
      <c r="D27">
        <v>589</v>
      </c>
      <c r="E27" s="3">
        <v>0.37680000000000002</v>
      </c>
      <c r="F27" s="4">
        <f>568159</f>
        <v>568159</v>
      </c>
    </row>
    <row r="28" spans="1:7" x14ac:dyDescent="0.25">
      <c r="A28" s="1" t="s">
        <v>32</v>
      </c>
      <c r="B28">
        <v>2025</v>
      </c>
      <c r="C28">
        <v>760</v>
      </c>
      <c r="D28">
        <v>273</v>
      </c>
      <c r="E28" s="3">
        <v>0.35920000000000002</v>
      </c>
      <c r="F28" s="4">
        <f>251624.79</f>
        <v>251624.79</v>
      </c>
      <c r="G28" s="2">
        <f>50471</f>
        <v>50471</v>
      </c>
    </row>
    <row r="29" spans="1:7" x14ac:dyDescent="0.25">
      <c r="A29" s="1" t="s">
        <v>33</v>
      </c>
      <c r="B29">
        <v>2025</v>
      </c>
      <c r="C29">
        <v>3538</v>
      </c>
      <c r="D29">
        <v>1452</v>
      </c>
      <c r="E29" s="3">
        <v>0.41039999999999999</v>
      </c>
      <c r="F29" s="4">
        <f>1444866.71</f>
        <v>1444866.71</v>
      </c>
    </row>
    <row r="30" spans="1:7" x14ac:dyDescent="0.25">
      <c r="A30" s="1" t="s">
        <v>34</v>
      </c>
      <c r="B30">
        <v>2025</v>
      </c>
      <c r="C30">
        <v>1155</v>
      </c>
      <c r="D30">
        <v>375</v>
      </c>
      <c r="E30" s="3">
        <v>0.32469999999999999</v>
      </c>
      <c r="F30" s="4">
        <f>309639</f>
        <v>309639</v>
      </c>
      <c r="G30" s="2">
        <f>173951</f>
        <v>173951</v>
      </c>
    </row>
    <row r="31" spans="1:7" x14ac:dyDescent="0.25">
      <c r="A31" s="1" t="s">
        <v>35</v>
      </c>
      <c r="B31">
        <v>2025</v>
      </c>
      <c r="C31">
        <v>6862</v>
      </c>
      <c r="D31">
        <v>2888</v>
      </c>
      <c r="E31" s="3">
        <v>0.4209</v>
      </c>
      <c r="F31" s="4">
        <f>3078791.56</f>
        <v>3078791.56</v>
      </c>
      <c r="G31" s="2">
        <f>530666/2</f>
        <v>265333</v>
      </c>
    </row>
    <row r="32" spans="1:7" x14ac:dyDescent="0.25">
      <c r="A32" s="1" t="s">
        <v>36</v>
      </c>
      <c r="B32">
        <v>2025</v>
      </c>
      <c r="C32">
        <v>798</v>
      </c>
      <c r="D32">
        <v>230</v>
      </c>
      <c r="E32" s="3">
        <v>0.28820000000000001</v>
      </c>
      <c r="F32" s="4">
        <f>227298</f>
        <v>227298</v>
      </c>
    </row>
    <row r="33" spans="1:7" x14ac:dyDescent="0.25">
      <c r="A33" s="1" t="s">
        <v>37</v>
      </c>
      <c r="B33">
        <v>2025</v>
      </c>
      <c r="C33">
        <v>2229</v>
      </c>
      <c r="D33">
        <v>807</v>
      </c>
      <c r="E33" s="3">
        <v>0.36199999999999999</v>
      </c>
      <c r="F33" s="4">
        <f>771563.98</f>
        <v>771563.98</v>
      </c>
      <c r="G33" s="2">
        <f>177179</f>
        <v>177179</v>
      </c>
    </row>
    <row r="34" spans="1:7" x14ac:dyDescent="0.25">
      <c r="A34" s="1" t="s">
        <v>38</v>
      </c>
      <c r="B34">
        <v>2025</v>
      </c>
      <c r="C34">
        <v>846</v>
      </c>
      <c r="D34">
        <v>327</v>
      </c>
      <c r="E34" s="3">
        <v>0.38650000000000001</v>
      </c>
      <c r="F34" s="4">
        <f>344877</f>
        <v>344877</v>
      </c>
    </row>
    <row r="35" spans="1:7" x14ac:dyDescent="0.25">
      <c r="A35" s="1" t="s">
        <v>39</v>
      </c>
      <c r="B35">
        <v>2025</v>
      </c>
      <c r="C35">
        <v>6110</v>
      </c>
      <c r="D35">
        <v>2429</v>
      </c>
      <c r="E35" s="3">
        <v>0.39750000000000002</v>
      </c>
      <c r="F35" s="4">
        <f>2563118.62</f>
        <v>2563118.62</v>
      </c>
      <c r="G35" s="2">
        <f>247072</f>
        <v>247072</v>
      </c>
    </row>
    <row r="36" spans="1:7" x14ac:dyDescent="0.25">
      <c r="A36" s="1" t="s">
        <v>40</v>
      </c>
      <c r="B36">
        <v>2025</v>
      </c>
      <c r="C36">
        <v>321</v>
      </c>
      <c r="D36">
        <v>109</v>
      </c>
      <c r="E36" s="3">
        <v>0.33960000000000001</v>
      </c>
      <c r="F36" s="4">
        <f>106477.72</f>
        <v>106477.72</v>
      </c>
    </row>
    <row r="37" spans="1:7" x14ac:dyDescent="0.25">
      <c r="A37" s="1" t="s">
        <v>41</v>
      </c>
      <c r="B37">
        <v>2025</v>
      </c>
      <c r="C37">
        <v>3262</v>
      </c>
      <c r="D37">
        <v>1247</v>
      </c>
      <c r="E37" s="3">
        <v>0.38229999999999997</v>
      </c>
      <c r="F37" s="4">
        <f>1208923.63</f>
        <v>1208923.6299999999</v>
      </c>
      <c r="G37" s="2">
        <f>161456</f>
        <v>161456</v>
      </c>
    </row>
    <row r="38" spans="1:7" x14ac:dyDescent="0.25">
      <c r="A38" s="1" t="s">
        <v>42</v>
      </c>
      <c r="B38">
        <v>2025</v>
      </c>
      <c r="C38">
        <v>329</v>
      </c>
      <c r="D38">
        <v>112</v>
      </c>
      <c r="E38" s="3">
        <v>0.34039999999999998</v>
      </c>
      <c r="F38" s="4">
        <f>110511.99</f>
        <v>110511.99</v>
      </c>
    </row>
    <row r="39" spans="1:7" x14ac:dyDescent="0.25">
      <c r="A39" s="1" t="s">
        <v>43</v>
      </c>
      <c r="B39">
        <v>2025</v>
      </c>
      <c r="C39">
        <v>576</v>
      </c>
      <c r="D39">
        <v>180</v>
      </c>
      <c r="E39" s="3">
        <v>0.3125</v>
      </c>
      <c r="F39" s="4">
        <f>172196</f>
        <v>172196</v>
      </c>
    </row>
    <row r="40" spans="1:7" x14ac:dyDescent="0.25">
      <c r="A40" s="1" t="s">
        <v>44</v>
      </c>
      <c r="B40">
        <v>2025</v>
      </c>
      <c r="C40">
        <v>171</v>
      </c>
      <c r="D40">
        <v>62</v>
      </c>
      <c r="E40" s="3">
        <v>0.36259999999999998</v>
      </c>
      <c r="F40" s="4">
        <f>56966.89</f>
        <v>56966.89</v>
      </c>
    </row>
    <row r="41" spans="1:7" x14ac:dyDescent="0.25">
      <c r="A41" s="1" t="s">
        <v>45</v>
      </c>
      <c r="B41">
        <v>2025</v>
      </c>
      <c r="C41">
        <v>1170</v>
      </c>
      <c r="D41">
        <v>396</v>
      </c>
      <c r="E41" s="3">
        <v>0.33850000000000002</v>
      </c>
      <c r="F41" s="4">
        <f>431518</f>
        <v>431518</v>
      </c>
    </row>
    <row r="42" spans="1:7" x14ac:dyDescent="0.25">
      <c r="A42" s="1" t="s">
        <v>46</v>
      </c>
      <c r="B42">
        <v>2025</v>
      </c>
      <c r="C42">
        <v>2149</v>
      </c>
      <c r="D42">
        <v>883</v>
      </c>
      <c r="E42" s="3">
        <v>0.41089999999999999</v>
      </c>
      <c r="F42" s="4">
        <f>846627.63</f>
        <v>846627.63</v>
      </c>
      <c r="G42" s="2">
        <f>136877</f>
        <v>136877</v>
      </c>
    </row>
    <row r="43" spans="1:7" x14ac:dyDescent="0.25">
      <c r="A43" s="1" t="s">
        <v>47</v>
      </c>
      <c r="B43">
        <v>2025</v>
      </c>
      <c r="C43">
        <v>1528</v>
      </c>
      <c r="D43">
        <v>587</v>
      </c>
      <c r="E43" s="3">
        <v>0.38419999999999999</v>
      </c>
      <c r="F43" s="4">
        <f>537537.11</f>
        <v>537537.11</v>
      </c>
      <c r="G43" s="2">
        <f>190245</f>
        <v>190245</v>
      </c>
    </row>
    <row r="44" spans="1:7" x14ac:dyDescent="0.25">
      <c r="A44" s="1" t="s">
        <v>48</v>
      </c>
      <c r="B44">
        <v>2025</v>
      </c>
      <c r="C44">
        <v>3107</v>
      </c>
      <c r="D44">
        <v>1192</v>
      </c>
      <c r="E44" s="3">
        <v>0.3836</v>
      </c>
      <c r="F44" s="4">
        <f>1195608.32</f>
        <v>1195608.32</v>
      </c>
      <c r="G44" s="2">
        <f>295870</f>
        <v>295870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ABF3DE-BA6F-40C2-870E-D308089E4D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&amp; Conclusion</vt:lpstr>
      <vt:lpstr>Branch Spend</vt:lpstr>
      <vt:lpstr>Orlando Spend And Close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Bowen, Benjamin</dc:creator>
  <cp:lastModifiedBy>Bowen, Benjamin</cp:lastModifiedBy>
  <dcterms:created xsi:type="dcterms:W3CDTF">2015-06-05T18:17:20Z</dcterms:created>
  <dcterms:modified xsi:type="dcterms:W3CDTF">2026-02-03T18:02:16Z</dcterms:modified>
</cp:coreProperties>
</file>