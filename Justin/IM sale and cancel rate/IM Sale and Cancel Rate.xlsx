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enjamin.bowen\Repos\Sql-Queries\Justin\IM sale and cancel rate\"/>
    </mc:Choice>
  </mc:AlternateContent>
  <xr:revisionPtr revIDLastSave="0" documentId="13_ncr:1_{F5D9616B-8A8A-4383-8CB3-7716A6F6B1E6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Branch View" sheetId="4" r:id="rId1"/>
    <sheet name="YOY 2 Branch" sheetId="5" r:id="rId2"/>
    <sheet name="Code" sheetId="1" r:id="rId3"/>
    <sheet name="All Sales csv" sheetId="8" r:id="rId4"/>
    <sheet name="Sales csv" sheetId="2" r:id="rId5"/>
    <sheet name="Cancels csv" sheetId="3" r:id="rId6"/>
    <sheet name="IM Cancels csv" sheetId="7" r:id="rId7"/>
  </sheets>
  <definedNames>
    <definedName name="_xlnm._FilterDatabase" localSheetId="0" hidden="1">'Branch View'!$A$2:$P$66</definedName>
    <definedName name="ExternalData_1" localSheetId="3" hidden="1">'All Sales csv'!$A$1:$F$1882</definedName>
    <definedName name="ExternalData_1" localSheetId="6" hidden="1">'IM Cancels csv'!$A$1:$F$1804</definedName>
    <definedName name="ExternalData_1" localSheetId="4" hidden="1">'Sales csv'!$A$1:$F$1844</definedName>
    <definedName name="ExternalData_2" localSheetId="5" hidden="1">'Cancels csv'!$A$1:$F$1873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5" l="1"/>
  <c r="L4" i="5"/>
  <c r="J4" i="5"/>
  <c r="I4" i="5"/>
  <c r="H4" i="5"/>
  <c r="G4" i="5"/>
  <c r="F4" i="5"/>
  <c r="C4" i="5"/>
  <c r="M4" i="5"/>
  <c r="K16" i="4"/>
  <c r="L16" i="4"/>
  <c r="M16" i="4"/>
  <c r="N16" i="4"/>
  <c r="K17" i="4"/>
  <c r="L17" i="4"/>
  <c r="M17" i="4"/>
  <c r="N17" i="4"/>
  <c r="K18" i="4"/>
  <c r="L18" i="4"/>
  <c r="M18" i="4"/>
  <c r="N18" i="4"/>
  <c r="K19" i="4"/>
  <c r="L19" i="4"/>
  <c r="M19" i="4"/>
  <c r="N19" i="4"/>
  <c r="K20" i="4"/>
  <c r="L20" i="4"/>
  <c r="M20" i="4"/>
  <c r="N20" i="4"/>
  <c r="K21" i="4"/>
  <c r="L21" i="4"/>
  <c r="M21" i="4"/>
  <c r="N21" i="4"/>
  <c r="K22" i="4"/>
  <c r="L22" i="4"/>
  <c r="M22" i="4"/>
  <c r="N22" i="4"/>
  <c r="K23" i="4"/>
  <c r="L23" i="4"/>
  <c r="M23" i="4"/>
  <c r="N23" i="4"/>
  <c r="K24" i="4"/>
  <c r="L24" i="4"/>
  <c r="M24" i="4"/>
  <c r="N24" i="4"/>
  <c r="K25" i="4"/>
  <c r="L25" i="4"/>
  <c r="M25" i="4"/>
  <c r="N25" i="4"/>
  <c r="K26" i="4"/>
  <c r="L26" i="4"/>
  <c r="M26" i="4"/>
  <c r="N26" i="4"/>
  <c r="K27" i="4"/>
  <c r="L27" i="4"/>
  <c r="M27" i="4"/>
  <c r="N27" i="4"/>
  <c r="K29" i="4"/>
  <c r="L29" i="4"/>
  <c r="M29" i="4"/>
  <c r="N29" i="4"/>
  <c r="K30" i="4"/>
  <c r="L30" i="4"/>
  <c r="M30" i="4"/>
  <c r="N30" i="4"/>
  <c r="K31" i="4"/>
  <c r="L31" i="4"/>
  <c r="M31" i="4"/>
  <c r="N31" i="4"/>
  <c r="K32" i="4"/>
  <c r="L32" i="4"/>
  <c r="M32" i="4"/>
  <c r="N32" i="4"/>
  <c r="K33" i="4"/>
  <c r="L33" i="4"/>
  <c r="M33" i="4"/>
  <c r="N33" i="4"/>
  <c r="K34" i="4"/>
  <c r="L34" i="4"/>
  <c r="M34" i="4"/>
  <c r="N34" i="4"/>
  <c r="K35" i="4"/>
  <c r="L35" i="4"/>
  <c r="M35" i="4"/>
  <c r="N35" i="4"/>
  <c r="K36" i="4"/>
  <c r="L36" i="4"/>
  <c r="M36" i="4"/>
  <c r="N36" i="4"/>
  <c r="K37" i="4"/>
  <c r="L37" i="4"/>
  <c r="M37" i="4"/>
  <c r="N37" i="4"/>
  <c r="K38" i="4"/>
  <c r="L38" i="4"/>
  <c r="M38" i="4"/>
  <c r="N38" i="4"/>
  <c r="K39" i="4"/>
  <c r="L39" i="4"/>
  <c r="M39" i="4"/>
  <c r="N39" i="4"/>
  <c r="K40" i="4"/>
  <c r="L40" i="4"/>
  <c r="M40" i="4"/>
  <c r="N40" i="4"/>
  <c r="K42" i="4"/>
  <c r="L42" i="4"/>
  <c r="M42" i="4"/>
  <c r="N42" i="4"/>
  <c r="K43" i="4"/>
  <c r="L43" i="4"/>
  <c r="M43" i="4"/>
  <c r="N43" i="4"/>
  <c r="K44" i="4"/>
  <c r="L44" i="4"/>
  <c r="M44" i="4"/>
  <c r="N44" i="4"/>
  <c r="K45" i="4"/>
  <c r="L45" i="4"/>
  <c r="M45" i="4"/>
  <c r="N45" i="4"/>
  <c r="K46" i="4"/>
  <c r="L46" i="4"/>
  <c r="M46" i="4"/>
  <c r="N46" i="4"/>
  <c r="K47" i="4"/>
  <c r="L47" i="4"/>
  <c r="M47" i="4"/>
  <c r="N47" i="4"/>
  <c r="K48" i="4"/>
  <c r="L48" i="4"/>
  <c r="M48" i="4"/>
  <c r="N48" i="4"/>
  <c r="K49" i="4"/>
  <c r="L49" i="4"/>
  <c r="M49" i="4"/>
  <c r="N49" i="4"/>
  <c r="K50" i="4"/>
  <c r="L50" i="4"/>
  <c r="M50" i="4"/>
  <c r="N50" i="4"/>
  <c r="K51" i="4"/>
  <c r="L51" i="4"/>
  <c r="M51" i="4"/>
  <c r="N51" i="4"/>
  <c r="K52" i="4"/>
  <c r="L52" i="4"/>
  <c r="M52" i="4"/>
  <c r="N52" i="4"/>
  <c r="K53" i="4"/>
  <c r="L53" i="4"/>
  <c r="M53" i="4"/>
  <c r="N53" i="4"/>
  <c r="K55" i="4"/>
  <c r="L55" i="4"/>
  <c r="M55" i="4"/>
  <c r="N55" i="4"/>
  <c r="K56" i="4"/>
  <c r="L56" i="4"/>
  <c r="M56" i="4"/>
  <c r="N56" i="4"/>
  <c r="K57" i="4"/>
  <c r="L57" i="4"/>
  <c r="M57" i="4"/>
  <c r="N57" i="4"/>
  <c r="K58" i="4"/>
  <c r="L58" i="4"/>
  <c r="M58" i="4"/>
  <c r="N58" i="4"/>
  <c r="K59" i="4"/>
  <c r="L59" i="4"/>
  <c r="M59" i="4"/>
  <c r="N59" i="4"/>
  <c r="K60" i="4"/>
  <c r="L60" i="4"/>
  <c r="M60" i="4"/>
  <c r="N60" i="4"/>
  <c r="K61" i="4"/>
  <c r="L61" i="4"/>
  <c r="M61" i="4"/>
  <c r="N61" i="4"/>
  <c r="K62" i="4"/>
  <c r="L62" i="4"/>
  <c r="M62" i="4"/>
  <c r="N62" i="4"/>
  <c r="K63" i="4"/>
  <c r="L63" i="4"/>
  <c r="M63" i="4"/>
  <c r="N63" i="4"/>
  <c r="K64" i="4"/>
  <c r="L64" i="4"/>
  <c r="M64" i="4"/>
  <c r="N64" i="4"/>
  <c r="K65" i="4"/>
  <c r="L65" i="4"/>
  <c r="M65" i="4"/>
  <c r="N65" i="4"/>
  <c r="K66" i="4"/>
  <c r="L66" i="4"/>
  <c r="M66" i="4"/>
  <c r="N66" i="4"/>
  <c r="K4" i="4"/>
  <c r="L4" i="4"/>
  <c r="K5" i="4"/>
  <c r="L5" i="4"/>
  <c r="K6" i="4"/>
  <c r="L6" i="4"/>
  <c r="K7" i="4"/>
  <c r="L7" i="4"/>
  <c r="K8" i="4"/>
  <c r="L8" i="4"/>
  <c r="K9" i="4"/>
  <c r="L9" i="4"/>
  <c r="K10" i="4"/>
  <c r="L10" i="4"/>
  <c r="K11" i="4"/>
  <c r="L11" i="4"/>
  <c r="K12" i="4"/>
  <c r="L12" i="4"/>
  <c r="K13" i="4"/>
  <c r="L13" i="4"/>
  <c r="K14" i="4"/>
  <c r="L14" i="4"/>
  <c r="L3" i="4"/>
  <c r="K3" i="4"/>
  <c r="D29" i="4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D39" i="4"/>
  <c r="E39" i="4"/>
  <c r="F39" i="4"/>
  <c r="G39" i="4"/>
  <c r="D40" i="4"/>
  <c r="E40" i="4"/>
  <c r="F40" i="4"/>
  <c r="G40" i="4"/>
  <c r="D42" i="4"/>
  <c r="E42" i="4"/>
  <c r="F42" i="4"/>
  <c r="G42" i="4"/>
  <c r="D43" i="4"/>
  <c r="E43" i="4"/>
  <c r="F43" i="4"/>
  <c r="G43" i="4"/>
  <c r="D44" i="4"/>
  <c r="E44" i="4"/>
  <c r="F44" i="4"/>
  <c r="G44" i="4"/>
  <c r="D45" i="4"/>
  <c r="E45" i="4"/>
  <c r="F45" i="4"/>
  <c r="G45" i="4"/>
  <c r="D46" i="4"/>
  <c r="E46" i="4"/>
  <c r="F46" i="4"/>
  <c r="G46" i="4"/>
  <c r="D47" i="4"/>
  <c r="E47" i="4"/>
  <c r="F47" i="4"/>
  <c r="G47" i="4"/>
  <c r="D48" i="4"/>
  <c r="E48" i="4"/>
  <c r="F48" i="4"/>
  <c r="G48" i="4"/>
  <c r="D49" i="4"/>
  <c r="E49" i="4"/>
  <c r="F49" i="4"/>
  <c r="G49" i="4"/>
  <c r="D50" i="4"/>
  <c r="E50" i="4"/>
  <c r="F50" i="4"/>
  <c r="G50" i="4"/>
  <c r="D51" i="4"/>
  <c r="E51" i="4"/>
  <c r="F51" i="4"/>
  <c r="G51" i="4"/>
  <c r="D52" i="4"/>
  <c r="E52" i="4"/>
  <c r="F52" i="4"/>
  <c r="G52" i="4"/>
  <c r="D53" i="4"/>
  <c r="E53" i="4"/>
  <c r="F53" i="4"/>
  <c r="G53" i="4"/>
  <c r="D55" i="4"/>
  <c r="E55" i="4"/>
  <c r="F55" i="4"/>
  <c r="G55" i="4"/>
  <c r="D56" i="4"/>
  <c r="E56" i="4"/>
  <c r="F56" i="4"/>
  <c r="G56" i="4"/>
  <c r="D57" i="4"/>
  <c r="E57" i="4"/>
  <c r="F57" i="4"/>
  <c r="G57" i="4"/>
  <c r="D58" i="4"/>
  <c r="E58" i="4"/>
  <c r="F58" i="4"/>
  <c r="G58" i="4"/>
  <c r="D59" i="4"/>
  <c r="E59" i="4"/>
  <c r="F59" i="4"/>
  <c r="G59" i="4"/>
  <c r="D60" i="4"/>
  <c r="E60" i="4"/>
  <c r="F60" i="4"/>
  <c r="G60" i="4"/>
  <c r="D61" i="4"/>
  <c r="E61" i="4"/>
  <c r="F61" i="4"/>
  <c r="G61" i="4"/>
  <c r="D62" i="4"/>
  <c r="E62" i="4"/>
  <c r="F62" i="4"/>
  <c r="G62" i="4"/>
  <c r="D63" i="4"/>
  <c r="E63" i="4"/>
  <c r="F63" i="4"/>
  <c r="G63" i="4"/>
  <c r="D64" i="4"/>
  <c r="E64" i="4"/>
  <c r="F64" i="4"/>
  <c r="G64" i="4"/>
  <c r="D65" i="4"/>
  <c r="E65" i="4"/>
  <c r="F65" i="4"/>
  <c r="G65" i="4"/>
  <c r="D66" i="4"/>
  <c r="E66" i="4"/>
  <c r="F66" i="4"/>
  <c r="G66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G3" i="4"/>
  <c r="F3" i="4"/>
  <c r="E3" i="4"/>
  <c r="D3" i="4"/>
  <c r="V4" i="5"/>
  <c r="U4" i="5"/>
  <c r="T4" i="5"/>
  <c r="S4" i="5"/>
  <c r="R4" i="5"/>
  <c r="E4" i="5"/>
  <c r="D4" i="5"/>
  <c r="Q4" i="5"/>
  <c r="O4" i="5"/>
  <c r="P4" i="5"/>
  <c r="B4" i="5"/>
  <c r="A4" i="5" a="1"/>
  <c r="A4" i="5" s="1"/>
  <c r="D4" i="4"/>
  <c r="E4" i="4"/>
  <c r="M4" i="4"/>
  <c r="O4" i="4" s="1"/>
  <c r="N4" i="4"/>
  <c r="D5" i="4"/>
  <c r="E5" i="4"/>
  <c r="M5" i="4"/>
  <c r="N5" i="4"/>
  <c r="P5" i="4" s="1"/>
  <c r="D6" i="4"/>
  <c r="E6" i="4"/>
  <c r="M6" i="4"/>
  <c r="N6" i="4"/>
  <c r="D7" i="4"/>
  <c r="E7" i="4"/>
  <c r="M7" i="4"/>
  <c r="N7" i="4"/>
  <c r="D8" i="4"/>
  <c r="E8" i="4"/>
  <c r="M8" i="4"/>
  <c r="N8" i="4"/>
  <c r="D9" i="4"/>
  <c r="E9" i="4"/>
  <c r="M9" i="4"/>
  <c r="N9" i="4"/>
  <c r="D10" i="4"/>
  <c r="E10" i="4"/>
  <c r="M10" i="4"/>
  <c r="N10" i="4"/>
  <c r="D11" i="4"/>
  <c r="E11" i="4"/>
  <c r="M11" i="4"/>
  <c r="N11" i="4"/>
  <c r="P11" i="4" s="1"/>
  <c r="D12" i="4"/>
  <c r="E12" i="4"/>
  <c r="M12" i="4"/>
  <c r="N12" i="4"/>
  <c r="D13" i="4"/>
  <c r="E13" i="4"/>
  <c r="M13" i="4"/>
  <c r="N13" i="4"/>
  <c r="D14" i="4"/>
  <c r="E14" i="4"/>
  <c r="M14" i="4"/>
  <c r="N14" i="4"/>
  <c r="N3" i="4"/>
  <c r="M3" i="4"/>
  <c r="A1" i="1" a="1"/>
  <c r="A1" i="1" s="1"/>
  <c r="B1" i="1" a="1"/>
  <c r="B1" i="1" s="1"/>
  <c r="O8" i="4" l="1"/>
  <c r="O14" i="4"/>
  <c r="I8" i="5"/>
  <c r="H10" i="5"/>
  <c r="H9" i="5"/>
  <c r="H8" i="5"/>
  <c r="H7" i="5"/>
  <c r="H6" i="5"/>
  <c r="I7" i="5"/>
  <c r="I6" i="5"/>
  <c r="I10" i="5"/>
  <c r="I9" i="5"/>
  <c r="Q10" i="5"/>
  <c r="P10" i="5"/>
  <c r="O10" i="5"/>
  <c r="F10" i="5"/>
  <c r="F6" i="5"/>
  <c r="F7" i="5"/>
  <c r="G9" i="5"/>
  <c r="G6" i="5"/>
  <c r="E10" i="5"/>
  <c r="M10" i="5" s="1"/>
  <c r="G8" i="5"/>
  <c r="F8" i="5"/>
  <c r="D10" i="5"/>
  <c r="L10" i="5" s="1"/>
  <c r="G7" i="5"/>
  <c r="F9" i="5"/>
  <c r="G10" i="5"/>
  <c r="C10" i="5"/>
  <c r="B10" i="5"/>
  <c r="R10" i="5"/>
  <c r="O19" i="4"/>
  <c r="P65" i="4"/>
  <c r="P62" i="4"/>
  <c r="P59" i="4"/>
  <c r="P56" i="4"/>
  <c r="P52" i="4"/>
  <c r="P49" i="4"/>
  <c r="P46" i="4"/>
  <c r="P43" i="4"/>
  <c r="P39" i="4"/>
  <c r="P36" i="4"/>
  <c r="P16" i="4"/>
  <c r="O16" i="4"/>
  <c r="P14" i="4"/>
  <c r="O13" i="4"/>
  <c r="O7" i="4"/>
  <c r="P19" i="4"/>
  <c r="O40" i="4"/>
  <c r="O37" i="4"/>
  <c r="O34" i="4"/>
  <c r="O31" i="4"/>
  <c r="O27" i="4"/>
  <c r="O24" i="4"/>
  <c r="O21" i="4"/>
  <c r="O18" i="4"/>
  <c r="O65" i="4"/>
  <c r="O62" i="4"/>
  <c r="O59" i="4"/>
  <c r="O56" i="4"/>
  <c r="O52" i="4"/>
  <c r="O49" i="4"/>
  <c r="O46" i="4"/>
  <c r="O43" i="4"/>
  <c r="L41" i="4"/>
  <c r="P8" i="4"/>
  <c r="O5" i="4"/>
  <c r="O12" i="4"/>
  <c r="O6" i="4"/>
  <c r="P10" i="4"/>
  <c r="P4" i="4"/>
  <c r="O10" i="4"/>
  <c r="O11" i="4"/>
  <c r="O3" i="4"/>
  <c r="P9" i="4"/>
  <c r="P3" i="4"/>
  <c r="O9" i="4"/>
  <c r="P23" i="4"/>
  <c r="P20" i="4"/>
  <c r="P13" i="4"/>
  <c r="P7" i="4"/>
  <c r="P12" i="4"/>
  <c r="P6" i="4"/>
  <c r="O38" i="4"/>
  <c r="O35" i="4"/>
  <c r="O32" i="4"/>
  <c r="O29" i="4"/>
  <c r="O25" i="4"/>
  <c r="O22" i="4"/>
  <c r="P66" i="4"/>
  <c r="L67" i="4"/>
  <c r="P60" i="4"/>
  <c r="P57" i="4"/>
  <c r="P53" i="4"/>
  <c r="P50" i="4"/>
  <c r="P47" i="4"/>
  <c r="P44" i="4"/>
  <c r="O66" i="4"/>
  <c r="O63" i="4"/>
  <c r="O60" i="4"/>
  <c r="O57" i="4"/>
  <c r="O53" i="4"/>
  <c r="O50" i="4"/>
  <c r="O47" i="4"/>
  <c r="O44" i="4"/>
  <c r="P40" i="4"/>
  <c r="P37" i="4"/>
  <c r="P34" i="4"/>
  <c r="P31" i="4"/>
  <c r="P27" i="4"/>
  <c r="P24" i="4"/>
  <c r="P21" i="4"/>
  <c r="P18" i="4"/>
  <c r="N54" i="4"/>
  <c r="M67" i="4"/>
  <c r="M54" i="4"/>
  <c r="N28" i="4"/>
  <c r="P33" i="4"/>
  <c r="P30" i="4"/>
  <c r="P26" i="4"/>
  <c r="P17" i="4"/>
  <c r="K15" i="4"/>
  <c r="N67" i="4"/>
  <c r="O39" i="4"/>
  <c r="O36" i="4"/>
  <c r="O33" i="4"/>
  <c r="O30" i="4"/>
  <c r="O26" i="4"/>
  <c r="O23" i="4"/>
  <c r="O20" i="4"/>
  <c r="O17" i="4"/>
  <c r="L15" i="4"/>
  <c r="N41" i="4"/>
  <c r="P64" i="4"/>
  <c r="P61" i="4"/>
  <c r="P58" i="4"/>
  <c r="P55" i="4"/>
  <c r="P51" i="4"/>
  <c r="P48" i="4"/>
  <c r="P45" i="4"/>
  <c r="P42" i="4"/>
  <c r="M41" i="4"/>
  <c r="M28" i="4"/>
  <c r="O64" i="4"/>
  <c r="O61" i="4"/>
  <c r="O58" i="4"/>
  <c r="K67" i="4"/>
  <c r="O51" i="4"/>
  <c r="O48" i="4"/>
  <c r="K54" i="4"/>
  <c r="O42" i="4"/>
  <c r="P38" i="4"/>
  <c r="P35" i="4"/>
  <c r="P32" i="4"/>
  <c r="P29" i="4"/>
  <c r="P25" i="4"/>
  <c r="P22" i="4"/>
  <c r="L54" i="4"/>
  <c r="L28" i="4"/>
  <c r="K28" i="4"/>
  <c r="P63" i="4"/>
  <c r="O55" i="4"/>
  <c r="O45" i="4"/>
  <c r="K41" i="4"/>
  <c r="I24" i="4"/>
  <c r="I18" i="4"/>
  <c r="I66" i="4"/>
  <c r="I60" i="4"/>
  <c r="I57" i="4"/>
  <c r="I53" i="4"/>
  <c r="I50" i="4"/>
  <c r="I44" i="4"/>
  <c r="H24" i="4"/>
  <c r="H18" i="4"/>
  <c r="H40" i="4"/>
  <c r="F41" i="4"/>
  <c r="I23" i="4"/>
  <c r="I17" i="4"/>
  <c r="I39" i="4"/>
  <c r="I36" i="4"/>
  <c r="I33" i="4"/>
  <c r="I30" i="4"/>
  <c r="H26" i="4"/>
  <c r="H23" i="4"/>
  <c r="H17" i="4"/>
  <c r="H65" i="4"/>
  <c r="H62" i="4"/>
  <c r="H59" i="4"/>
  <c r="H56" i="4"/>
  <c r="H52" i="4"/>
  <c r="H49" i="4"/>
  <c r="H46" i="4"/>
  <c r="H43" i="4"/>
  <c r="H39" i="4"/>
  <c r="H36" i="4"/>
  <c r="H33" i="4"/>
  <c r="H30" i="4"/>
  <c r="F15" i="4"/>
  <c r="G15" i="4"/>
  <c r="I22" i="4"/>
  <c r="I19" i="4"/>
  <c r="I35" i="4"/>
  <c r="I32" i="4"/>
  <c r="I29" i="4"/>
  <c r="H22" i="4"/>
  <c r="H19" i="4"/>
  <c r="H38" i="4"/>
  <c r="H32" i="4"/>
  <c r="H29" i="4"/>
  <c r="N15" i="4"/>
  <c r="M15" i="4"/>
  <c r="H21" i="4"/>
  <c r="E15" i="4"/>
  <c r="I25" i="4"/>
  <c r="D15" i="4"/>
  <c r="I14" i="4"/>
  <c r="I8" i="4"/>
  <c r="H16" i="4"/>
  <c r="H64" i="4"/>
  <c r="H61" i="4"/>
  <c r="H58" i="4"/>
  <c r="H55" i="4"/>
  <c r="H51" i="4"/>
  <c r="H48" i="4"/>
  <c r="H45" i="4"/>
  <c r="H42" i="4"/>
  <c r="E41" i="4"/>
  <c r="F67" i="4"/>
  <c r="I26" i="4"/>
  <c r="D41" i="4"/>
  <c r="F28" i="4"/>
  <c r="I20" i="4"/>
  <c r="E67" i="4"/>
  <c r="E54" i="4"/>
  <c r="G28" i="4"/>
  <c r="H20" i="4"/>
  <c r="H66" i="4"/>
  <c r="H63" i="4"/>
  <c r="H60" i="4"/>
  <c r="H57" i="4"/>
  <c r="H53" i="4"/>
  <c r="H50" i="4"/>
  <c r="H47" i="4"/>
  <c r="H44" i="4"/>
  <c r="I40" i="4"/>
  <c r="I37" i="4"/>
  <c r="I34" i="4"/>
  <c r="I31" i="4"/>
  <c r="G54" i="4"/>
  <c r="H37" i="4"/>
  <c r="H34" i="4"/>
  <c r="H31" i="4"/>
  <c r="I27" i="4"/>
  <c r="F54" i="4"/>
  <c r="H27" i="4"/>
  <c r="I65" i="4"/>
  <c r="I62" i="4"/>
  <c r="I59" i="4"/>
  <c r="I56" i="4"/>
  <c r="I52" i="4"/>
  <c r="I49" i="4"/>
  <c r="I46" i="4"/>
  <c r="I43" i="4"/>
  <c r="G67" i="4"/>
  <c r="G41" i="4"/>
  <c r="E28" i="4"/>
  <c r="I16" i="4"/>
  <c r="I64" i="4"/>
  <c r="I61" i="4"/>
  <c r="I58" i="4"/>
  <c r="I55" i="4"/>
  <c r="I51" i="4"/>
  <c r="I48" i="4"/>
  <c r="I45" i="4"/>
  <c r="I42" i="4"/>
  <c r="D67" i="4"/>
  <c r="I38" i="4"/>
  <c r="I63" i="4"/>
  <c r="I47" i="4"/>
  <c r="D54" i="4"/>
  <c r="H35" i="4"/>
  <c r="D28" i="4"/>
  <c r="I21" i="4"/>
  <c r="H25" i="4"/>
  <c r="H3" i="4"/>
  <c r="I9" i="4"/>
  <c r="I4" i="4"/>
  <c r="H12" i="4"/>
  <c r="H14" i="4"/>
  <c r="H8" i="4"/>
  <c r="I13" i="4"/>
  <c r="I7" i="4"/>
  <c r="I11" i="4"/>
  <c r="I5" i="4"/>
  <c r="H11" i="4"/>
  <c r="H5" i="4"/>
  <c r="H9" i="4"/>
  <c r="H13" i="4"/>
  <c r="H7" i="4"/>
  <c r="I3" i="4"/>
  <c r="I12" i="4"/>
  <c r="I6" i="4"/>
  <c r="I10" i="4"/>
  <c r="H6" i="4"/>
  <c r="H10" i="4"/>
  <c r="H4" i="4"/>
  <c r="C1" i="1" a="1"/>
  <c r="C1" i="1" s="1"/>
  <c r="C8" i="5"/>
  <c r="E6" i="5"/>
  <c r="Q9" i="5"/>
  <c r="P6" i="5"/>
  <c r="P7" i="5"/>
  <c r="E7" i="5"/>
  <c r="Q8" i="5"/>
  <c r="C6" i="5"/>
  <c r="B6" i="5"/>
  <c r="O7" i="5"/>
  <c r="Q6" i="5"/>
  <c r="D9" i="5"/>
  <c r="L9" i="5" s="1"/>
  <c r="O6" i="5"/>
  <c r="E9" i="5"/>
  <c r="C9" i="5"/>
  <c r="B8" i="5"/>
  <c r="B7" i="5"/>
  <c r="D8" i="5"/>
  <c r="L8" i="5" s="1"/>
  <c r="O9" i="5"/>
  <c r="R9" i="5"/>
  <c r="E8" i="5"/>
  <c r="M8" i="5" s="1"/>
  <c r="B9" i="5"/>
  <c r="J9" i="5" s="1"/>
  <c r="Q7" i="5"/>
  <c r="D7" i="5"/>
  <c r="L7" i="5" s="1"/>
  <c r="R8" i="5"/>
  <c r="C7" i="5"/>
  <c r="K7" i="5" s="1"/>
  <c r="O8" i="5"/>
  <c r="D6" i="5"/>
  <c r="L6" i="5" s="1"/>
  <c r="P9" i="5"/>
  <c r="R7" i="5"/>
  <c r="P8" i="5"/>
  <c r="R6" i="5"/>
  <c r="J7" i="5" l="1"/>
  <c r="K9" i="5"/>
  <c r="M7" i="5"/>
  <c r="J8" i="5"/>
  <c r="M9" i="5"/>
  <c r="J10" i="5"/>
  <c r="K10" i="5"/>
  <c r="K6" i="5"/>
  <c r="K8" i="5"/>
  <c r="J6" i="5"/>
  <c r="V10" i="5"/>
  <c r="M6" i="5"/>
  <c r="S10" i="5"/>
  <c r="T10" i="5"/>
  <c r="U10" i="5"/>
  <c r="P67" i="4"/>
  <c r="O54" i="4"/>
  <c r="P28" i="4"/>
  <c r="P41" i="4"/>
  <c r="P54" i="4"/>
  <c r="O15" i="4"/>
  <c r="P15" i="4"/>
  <c r="O41" i="4"/>
  <c r="O67" i="4"/>
  <c r="H28" i="4"/>
  <c r="O28" i="4"/>
  <c r="H54" i="4"/>
  <c r="I54" i="4"/>
  <c r="H41" i="4"/>
  <c r="I67" i="4"/>
  <c r="I28" i="4"/>
  <c r="H15" i="4"/>
  <c r="I15" i="4"/>
  <c r="H67" i="4"/>
  <c r="I41" i="4"/>
  <c r="U6" i="5"/>
  <c r="U8" i="5"/>
  <c r="S6" i="5"/>
  <c r="T6" i="5"/>
  <c r="V9" i="5"/>
  <c r="U9" i="5"/>
  <c r="T7" i="5"/>
  <c r="V7" i="5"/>
  <c r="T9" i="5"/>
  <c r="V6" i="5"/>
  <c r="T8" i="5"/>
  <c r="V8" i="5"/>
  <c r="U7" i="5"/>
  <c r="S7" i="5"/>
  <c r="S8" i="5"/>
  <c r="S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8475A6-6520-44AB-B047-44B813BC1172}" keepAlive="1" name="Query - All Sales csv" description="Connection to the 'All Sales csv' query in the workbook." type="5" refreshedVersion="8" background="1" refreshOnLoad="1" saveData="1">
    <dbPr connection="Provider=Microsoft.Mashup.OleDb.1;Data Source=$Workbook$;Location=&quot;All Sales csv&quot;;Extended Properties=&quot;&quot;" command="SELECT * FROM [All Sales csv]"/>
  </connection>
  <connection id="2" xr16:uid="{E8C59073-FE74-4AA6-A549-C7267523EF29}" keepAlive="1" name="Query - Cancels csv" description="Connection to the 'Cancels csv' query in the workbook." type="5" refreshedVersion="8" background="1" refreshOnLoad="1" saveData="1">
    <dbPr connection="Provider=Microsoft.Mashup.OleDb.1;Data Source=$Workbook$;Location=&quot;Cancels csv&quot;;Extended Properties=&quot;&quot;" command="SELECT * FROM [Cancels csv]"/>
  </connection>
  <connection id="3" xr16:uid="{BEE2D488-8C45-4EE5-9000-26B1356F3566}" keepAlive="1" name="Query - IM Cancels csv" description="Connection to the 'IM Cancels csv' query in the workbook." type="5" refreshedVersion="8" background="1" refreshOnLoad="1" saveData="1">
    <dbPr connection="Provider=Microsoft.Mashup.OleDb.1;Data Source=$Workbook$;Location=&quot;IM Cancels csv&quot;;Extended Properties=&quot;&quot;" command="SELECT * FROM [IM Cancels csv]"/>
  </connection>
  <connection id="4" xr16:uid="{AD909CC7-F87D-436B-A20D-FEC048D113F1}" keepAlive="1" name="Query - Sales csv" description="Connection to the 'Sales csv' query in the workbook." type="5" refreshedVersion="8" background="1" refreshOnLoad="1" saveData="1">
    <dbPr connection="Provider=Microsoft.Mashup.OleDb.1;Data Source=$Workbook$;Location=&quot;Sales csv&quot;;Extended Properties=&quot;&quot;" command="SELECT * FROM [Sales csv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<sst xmlns="http://schemas.openxmlformats.org/spreadsheetml/2006/main" count="14916" uniqueCount="88">
  <si>
    <t>Year</t>
  </si>
  <si>
    <t>MonthNum</t>
  </si>
  <si>
    <t>Month</t>
  </si>
  <si>
    <t>Branch Name</t>
  </si>
  <si>
    <t>Sales</t>
  </si>
  <si>
    <t>Contract Value</t>
  </si>
  <si>
    <t>January</t>
  </si>
  <si>
    <t>Albany - NY</t>
  </si>
  <si>
    <t>Baton Rouge - LA</t>
  </si>
  <si>
    <t>Bloomington - IL</t>
  </si>
  <si>
    <t>Boston - MA</t>
  </si>
  <si>
    <t>Buffalo - NY</t>
  </si>
  <si>
    <t>Chicago North - IL</t>
  </si>
  <si>
    <t>Chicago South - IL</t>
  </si>
  <si>
    <t>Corpus Christi - TX</t>
  </si>
  <si>
    <t>Dallas Fort Worth Northwest - TX</t>
  </si>
  <si>
    <t>DC West - DC</t>
  </si>
  <si>
    <t>Harrisburg - PA</t>
  </si>
  <si>
    <t>Hartford - CT</t>
  </si>
  <si>
    <t>Lafayette - LA</t>
  </si>
  <si>
    <t>Lexington - KY</t>
  </si>
  <si>
    <t>Long Island - NY</t>
  </si>
  <si>
    <t>Lubbock - TX</t>
  </si>
  <si>
    <t>Manchester - NH</t>
  </si>
  <si>
    <t>McAllen - TX</t>
  </si>
  <si>
    <t>Midland - TX</t>
  </si>
  <si>
    <t>New Jersey Central - NJ</t>
  </si>
  <si>
    <t>Newport News - VA</t>
  </si>
  <si>
    <t>Northshore - LA</t>
  </si>
  <si>
    <t>Orchard Park - NY</t>
  </si>
  <si>
    <t>Orlando West - FL</t>
  </si>
  <si>
    <t>Oxford - CT</t>
  </si>
  <si>
    <t>Pittsburgh - PA</t>
  </si>
  <si>
    <t>Providence - RI</t>
  </si>
  <si>
    <t>Rochester - NY</t>
  </si>
  <si>
    <t>Syracuse - NY</t>
  </si>
  <si>
    <t>Virginia Beach - VA</t>
  </si>
  <si>
    <t>Westchester - NY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</si>
  <si>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</si>
  <si>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</si>
  <si>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</si>
  <si>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</si>
  <si>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</si>
  <si>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</si>
  <si>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</si>
  <si>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</si>
  <si>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</si>
  <si>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</si>
  <si>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</si>
  <si>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Spokane - WA</t>
  </si>
  <si>
    <t>Iowa City - IA</t>
  </si>
  <si>
    <t>Pensacola - FL</t>
  </si>
  <si>
    <t>Portland - ME</t>
  </si>
  <si>
    <t>Springfield - MA</t>
  </si>
  <si>
    <t>Evansville - IN</t>
  </si>
  <si>
    <t>Kennewick - WA</t>
  </si>
  <si>
    <t>Sioux Falls - SD</t>
  </si>
  <si>
    <t>South Bend - IN</t>
  </si>
  <si>
    <t>Reno - NV</t>
  </si>
  <si>
    <t>Burlington - VT</t>
  </si>
  <si>
    <t>Cancels</t>
  </si>
  <si>
    <t>IM Sales</t>
  </si>
  <si>
    <t>IM Sales CV</t>
  </si>
  <si>
    <t>Cancelled CV</t>
  </si>
  <si>
    <t>Choose Branch from dropdown:</t>
  </si>
  <si>
    <t>Branch1</t>
  </si>
  <si>
    <t>Branch2</t>
  </si>
  <si>
    <t>Choose branch1:</t>
  </si>
  <si>
    <t>Choose branch2:</t>
  </si>
  <si>
    <t>Knoxville - TN</t>
  </si>
  <si>
    <t>Appleton - WI</t>
  </si>
  <si>
    <t>Des Moines - IA</t>
  </si>
  <si>
    <t>Fort Wayne - IN</t>
  </si>
  <si>
    <t>Wichita - KS</t>
  </si>
  <si>
    <t>Willamette Valley - OR</t>
  </si>
  <si>
    <t>IM Cancels</t>
  </si>
  <si>
    <t>IM Cancels CV</t>
  </si>
  <si>
    <t>IM Sales/IM Cancels</t>
  </si>
  <si>
    <t>IM Sale CV / IM Cancel CV</t>
  </si>
  <si>
    <t>Total</t>
  </si>
  <si>
    <t>Totals</t>
  </si>
  <si>
    <t>All Sales</t>
  </si>
  <si>
    <t>All Sales CV</t>
  </si>
  <si>
    <t>All sales/Cancels</t>
  </si>
  <si>
    <t>All sale CV / Cancel CV</t>
  </si>
  <si>
    <t>Sales CV</t>
  </si>
  <si>
    <t>IM Sales / IM Cancels</t>
  </si>
  <si>
    <t>IM Sales CV / IM Cancels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</si>
</sst>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7">
    <xf numFmtId="0" fontId="0" fillId="0" borderId="0" xfId="0"/>
    <xf numFmtId="44" fontId="0" fillId="0" borderId="0" xfId="2" applyFont="1"/>
    <xf numFmtId="10" fontId="0" fillId="0" borderId="0" xfId="3" applyNumberFormat="1" applyFont="1"/>
    <xf numFmtId="44" fontId="0" fillId="0" borderId="0" xfId="2" applyFont="1" applyBorder="1"/>
    <xf numFmtId="10" fontId="0" fillId="0" borderId="3" xfId="3" applyNumberFormat="1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44" fontId="0" fillId="0" borderId="2" xfId="2" applyFont="1" applyBorder="1"/>
    <xf numFmtId="44" fontId="0" fillId="0" borderId="3" xfId="2" applyFont="1" applyBorder="1"/>
    <xf numFmtId="164" fontId="0" fillId="0" borderId="3" xfId="1" applyNumberFormat="1" applyFont="1" applyBorder="1"/>
    <xf numFmtId="164" fontId="0" fillId="0" borderId="0" xfId="1" applyNumberFormat="1" applyFont="1"/>
    <xf numFmtId="44" fontId="0" fillId="3" borderId="4" xfId="2" applyFont="1" applyFill="1" applyBorder="1"/>
    <xf numFmtId="44" fontId="0" fillId="3" borderId="1" xfId="2" applyFont="1" applyFill="1" applyBorder="1"/>
    <xf numFmtId="44" fontId="0" fillId="3" borderId="5" xfId="2" applyFont="1" applyFill="1" applyBorder="1"/>
    <xf numFmtId="0" fontId="0" fillId="0" borderId="6" xfId="0" applyBorder="1"/>
    <xf numFmtId="44" fontId="0" fillId="0" borderId="7" xfId="2" applyFont="1" applyBorder="1"/>
    <xf numFmtId="0" fontId="0" fillId="0" borderId="8" xfId="0" applyBorder="1"/>
    <xf numFmtId="44" fontId="0" fillId="0" borderId="9" xfId="2" applyFont="1" applyBorder="1"/>
    <xf numFmtId="0" fontId="0" fillId="0" borderId="10" xfId="0" applyBorder="1"/>
    <xf numFmtId="44" fontId="0" fillId="0" borderId="11" xfId="2" applyFont="1" applyBorder="1"/>
    <xf numFmtId="10" fontId="0" fillId="0" borderId="6" xfId="3" applyNumberFormat="1" applyFont="1" applyBorder="1"/>
    <xf numFmtId="10" fontId="0" fillId="0" borderId="7" xfId="3" applyNumberFormat="1" applyFont="1" applyBorder="1"/>
    <xf numFmtId="10" fontId="0" fillId="0" borderId="8" xfId="3" applyNumberFormat="1" applyFont="1" applyBorder="1"/>
    <xf numFmtId="10" fontId="0" fillId="0" borderId="9" xfId="3" applyNumberFormat="1" applyFont="1" applyBorder="1"/>
    <xf numFmtId="10" fontId="0" fillId="0" borderId="10" xfId="3" applyNumberFormat="1" applyFont="1" applyBorder="1"/>
    <xf numFmtId="10" fontId="0" fillId="0" borderId="11" xfId="3" applyNumberFormat="1" applyFont="1" applyBorder="1"/>
    <xf numFmtId="10" fontId="0" fillId="0" borderId="12" xfId="3" applyNumberFormat="1" applyFont="1" applyBorder="1"/>
    <xf numFmtId="10" fontId="0" fillId="0" borderId="13" xfId="3" applyNumberFormat="1" applyFont="1" applyBorder="1"/>
    <xf numFmtId="10" fontId="0" fillId="0" borderId="14" xfId="3" applyNumberFormat="1" applyFont="1" applyBorder="1"/>
    <xf numFmtId="0" fontId="0" fillId="0" borderId="15" xfId="0" applyBorder="1"/>
    <xf numFmtId="0" fontId="0" fillId="0" borderId="16" xfId="0" applyBorder="1"/>
    <xf numFmtId="0" fontId="0" fillId="0" borderId="7" xfId="0" applyBorder="1"/>
    <xf numFmtId="0" fontId="0" fillId="0" borderId="17" xfId="0" applyBorder="1"/>
    <xf numFmtId="0" fontId="0" fillId="0" borderId="18" xfId="0" applyBorder="1"/>
    <xf numFmtId="0" fontId="0" fillId="0" borderId="9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44" fontId="0" fillId="0" borderId="23" xfId="2" applyFont="1" applyBorder="1"/>
    <xf numFmtId="10" fontId="0" fillId="0" borderId="24" xfId="3" applyNumberFormat="1" applyFont="1" applyBorder="1"/>
    <xf numFmtId="10" fontId="0" fillId="0" borderId="23" xfId="3" applyNumberFormat="1" applyFont="1" applyBorder="1"/>
    <xf numFmtId="44" fontId="0" fillId="3" borderId="25" xfId="2" applyFont="1" applyFill="1" applyBorder="1"/>
    <xf numFmtId="10" fontId="0" fillId="0" borderId="26" xfId="3" applyNumberFormat="1" applyFont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44" fontId="0" fillId="0" borderId="30" xfId="2" applyFont="1" applyBorder="1"/>
    <xf numFmtId="10" fontId="0" fillId="0" borderId="29" xfId="3" applyNumberFormat="1" applyFont="1" applyBorder="1"/>
    <xf numFmtId="10" fontId="0" fillId="0" borderId="30" xfId="3" applyNumberFormat="1" applyFont="1" applyBorder="1"/>
    <xf numFmtId="44" fontId="0" fillId="0" borderId="28" xfId="2" applyFont="1" applyBorder="1"/>
    <xf numFmtId="10" fontId="0" fillId="0" borderId="28" xfId="3" applyNumberFormat="1" applyFont="1" applyBorder="1"/>
    <xf numFmtId="10" fontId="0" fillId="0" borderId="31" xfId="3" applyNumberFormat="1" applyFont="1" applyBorder="1"/>
    <xf numFmtId="10" fontId="0" fillId="0" borderId="32" xfId="3" applyNumberFormat="1" applyFont="1" applyBorder="1"/>
    <xf numFmtId="44" fontId="0" fillId="3" borderId="28" xfId="2" applyFont="1" applyFill="1" applyBorder="1"/>
    <xf numFmtId="44" fontId="0" fillId="0" borderId="0" xfId="2" applyFont="1" applyFill="1"/>
    <xf numFmtId="44" fontId="0" fillId="0" borderId="2" xfId="2" applyFont="1" applyFill="1" applyBorder="1"/>
    <xf numFmtId="44" fontId="0" fillId="0" borderId="28" xfId="2" applyFont="1" applyFill="1" applyBorder="1"/>
    <xf numFmtId="164" fontId="0" fillId="0" borderId="2" xfId="1" applyNumberFormat="1" applyFont="1" applyFill="1" applyBorder="1"/>
    <xf numFmtId="164" fontId="0" fillId="0" borderId="33" xfId="1" applyNumberFormat="1" applyFont="1" applyFill="1" applyBorder="1"/>
    <xf numFmtId="44" fontId="0" fillId="0" borderId="33" xfId="2" applyFont="1" applyFill="1" applyBorder="1"/>
    <xf numFmtId="0" fontId="0" fillId="0" borderId="34" xfId="0" applyBorder="1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1" applyNumberFormat="1" applyFont="1" applyBorder="1"/>
    <xf numFmtId="10" fontId="0" fillId="0" borderId="0" xfId="3" applyNumberFormat="1" applyFont="1" applyBorder="1"/>
    <xf numFmtId="9" fontId="0" fillId="0" borderId="0" xfId="3" applyFont="1" applyBorder="1"/>
    <xf numFmtId="9" fontId="0" fillId="0" borderId="3" xfId="3" applyFont="1" applyBorder="1"/>
    <xf numFmtId="0" fontId="0" fillId="3" borderId="0" xfId="0" applyFill="1" applyAlignment="1">
      <alignment vertical="center" wrapText="1"/>
    </xf>
    <xf numFmtId="0" fontId="0" fillId="3" borderId="0" xfId="0" applyFill="1"/>
    <xf numFmtId="44" fontId="0" fillId="3" borderId="0" xfId="2" applyFont="1" applyFill="1" applyBorder="1"/>
    <xf numFmtId="9" fontId="0" fillId="3" borderId="0" xfId="3" applyFont="1" applyFill="1" applyBorder="1"/>
    <xf numFmtId="44" fontId="0" fillId="0" borderId="35" xfId="2" applyFont="1" applyBorder="1"/>
    <xf numFmtId="164" fontId="0" fillId="0" borderId="36" xfId="1" applyNumberFormat="1" applyFont="1" applyBorder="1"/>
    <xf numFmtId="44" fontId="0" fillId="0" borderId="0" xfId="2" applyFont="1" applyFill="1" applyBorder="1"/>
    <xf numFmtId="164" fontId="0" fillId="0" borderId="36" xfId="1" applyNumberFormat="1" applyFont="1" applyBorder="1" applyAlignment="1">
      <alignment vertical="top" wrapText="1"/>
    </xf>
    <xf numFmtId="164" fontId="0" fillId="0" borderId="3" xfId="1" applyNumberFormat="1" applyFont="1" applyBorder="1" applyAlignment="1">
      <alignment vertical="top" wrapText="1"/>
    </xf>
    <xf numFmtId="44" fontId="0" fillId="0" borderId="2" xfId="2" applyFont="1" applyBorder="1" applyAlignment="1">
      <alignment vertical="top" wrapText="1"/>
    </xf>
    <xf numFmtId="44" fontId="0" fillId="0" borderId="35" xfId="2" applyFont="1" applyBorder="1" applyAlignment="1">
      <alignment vertical="top" wrapText="1"/>
    </xf>
    <xf numFmtId="44" fontId="0" fillId="0" borderId="0" xfId="2" applyFont="1" applyBorder="1" applyAlignment="1">
      <alignment vertical="top" wrapText="1"/>
    </xf>
    <xf numFmtId="44" fontId="0" fillId="0" borderId="3" xfId="2" applyFont="1" applyBorder="1" applyAlignment="1">
      <alignment vertical="top" wrapText="1"/>
    </xf>
    <xf numFmtId="44" fontId="0" fillId="3" borderId="0" xfId="2" applyFont="1" applyFill="1" applyBorder="1" applyAlignment="1">
      <alignment vertical="top" wrapText="1"/>
    </xf>
    <xf numFmtId="164" fontId="0" fillId="0" borderId="0" xfId="1" applyNumberFormat="1" applyFont="1" applyBorder="1" applyAlignment="1">
      <alignment vertical="top" wrapText="1"/>
    </xf>
    <xf numFmtId="10" fontId="0" fillId="0" borderId="0" xfId="3" applyNumberFormat="1" applyFont="1" applyBorder="1" applyAlignment="1">
      <alignment vertical="top" wrapText="1"/>
    </xf>
    <xf numFmtId="10" fontId="0" fillId="0" borderId="3" xfId="3" applyNumberFormat="1" applyFont="1" applyBorder="1" applyAlignment="1">
      <alignment vertical="top" wrapText="1"/>
    </xf>
    <xf numFmtId="0" fontId="0" fillId="2" borderId="37" xfId="0" applyFill="1" applyBorder="1" applyAlignment="1">
      <alignment vertical="center" wrapText="1"/>
    </xf>
    <xf numFmtId="164" fontId="0" fillId="0" borderId="0" xfId="1" applyNumberFormat="1" applyFont="1" applyFill="1" applyBorder="1"/>
    <xf numFmtId="10" fontId="0" fillId="0" borderId="0" xfId="3" applyNumberFormat="1" applyFont="1" applyFill="1" applyBorder="1"/>
    <xf numFmtId="0" fontId="0" fillId="0" borderId="38" xfId="0" applyBorder="1"/>
    <xf numFmtId="164" fontId="0" fillId="0" borderId="38" xfId="1" applyNumberFormat="1" applyFont="1" applyFill="1" applyBorder="1"/>
    <xf numFmtId="44" fontId="0" fillId="0" borderId="38" xfId="2" applyFont="1" applyFill="1" applyBorder="1"/>
    <xf numFmtId="10" fontId="0" fillId="0" borderId="38" xfId="3" applyNumberFormat="1" applyFont="1" applyFill="1" applyBorder="1"/>
    <xf numFmtId="0" fontId="0" fillId="0" borderId="38" xfId="0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40" xfId="0" applyBorder="1" applyAlignment="1">
      <alignment vertical="center"/>
    </xf>
    <xf numFmtId="44" fontId="0" fillId="0" borderId="39" xfId="2" applyFont="1" applyFill="1" applyBorder="1"/>
    <xf numFmtId="44" fontId="0" fillId="0" borderId="40" xfId="2" applyFont="1" applyFill="1" applyBorder="1"/>
    <xf numFmtId="164" fontId="0" fillId="0" borderId="28" xfId="1" applyNumberFormat="1" applyFont="1" applyFill="1" applyBorder="1"/>
    <xf numFmtId="10" fontId="0" fillId="0" borderId="28" xfId="3" applyNumberFormat="1" applyFont="1" applyFill="1" applyBorder="1"/>
    <xf numFmtId="0" fontId="0" fillId="0" borderId="0" xfId="0" applyNumberFormat="1"/>
    <xf numFmtId="0" fontId="0" fillId="3" borderId="28" xfId="0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3DF8AB1E-FDFB-4242-86FA-D4B320A0E7B5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MonthNum" tableColumnId="2"/>
      <queryTableField id="3" name="Month" tableColumnId="3"/>
      <queryTableField id="4" name="Branch Name" tableColumnId="4"/>
      <queryTableField id="5" name="Sales" tableColumnId="5"/>
      <queryTableField id="6" name="Contract Valu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4" xr16:uid="{BD6144AA-5C7F-401C-876E-AB8F529782BF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MonthNum" tableColumnId="2"/>
      <queryTableField id="3" name="Month" tableColumnId="3"/>
      <queryTableField id="4" name="Branch Name" tableColumnId="4"/>
      <queryTableField id="5" name="Sales" tableColumnId="5"/>
      <queryTableField id="6" name="Contract Valu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2" xr16:uid="{CC802AA9-BC88-4F8E-B44B-4C80FCDDCA58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MonthNum" tableColumnId="2"/>
      <queryTableField id="3" name="Month" tableColumnId="3"/>
      <queryTableField id="4" name="Branch Name" tableColumnId="4"/>
      <queryTableField id="5" name="Cancels" tableColumnId="5"/>
      <queryTableField id="6" name="Contract Valu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3" xr16:uid="{3621003A-5B58-4842-A90C-290031654991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MonthNum" tableColumnId="2"/>
      <queryTableField id="3" name="Month" tableColumnId="3"/>
      <queryTableField id="4" name="Branch Name" tableColumnId="4"/>
      <queryTableField id="5" name="Cancels" tableColumnId="5"/>
      <queryTableField id="6" name="Contract 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6169F4-4EFA-45A6-8B6F-FE569A9F378E}" name="All_Sales_csv" displayName="All_Sales_csv" ref="A1:F1882" tableType="queryTable" totalsRowShown="0">
  <autoFilter ref="A1:F1882" xr:uid="{316169F4-4EFA-45A6-8B6F-FE569A9F378E}"/>
  <tableColumns count="6">
    <tableColumn id="1" xr3:uid="{10D19342-457F-42B7-8AC0-6F7682B59A6F}" uniqueName="1" name="Year" queryTableFieldId="1"/>
    <tableColumn id="2" xr3:uid="{99EAC542-A298-4EF1-A1B1-23AB7132E470}" uniqueName="2" name="MonthNum" queryTableFieldId="2"/>
    <tableColumn id="3" xr3:uid="{0D93CB9F-CB93-424B-A064-F501C6C3F505}" uniqueName="3" name="Month" queryTableFieldId="3" dataDxfId="8"/>
    <tableColumn id="4" xr3:uid="{783B2BC2-448F-46EA-8B05-82A2983C4A34}" uniqueName="4" name="Branch Name" queryTableFieldId="4" dataDxfId="7"/>
    <tableColumn id="5" xr3:uid="{77041C5D-A896-4A95-9175-32B528006C4C}" uniqueName="5" name="Sales" queryTableFieldId="5"/>
    <tableColumn id="6" xr3:uid="{282A2FE4-5AF5-4E33-A569-BB814FCA7495}" uniqueName="6" name="Contract Valu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1C5275-5DE1-44EB-B984-423931F6733E}" name="Sales_csv" displayName="Sales_csv" ref="A1:F1844" tableType="queryTable" totalsRowShown="0">
  <autoFilter ref="A1:F1844" xr:uid="{3A1C5275-5DE1-44EB-B984-423931F6733E}">
    <filterColumn colId="3">
      <filters>
        <filter val="Lubbock - TX"/>
      </filters>
    </filterColumn>
  </autoFilter>
  <tableColumns count="6">
    <tableColumn id="1" xr3:uid="{DAC3864D-4965-4330-B1E3-5F5F056856C6}" uniqueName="1" name="Year" queryTableFieldId="1"/>
    <tableColumn id="2" xr3:uid="{DD1EA0FA-A3B7-4BC8-951A-EFB0CF1F2076}" uniqueName="2" name="MonthNum" queryTableFieldId="2"/>
    <tableColumn id="3" xr3:uid="{9E653DDD-871A-4D16-AC51-066CC135BE86}" uniqueName="3" name="Month" queryTableFieldId="3" dataDxfId="6"/>
    <tableColumn id="4" xr3:uid="{C5BC8610-459A-45AA-8B20-257F55888A36}" uniqueName="4" name="Branch Name" queryTableFieldId="4" dataDxfId="5"/>
    <tableColumn id="5" xr3:uid="{042D42D0-211C-48A9-8707-13D3E31404BA}" uniqueName="5" name="Sales" queryTableFieldId="5"/>
    <tableColumn id="6" xr3:uid="{1B03CFB2-96C2-45F0-88F3-F173E5DEBACB}" uniqueName="6" name="Contract Value" queryTableFieldId="6" dataDxfId="4" dataCellStyle="Currency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EEE3D5-81A5-4F16-8BA8-15B8302E7DFC}" name="Cancels_csv" displayName="Cancels_csv" ref="A1:F1873" tableType="queryTable" totalsRowShown="0">
  <autoFilter ref="A1:F1873" xr:uid="{3AEEE3D5-81A5-4F16-8BA8-15B8302E7DFC}"/>
  <tableColumns count="6">
    <tableColumn id="1" xr3:uid="{D000CDE5-063A-4E6D-94C9-FFBAE20ADB83}" uniqueName="1" name="Year" queryTableFieldId="1"/>
    <tableColumn id="2" xr3:uid="{9A0C6333-A74A-4705-ADDC-9B6E72C10E95}" uniqueName="2" name="MonthNum" queryTableFieldId="2"/>
    <tableColumn id="3" xr3:uid="{2352C9DE-E6B3-4B57-92F4-EC2CF788198B}" uniqueName="3" name="Month" queryTableFieldId="3" dataDxfId="3"/>
    <tableColumn id="4" xr3:uid="{62A80305-94BE-41FE-AFF1-BBB4EBC2F928}" uniqueName="4" name="Branch Name" queryTableFieldId="4" dataDxfId="2"/>
    <tableColumn id="5" xr3:uid="{D6998B87-9C09-4FBC-9798-EA310EAEEFD5}" uniqueName="5" name="Cancels" queryTableFieldId="5"/>
    <tableColumn id="6" xr3:uid="{16F47D76-791C-488D-AB09-3FE4D70DE47E}" uniqueName="6" name="Contract Valu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894886-3CE6-42D0-BFDB-F71DCBDFA1A6}" name="IM_Cancels_csv" displayName="IM_Cancels_csv" ref="A1:F1804" tableType="queryTable" totalsRowShown="0">
  <autoFilter ref="A1:F1804" xr:uid="{9C894886-3CE6-42D0-BFDB-F71DCBDFA1A6}">
    <filterColumn colId="3">
      <filters>
        <filter val="Lexington - KY"/>
      </filters>
    </filterColumn>
  </autoFilter>
  <tableColumns count="6">
    <tableColumn id="1" xr3:uid="{0B2BB7DA-B0E4-4F0B-83F6-1FE4350268C3}" uniqueName="1" name="Year" queryTableFieldId="1"/>
    <tableColumn id="2" xr3:uid="{ED1E720F-12AD-42A0-AC9C-E2D35D9A3076}" uniqueName="2" name="MonthNum" queryTableFieldId="2"/>
    <tableColumn id="3" xr3:uid="{A4B466C5-38B2-4DE3-8919-31BE07303F9A}" uniqueName="3" name="Month" queryTableFieldId="3" dataDxfId="1"/>
    <tableColumn id="4" xr3:uid="{822559BF-461D-4A97-9BD4-DD3D483BAA2E}" uniqueName="4" name="Branch Name" queryTableFieldId="4" dataDxfId="0"/>
    <tableColumn id="5" xr3:uid="{5B334F28-F08B-4339-8C9C-849EAEA8D9CD}" uniqueName="5" name="Cancels" queryTableFieldId="5"/>
    <tableColumn id="6" xr3:uid="{5378711B-3D2D-4006-B880-08C96824B401}" uniqueName="6" name="Contract 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BE5E-622C-4FC6-B119-294203EB5C20}">
  <dimension ref="A1:P67"/>
  <sheetViews>
    <sheetView workbookViewId="0">
      <pane xSplit="1" topLeftCell="E1" activePane="topRight" state="frozen"/>
      <selection pane="topRight" activeCell="S13" sqref="S13"/>
    </sheetView>
  </sheetViews>
  <sheetFormatPr defaultRowHeight="14.4" x14ac:dyDescent="0.3"/>
  <cols>
    <col min="1" max="1" width="7.109375" bestFit="1" customWidth="1"/>
    <col min="3" max="3" width="10.88671875" bestFit="1" customWidth="1"/>
    <col min="4" max="4" width="10.5546875" bestFit="1" customWidth="1"/>
    <col min="5" max="5" width="14.88671875" style="1" bestFit="1" customWidth="1"/>
    <col min="6" max="6" width="14.109375" style="1" bestFit="1" customWidth="1"/>
    <col min="7" max="7" width="17.109375" style="1" bestFit="1" customWidth="1"/>
    <col min="8" max="8" width="21.109375" style="2" customWidth="1"/>
    <col min="9" max="9" width="27.5546875" style="1" bestFit="1" customWidth="1"/>
    <col min="10" max="10" width="3.109375" style="1" customWidth="1"/>
    <col min="11" max="11" width="12.109375" style="58" bestFit="1" customWidth="1"/>
    <col min="12" max="12" width="15" style="58" bestFit="1" customWidth="1"/>
    <col min="13" max="13" width="10" bestFit="1" customWidth="1"/>
    <col min="14" max="14" width="16.44140625" style="1" bestFit="1" customWidth="1"/>
    <col min="15" max="15" width="18.33203125" style="2" bestFit="1" customWidth="1"/>
    <col min="16" max="16" width="23.33203125" style="2" bestFit="1" customWidth="1"/>
  </cols>
  <sheetData>
    <row r="1" spans="1:16" ht="42" customHeight="1" thickBot="1" x14ac:dyDescent="0.35">
      <c r="H1" s="65" t="s">
        <v>64</v>
      </c>
      <c r="I1" s="66" t="s">
        <v>7</v>
      </c>
    </row>
    <row r="2" spans="1:16" ht="15" thickBot="1" x14ac:dyDescent="0.35">
      <c r="A2" s="64" t="s">
        <v>0</v>
      </c>
      <c r="B2" s="48" t="s">
        <v>2</v>
      </c>
      <c r="C2" s="48" t="s">
        <v>2</v>
      </c>
      <c r="D2" s="48" t="s">
        <v>61</v>
      </c>
      <c r="E2" s="53" t="s">
        <v>62</v>
      </c>
      <c r="F2" s="53" t="s">
        <v>75</v>
      </c>
      <c r="G2" s="53" t="s">
        <v>76</v>
      </c>
      <c r="H2" s="54" t="s">
        <v>77</v>
      </c>
      <c r="I2" s="53" t="s">
        <v>78</v>
      </c>
      <c r="J2" s="57"/>
      <c r="K2" s="60" t="s">
        <v>81</v>
      </c>
      <c r="L2" s="60" t="s">
        <v>82</v>
      </c>
      <c r="M2" s="48" t="s">
        <v>60</v>
      </c>
      <c r="N2" s="53" t="s">
        <v>63</v>
      </c>
      <c r="O2" s="54" t="s">
        <v>83</v>
      </c>
      <c r="P2" s="55" t="s">
        <v>84</v>
      </c>
    </row>
    <row r="3" spans="1:16" x14ac:dyDescent="0.3">
      <c r="A3" s="29">
        <v>2022</v>
      </c>
      <c r="B3" s="30">
        <v>1</v>
      </c>
      <c r="C3" s="31" t="s">
        <v>6</v>
      </c>
      <c r="D3" s="14">
        <f>SUMIFS('Sales csv'!$E:$E,'Sales csv'!$A:$A,'Branch View'!$A3,'Sales csv'!$B:$B,'Branch View'!$B3,'Sales csv'!$D:$D,'Branch View'!$I$1)</f>
        <v>12</v>
      </c>
      <c r="E3" s="15">
        <f>SUMIFS('Sales csv'!$F:$F,'Sales csv'!$A:$A,'Branch View'!$A3,'Sales csv'!$B:$B,'Branch View'!$B3,'Sales csv'!$D:$D,'Branch View'!$I$1)</f>
        <v>9802.5300000000007</v>
      </c>
      <c r="F3" s="14">
        <f>SUMIFS('IM Cancels csv'!$E:$E,'IM Cancels csv'!$A:$A,'Branch View'!$A3,'IM Cancels csv'!$B:$B,'Branch View'!$B3,'IM Cancels csv'!$D:$D,'Branch View'!$I$1)</f>
        <v>17</v>
      </c>
      <c r="G3" s="15">
        <f>SUMIFS('IM Cancels csv'!$F:$F,'IM Cancels csv'!$A:$A,'Branch View'!$A3,'IM Cancels csv'!$B:$B,'Branch View'!$B3,'IM Cancels csv'!$D:$D,'Branch View'!$I$1)</f>
        <v>11972.52</v>
      </c>
      <c r="H3" s="20">
        <f>D3/F3</f>
        <v>0.70588235294117652</v>
      </c>
      <c r="I3" s="21">
        <f>E3/G3</f>
        <v>0.81875244309468687</v>
      </c>
      <c r="J3" s="11"/>
      <c r="K3" s="14">
        <f>SUMIFS('All Sales csv'!$E:$E,'All Sales csv'!$A:$A,'Branch View'!$A3,'All Sales csv'!$B:$B,'Branch View'!$B3,'All Sales csv'!$D:$D,'Branch View'!$I$1)</f>
        <v>31</v>
      </c>
      <c r="L3" s="15">
        <f>SUMIFS('All Sales csv'!$F:$F,'All Sales csv'!$A:$A,'Branch View'!$A3,'All Sales csv'!$B:$B,'Branch View'!$B3,'All Sales csv'!$D:$D,'Branch View'!$I$1)</f>
        <v>20247.7</v>
      </c>
      <c r="M3" s="14">
        <f>SUMIFS('Cancels csv'!E:E,'Cancels csv'!A:A,'Branch View'!A3,'Cancels csv'!B:B,'Branch View'!B3,'Cancels csv'!D:D,'Branch View'!$I$1)</f>
        <v>100</v>
      </c>
      <c r="N3" s="15">
        <f>SUMIFS('Cancels csv'!F:F,'Cancels csv'!A:A,'Branch View'!A3,'Cancels csv'!B:B,'Branch View'!B3,'Cancels csv'!D:D,'Branch View'!$I$1)</f>
        <v>71458.5</v>
      </c>
      <c r="O3" s="20">
        <f>K3/M3</f>
        <v>0.31</v>
      </c>
      <c r="P3" s="26">
        <f>L3/N3</f>
        <v>0.28334907673684728</v>
      </c>
    </row>
    <row r="4" spans="1:16" x14ac:dyDescent="0.3">
      <c r="A4" s="32">
        <v>2022</v>
      </c>
      <c r="B4" s="33">
        <v>2</v>
      </c>
      <c r="C4" s="34" t="s">
        <v>38</v>
      </c>
      <c r="D4" s="16">
        <f>SUMIFS('Sales csv'!E:E,'Sales csv'!A:A,'Branch View'!A4,'Sales csv'!B:B,'Branch View'!B4,'Sales csv'!D:D,'Branch View'!$I$1)</f>
        <v>20</v>
      </c>
      <c r="E4" s="17">
        <f>SUMIFS('Sales csv'!F:F,'Sales csv'!A:A,'Branch View'!A4,'Sales csv'!B:B,'Branch View'!B4,'Sales csv'!D:D,'Branch View'!$I$1)</f>
        <v>17612.53</v>
      </c>
      <c r="F4" s="16">
        <f>SUMIFS('IM Cancels csv'!$E:$E,'IM Cancels csv'!$A:$A,'Branch View'!$A4,'IM Cancels csv'!$B:$B,'Branch View'!$B4,'IM Cancels csv'!$D:$D,'Branch View'!$I$1)</f>
        <v>10</v>
      </c>
      <c r="G4" s="17">
        <f>SUMIFS('IM Cancels csv'!$F:$F,'IM Cancels csv'!$A:$A,'Branch View'!$A4,'IM Cancels csv'!$B:$B,'Branch View'!$B4,'IM Cancels csv'!$D:$D,'Branch View'!$I$1)</f>
        <v>7456.84</v>
      </c>
      <c r="H4" s="22">
        <f t="shared" ref="H4:H14" si="0">D4/F4</f>
        <v>2</v>
      </c>
      <c r="I4" s="23">
        <f t="shared" ref="I4:I14" si="1">E4/G4</f>
        <v>2.3619294500083141</v>
      </c>
      <c r="J4" s="12"/>
      <c r="K4" s="16">
        <f>SUMIFS('All Sales csv'!$E:$E,'All Sales csv'!$A:$A,'Branch View'!$A4,'All Sales csv'!$B:$B,'Branch View'!$B4,'All Sales csv'!$D:$D,'Branch View'!$I$1)</f>
        <v>38</v>
      </c>
      <c r="L4" s="17">
        <f>SUMIFS('All Sales csv'!$F:$F,'All Sales csv'!$A:$A,'Branch View'!$A4,'All Sales csv'!$B:$B,'Branch View'!$B4,'All Sales csv'!$D:$D,'Branch View'!$I$1)</f>
        <v>29719.03</v>
      </c>
      <c r="M4" s="16">
        <f>SUMIFS('Cancels csv'!E:E,'Cancels csv'!A:A,'Branch View'!A4,'Cancels csv'!B:B,'Branch View'!B4,'Cancels csv'!D:D,'Branch View'!$I$1)</f>
        <v>48</v>
      </c>
      <c r="N4" s="17">
        <f>SUMIFS('Cancels csv'!F:F,'Cancels csv'!A:A,'Branch View'!A4,'Cancels csv'!B:B,'Branch View'!B4,'Cancels csv'!D:D,'Branch View'!$I$1)</f>
        <v>37281.54</v>
      </c>
      <c r="O4" s="22">
        <f t="shared" ref="O4:O14" si="2">K4/M4</f>
        <v>0.79166666666666663</v>
      </c>
      <c r="P4" s="27">
        <f t="shared" ref="P4:P14" si="3">L4/N4</f>
        <v>0.7971513515804336</v>
      </c>
    </row>
    <row r="5" spans="1:16" x14ac:dyDescent="0.3">
      <c r="A5" s="32">
        <v>2022</v>
      </c>
      <c r="B5" s="33">
        <v>3</v>
      </c>
      <c r="C5" s="34" t="s">
        <v>39</v>
      </c>
      <c r="D5" s="16">
        <f>SUMIFS('Sales csv'!E:E,'Sales csv'!A:A,'Branch View'!A5,'Sales csv'!B:B,'Branch View'!B5,'Sales csv'!D:D,'Branch View'!$I$1)</f>
        <v>28</v>
      </c>
      <c r="E5" s="17">
        <f>SUMIFS('Sales csv'!F:F,'Sales csv'!A:A,'Branch View'!A5,'Sales csv'!B:B,'Branch View'!B5,'Sales csv'!D:D,'Branch View'!$I$1)</f>
        <v>20632.84</v>
      </c>
      <c r="F5" s="16">
        <f>SUMIFS('IM Cancels csv'!$E:$E,'IM Cancels csv'!$A:$A,'Branch View'!$A5,'IM Cancels csv'!$B:$B,'Branch View'!$B5,'IM Cancels csv'!$D:$D,'Branch View'!$I$1)</f>
        <v>16</v>
      </c>
      <c r="G5" s="17">
        <f>SUMIFS('IM Cancels csv'!$F:$F,'IM Cancels csv'!$A:$A,'Branch View'!$A5,'IM Cancels csv'!$B:$B,'Branch View'!$B5,'IM Cancels csv'!$D:$D,'Branch View'!$I$1)</f>
        <v>10572.52</v>
      </c>
      <c r="H5" s="22">
        <f t="shared" si="0"/>
        <v>1.75</v>
      </c>
      <c r="I5" s="23">
        <f t="shared" si="1"/>
        <v>1.9515536504069038</v>
      </c>
      <c r="J5" s="12"/>
      <c r="K5" s="16">
        <f>SUMIFS('All Sales csv'!$E:$E,'All Sales csv'!$A:$A,'Branch View'!$A5,'All Sales csv'!$B:$B,'Branch View'!$B5,'All Sales csv'!$D:$D,'Branch View'!$I$1)</f>
        <v>53</v>
      </c>
      <c r="L5" s="17">
        <f>SUMIFS('All Sales csv'!$F:$F,'All Sales csv'!$A:$A,'Branch View'!$A5,'All Sales csv'!$B:$B,'Branch View'!$B5,'All Sales csv'!$D:$D,'Branch View'!$I$1)</f>
        <v>36927.339999999997</v>
      </c>
      <c r="M5" s="16">
        <f>SUMIFS('Cancels csv'!E:E,'Cancels csv'!A:A,'Branch View'!A5,'Cancels csv'!B:B,'Branch View'!B5,'Cancels csv'!D:D,'Branch View'!$I$1)</f>
        <v>112</v>
      </c>
      <c r="N5" s="17">
        <f>SUMIFS('Cancels csv'!F:F,'Cancels csv'!A:A,'Branch View'!A5,'Cancels csv'!B:B,'Branch View'!B5,'Cancels csv'!D:D,'Branch View'!$I$1)</f>
        <v>75930.16</v>
      </c>
      <c r="O5" s="22">
        <f t="shared" si="2"/>
        <v>0.4732142857142857</v>
      </c>
      <c r="P5" s="27">
        <f t="shared" si="3"/>
        <v>0.48633296703180917</v>
      </c>
    </row>
    <row r="6" spans="1:16" x14ac:dyDescent="0.3">
      <c r="A6" s="32">
        <v>2022</v>
      </c>
      <c r="B6" s="33">
        <v>4</v>
      </c>
      <c r="C6" s="34" t="s">
        <v>40</v>
      </c>
      <c r="D6" s="16">
        <f>SUMIFS('Sales csv'!E:E,'Sales csv'!A:A,'Branch View'!A6,'Sales csv'!B:B,'Branch View'!B6,'Sales csv'!D:D,'Branch View'!$I$1)</f>
        <v>50</v>
      </c>
      <c r="E6" s="17">
        <f>SUMIFS('Sales csv'!F:F,'Sales csv'!A:A,'Branch View'!A6,'Sales csv'!B:B,'Branch View'!B6,'Sales csv'!D:D,'Branch View'!$I$1)</f>
        <v>36043.129999999997</v>
      </c>
      <c r="F6" s="16">
        <f>SUMIFS('IM Cancels csv'!$E:$E,'IM Cancels csv'!$A:$A,'Branch View'!$A6,'IM Cancels csv'!$B:$B,'Branch View'!$B6,'IM Cancels csv'!$D:$D,'Branch View'!$I$1)</f>
        <v>24</v>
      </c>
      <c r="G6" s="17">
        <f>SUMIFS('IM Cancels csv'!$F:$F,'IM Cancels csv'!$A:$A,'Branch View'!$A6,'IM Cancels csv'!$B:$B,'Branch View'!$B6,'IM Cancels csv'!$D:$D,'Branch View'!$I$1)</f>
        <v>16095.43</v>
      </c>
      <c r="H6" s="22">
        <f t="shared" si="0"/>
        <v>2.0833333333333335</v>
      </c>
      <c r="I6" s="23">
        <f t="shared" si="1"/>
        <v>2.2393393652732483</v>
      </c>
      <c r="J6" s="12"/>
      <c r="K6" s="16">
        <f>SUMIFS('All Sales csv'!$E:$E,'All Sales csv'!$A:$A,'Branch View'!$A6,'All Sales csv'!$B:$B,'Branch View'!$B6,'All Sales csv'!$D:$D,'Branch View'!$I$1)</f>
        <v>98</v>
      </c>
      <c r="L6" s="17">
        <f>SUMIFS('All Sales csv'!$F:$F,'All Sales csv'!$A:$A,'Branch View'!$A6,'All Sales csv'!$B:$B,'Branch View'!$B6,'All Sales csv'!$D:$D,'Branch View'!$I$1)</f>
        <v>76270.02</v>
      </c>
      <c r="M6" s="16">
        <f>SUMIFS('Cancels csv'!E:E,'Cancels csv'!A:A,'Branch View'!A6,'Cancels csv'!B:B,'Branch View'!B6,'Cancels csv'!D:D,'Branch View'!$I$1)</f>
        <v>132</v>
      </c>
      <c r="N6" s="17">
        <f>SUMIFS('Cancels csv'!F:F,'Cancels csv'!A:A,'Branch View'!A6,'Cancels csv'!B:B,'Branch View'!B6,'Cancels csv'!D:D,'Branch View'!$I$1)</f>
        <v>90594.77</v>
      </c>
      <c r="O6" s="22">
        <f t="shared" si="2"/>
        <v>0.74242424242424243</v>
      </c>
      <c r="P6" s="27">
        <f t="shared" si="3"/>
        <v>0.84188104898329119</v>
      </c>
    </row>
    <row r="7" spans="1:16" x14ac:dyDescent="0.3">
      <c r="A7" s="32">
        <v>2022</v>
      </c>
      <c r="B7" s="33">
        <v>5</v>
      </c>
      <c r="C7" s="34" t="s">
        <v>41</v>
      </c>
      <c r="D7" s="16">
        <f>SUMIFS('Sales csv'!E:E,'Sales csv'!A:A,'Branch View'!A7,'Sales csv'!B:B,'Branch View'!B7,'Sales csv'!D:D,'Branch View'!$I$1)</f>
        <v>78</v>
      </c>
      <c r="E7" s="17">
        <f>SUMIFS('Sales csv'!F:F,'Sales csv'!A:A,'Branch View'!A7,'Sales csv'!B:B,'Branch View'!B7,'Sales csv'!D:D,'Branch View'!$I$1)</f>
        <v>59064.24</v>
      </c>
      <c r="F7" s="16">
        <f>SUMIFS('IM Cancels csv'!$E:$E,'IM Cancels csv'!$A:$A,'Branch View'!$A7,'IM Cancels csv'!$B:$B,'Branch View'!$B7,'IM Cancels csv'!$D:$D,'Branch View'!$I$1)</f>
        <v>25</v>
      </c>
      <c r="G7" s="17">
        <f>SUMIFS('IM Cancels csv'!$F:$F,'IM Cancels csv'!$A:$A,'Branch View'!$A7,'IM Cancels csv'!$B:$B,'Branch View'!$B7,'IM Cancels csv'!$D:$D,'Branch View'!$I$1)</f>
        <v>17950.13</v>
      </c>
      <c r="H7" s="22">
        <f t="shared" si="0"/>
        <v>3.12</v>
      </c>
      <c r="I7" s="23">
        <f t="shared" si="1"/>
        <v>3.29046307742618</v>
      </c>
      <c r="J7" s="12"/>
      <c r="K7" s="16">
        <f>SUMIFS('All Sales csv'!$E:$E,'All Sales csv'!$A:$A,'Branch View'!$A7,'All Sales csv'!$B:$B,'Branch View'!$B7,'All Sales csv'!$D:$D,'Branch View'!$I$1)</f>
        <v>567</v>
      </c>
      <c r="L7" s="17">
        <f>SUMIFS('All Sales csv'!$F:$F,'All Sales csv'!$A:$A,'Branch View'!$A7,'All Sales csv'!$B:$B,'Branch View'!$B7,'All Sales csv'!$D:$D,'Branch View'!$I$1)</f>
        <v>518551.06</v>
      </c>
      <c r="M7" s="16">
        <f>SUMIFS('Cancels csv'!E:E,'Cancels csv'!A:A,'Branch View'!A7,'Cancels csv'!B:B,'Branch View'!B7,'Cancels csv'!D:D,'Branch View'!$I$1)</f>
        <v>159</v>
      </c>
      <c r="N7" s="17">
        <f>SUMIFS('Cancels csv'!F:F,'Cancels csv'!A:A,'Branch View'!A7,'Cancels csv'!B:B,'Branch View'!B7,'Cancels csv'!D:D,'Branch View'!$I$1)</f>
        <v>120354.45</v>
      </c>
      <c r="O7" s="22">
        <f t="shared" si="2"/>
        <v>3.5660377358490565</v>
      </c>
      <c r="P7" s="27">
        <f t="shared" si="3"/>
        <v>4.308532505445374</v>
      </c>
    </row>
    <row r="8" spans="1:16" x14ac:dyDescent="0.3">
      <c r="A8" s="32">
        <v>2022</v>
      </c>
      <c r="B8" s="33">
        <v>6</v>
      </c>
      <c r="C8" s="34" t="s">
        <v>42</v>
      </c>
      <c r="D8" s="16">
        <f>SUMIFS('Sales csv'!E:E,'Sales csv'!A:A,'Branch View'!A8,'Sales csv'!B:B,'Branch View'!B8,'Sales csv'!D:D,'Branch View'!$I$1)</f>
        <v>50</v>
      </c>
      <c r="E8" s="17">
        <f>SUMIFS('Sales csv'!F:F,'Sales csv'!A:A,'Branch View'!A8,'Sales csv'!B:B,'Branch View'!B8,'Sales csv'!D:D,'Branch View'!$I$1)</f>
        <v>35223.339999999997</v>
      </c>
      <c r="F8" s="16">
        <f>SUMIFS('IM Cancels csv'!$E:$E,'IM Cancels csv'!$A:$A,'Branch View'!$A8,'IM Cancels csv'!$B:$B,'Branch View'!$B8,'IM Cancels csv'!$D:$D,'Branch View'!$I$1)</f>
        <v>38</v>
      </c>
      <c r="G8" s="17">
        <f>SUMIFS('IM Cancels csv'!$F:$F,'IM Cancels csv'!$A:$A,'Branch View'!$A8,'IM Cancels csv'!$B:$B,'Branch View'!$B8,'IM Cancels csv'!$D:$D,'Branch View'!$I$1)</f>
        <v>26090.52</v>
      </c>
      <c r="H8" s="22">
        <f t="shared" si="0"/>
        <v>1.3157894736842106</v>
      </c>
      <c r="I8" s="23">
        <f t="shared" si="1"/>
        <v>1.3500436173751997</v>
      </c>
      <c r="J8" s="12"/>
      <c r="K8" s="16">
        <f>SUMIFS('All Sales csv'!$E:$E,'All Sales csv'!$A:$A,'Branch View'!$A8,'All Sales csv'!$B:$B,'Branch View'!$B8,'All Sales csv'!$D:$D,'Branch View'!$I$1)</f>
        <v>411</v>
      </c>
      <c r="L8" s="17">
        <f>SUMIFS('All Sales csv'!$F:$F,'All Sales csv'!$A:$A,'Branch View'!$A8,'All Sales csv'!$B:$B,'Branch View'!$B8,'All Sales csv'!$D:$D,'Branch View'!$I$1)</f>
        <v>381825.46</v>
      </c>
      <c r="M8" s="16">
        <f>SUMIFS('Cancels csv'!E:E,'Cancels csv'!A:A,'Branch View'!A8,'Cancels csv'!B:B,'Branch View'!B8,'Cancels csv'!D:D,'Branch View'!$I$1)</f>
        <v>240</v>
      </c>
      <c r="N8" s="17">
        <f>SUMIFS('Cancels csv'!F:F,'Cancels csv'!A:A,'Branch View'!A8,'Cancels csv'!B:B,'Branch View'!B8,'Cancels csv'!D:D,'Branch View'!$I$1)</f>
        <v>195324.43</v>
      </c>
      <c r="O8" s="22">
        <f t="shared" si="2"/>
        <v>1.7124999999999999</v>
      </c>
      <c r="P8" s="27">
        <f t="shared" si="3"/>
        <v>1.9548269512420953</v>
      </c>
    </row>
    <row r="9" spans="1:16" x14ac:dyDescent="0.3">
      <c r="A9" s="32">
        <v>2022</v>
      </c>
      <c r="B9" s="33">
        <v>7</v>
      </c>
      <c r="C9" s="34" t="s">
        <v>43</v>
      </c>
      <c r="D9" s="16">
        <f>SUMIFS('Sales csv'!E:E,'Sales csv'!A:A,'Branch View'!A9,'Sales csv'!B:B,'Branch View'!B9,'Sales csv'!D:D,'Branch View'!$I$1)</f>
        <v>70</v>
      </c>
      <c r="E9" s="17">
        <f>SUMIFS('Sales csv'!F:F,'Sales csv'!A:A,'Branch View'!A9,'Sales csv'!B:B,'Branch View'!B9,'Sales csv'!D:D,'Branch View'!$I$1)</f>
        <v>43537.11</v>
      </c>
      <c r="F9" s="16">
        <f>SUMIFS('IM Cancels csv'!$E:$E,'IM Cancels csv'!$A:$A,'Branch View'!$A9,'IM Cancels csv'!$B:$B,'Branch View'!$B9,'IM Cancels csv'!$D:$D,'Branch View'!$I$1)</f>
        <v>43</v>
      </c>
      <c r="G9" s="17">
        <f>SUMIFS('IM Cancels csv'!$F:$F,'IM Cancels csv'!$A:$A,'Branch View'!$A9,'IM Cancels csv'!$B:$B,'Branch View'!$B9,'IM Cancels csv'!$D:$D,'Branch View'!$I$1)</f>
        <v>27050.74</v>
      </c>
      <c r="H9" s="22">
        <f t="shared" si="0"/>
        <v>1.6279069767441861</v>
      </c>
      <c r="I9" s="23">
        <f t="shared" si="1"/>
        <v>1.6094609611419133</v>
      </c>
      <c r="J9" s="12"/>
      <c r="K9" s="16">
        <f>SUMIFS('All Sales csv'!$E:$E,'All Sales csv'!$A:$A,'Branch View'!$A9,'All Sales csv'!$B:$B,'Branch View'!$B9,'All Sales csv'!$D:$D,'Branch View'!$I$1)</f>
        <v>470</v>
      </c>
      <c r="L9" s="17">
        <f>SUMIFS('All Sales csv'!$F:$F,'All Sales csv'!$A:$A,'Branch View'!$A9,'All Sales csv'!$B:$B,'Branch View'!$B9,'All Sales csv'!$D:$D,'Branch View'!$I$1)</f>
        <v>434063.28</v>
      </c>
      <c r="M9" s="16">
        <f>SUMIFS('Cancels csv'!E:E,'Cancels csv'!A:A,'Branch View'!A9,'Cancels csv'!B:B,'Branch View'!B9,'Cancels csv'!D:D,'Branch View'!$I$1)</f>
        <v>359</v>
      </c>
      <c r="N9" s="17">
        <f>SUMIFS('Cancels csv'!F:F,'Cancels csv'!A:A,'Branch View'!A9,'Cancels csv'!B:B,'Branch View'!B9,'Cancels csv'!D:D,'Branch View'!$I$1)</f>
        <v>216460.87</v>
      </c>
      <c r="O9" s="22">
        <f t="shared" si="2"/>
        <v>1.3091922005571031</v>
      </c>
      <c r="P9" s="27">
        <f t="shared" si="3"/>
        <v>2.0052736552338537</v>
      </c>
    </row>
    <row r="10" spans="1:16" x14ac:dyDescent="0.3">
      <c r="A10" s="32">
        <v>2022</v>
      </c>
      <c r="B10" s="33">
        <v>8</v>
      </c>
      <c r="C10" s="34" t="s">
        <v>44</v>
      </c>
      <c r="D10" s="16">
        <f>SUMIFS('Sales csv'!E:E,'Sales csv'!A:A,'Branch View'!A10,'Sales csv'!B:B,'Branch View'!B10,'Sales csv'!D:D,'Branch View'!$I$1)</f>
        <v>107</v>
      </c>
      <c r="E10" s="17">
        <f>SUMIFS('Sales csv'!F:F,'Sales csv'!A:A,'Branch View'!A10,'Sales csv'!B:B,'Branch View'!B10,'Sales csv'!D:D,'Branch View'!$I$1)</f>
        <v>75716.08</v>
      </c>
      <c r="F10" s="16">
        <f>SUMIFS('IM Cancels csv'!$E:$E,'IM Cancels csv'!$A:$A,'Branch View'!$A10,'IM Cancels csv'!$B:$B,'Branch View'!$B10,'IM Cancels csv'!$D:$D,'Branch View'!$I$1)</f>
        <v>57</v>
      </c>
      <c r="G10" s="17">
        <f>SUMIFS('IM Cancels csv'!$F:$F,'IM Cancels csv'!$A:$A,'Branch View'!$A10,'IM Cancels csv'!$B:$B,'Branch View'!$B10,'IM Cancels csv'!$D:$D,'Branch View'!$I$1)</f>
        <v>28447.02</v>
      </c>
      <c r="H10" s="22">
        <f t="shared" si="0"/>
        <v>1.8771929824561404</v>
      </c>
      <c r="I10" s="23">
        <f t="shared" si="1"/>
        <v>2.6616524331898384</v>
      </c>
      <c r="J10" s="12"/>
      <c r="K10" s="16">
        <f>SUMIFS('All Sales csv'!$E:$E,'All Sales csv'!$A:$A,'Branch View'!$A10,'All Sales csv'!$B:$B,'Branch View'!$B10,'All Sales csv'!$D:$D,'Branch View'!$I$1)</f>
        <v>282</v>
      </c>
      <c r="L10" s="17">
        <f>SUMIFS('All Sales csv'!$F:$F,'All Sales csv'!$A:$A,'Branch View'!$A10,'All Sales csv'!$B:$B,'Branch View'!$B10,'All Sales csv'!$D:$D,'Branch View'!$I$1)</f>
        <v>235680.3</v>
      </c>
      <c r="M10" s="16">
        <f>SUMIFS('Cancels csv'!E:E,'Cancels csv'!A:A,'Branch View'!A10,'Cancels csv'!B:B,'Branch View'!B10,'Cancels csv'!D:D,'Branch View'!$I$1)</f>
        <v>268</v>
      </c>
      <c r="N10" s="17">
        <f>SUMIFS('Cancels csv'!F:F,'Cancels csv'!A:A,'Branch View'!A10,'Cancels csv'!B:B,'Branch View'!B10,'Cancels csv'!D:D,'Branch View'!$I$1)</f>
        <v>204171.58</v>
      </c>
      <c r="O10" s="22">
        <f t="shared" si="2"/>
        <v>1.0522388059701493</v>
      </c>
      <c r="P10" s="27">
        <f t="shared" si="3"/>
        <v>1.1543247106183927</v>
      </c>
    </row>
    <row r="11" spans="1:16" x14ac:dyDescent="0.3">
      <c r="A11" s="32">
        <v>2022</v>
      </c>
      <c r="B11" s="33">
        <v>9</v>
      </c>
      <c r="C11" s="34" t="s">
        <v>45</v>
      </c>
      <c r="D11" s="16">
        <f>SUMIFS('Sales csv'!E:E,'Sales csv'!A:A,'Branch View'!A11,'Sales csv'!B:B,'Branch View'!B11,'Sales csv'!D:D,'Branch View'!$I$1)</f>
        <v>46</v>
      </c>
      <c r="E11" s="17">
        <f>SUMIFS('Sales csv'!F:F,'Sales csv'!A:A,'Branch View'!A11,'Sales csv'!B:B,'Branch View'!B11,'Sales csv'!D:D,'Branch View'!$I$1)</f>
        <v>30928.04</v>
      </c>
      <c r="F11" s="16">
        <f>SUMIFS('IM Cancels csv'!$E:$E,'IM Cancels csv'!$A:$A,'Branch View'!$A11,'IM Cancels csv'!$B:$B,'Branch View'!$B11,'IM Cancels csv'!$D:$D,'Branch View'!$I$1)</f>
        <v>27</v>
      </c>
      <c r="G11" s="17">
        <f>SUMIFS('IM Cancels csv'!$F:$F,'IM Cancels csv'!$A:$A,'Branch View'!$A11,'IM Cancels csv'!$B:$B,'Branch View'!$B11,'IM Cancels csv'!$D:$D,'Branch View'!$I$1)</f>
        <v>21684.39</v>
      </c>
      <c r="H11" s="22">
        <f t="shared" si="0"/>
        <v>1.7037037037037037</v>
      </c>
      <c r="I11" s="23">
        <f t="shared" si="1"/>
        <v>1.42628130189505</v>
      </c>
      <c r="J11" s="12"/>
      <c r="K11" s="16">
        <f>SUMIFS('All Sales csv'!$E:$E,'All Sales csv'!$A:$A,'Branch View'!$A11,'All Sales csv'!$B:$B,'Branch View'!$B11,'All Sales csv'!$D:$D,'Branch View'!$I$1)</f>
        <v>86</v>
      </c>
      <c r="L11" s="17">
        <f>SUMIFS('All Sales csv'!$F:$F,'All Sales csv'!$A:$A,'Branch View'!$A11,'All Sales csv'!$B:$B,'Branch View'!$B11,'All Sales csv'!$D:$D,'Branch View'!$I$1)</f>
        <v>67300.12</v>
      </c>
      <c r="M11" s="16">
        <f>SUMIFS('Cancels csv'!E:E,'Cancels csv'!A:A,'Branch View'!A11,'Cancels csv'!B:B,'Branch View'!B11,'Cancels csv'!D:D,'Branch View'!$I$1)</f>
        <v>185</v>
      </c>
      <c r="N11" s="17">
        <f>SUMIFS('Cancels csv'!F:F,'Cancels csv'!A:A,'Branch View'!A11,'Cancels csv'!B:B,'Branch View'!B11,'Cancels csv'!D:D,'Branch View'!$I$1)</f>
        <v>155672.54</v>
      </c>
      <c r="O11" s="22">
        <f t="shared" si="2"/>
        <v>0.46486486486486489</v>
      </c>
      <c r="P11" s="27">
        <f t="shared" si="3"/>
        <v>0.43231850652658455</v>
      </c>
    </row>
    <row r="12" spans="1:16" x14ac:dyDescent="0.3">
      <c r="A12" s="32">
        <v>2022</v>
      </c>
      <c r="B12" s="33">
        <v>10</v>
      </c>
      <c r="C12" s="34" t="s">
        <v>46</v>
      </c>
      <c r="D12" s="16">
        <f>SUMIFS('Sales csv'!E:E,'Sales csv'!A:A,'Branch View'!A12,'Sales csv'!B:B,'Branch View'!B12,'Sales csv'!D:D,'Branch View'!$I$1)</f>
        <v>62</v>
      </c>
      <c r="E12" s="17">
        <f>SUMIFS('Sales csv'!F:F,'Sales csv'!A:A,'Branch View'!A12,'Sales csv'!B:B,'Branch View'!B12,'Sales csv'!D:D,'Branch View'!$I$1)</f>
        <v>46742.04</v>
      </c>
      <c r="F12" s="16">
        <f>SUMIFS('IM Cancels csv'!$E:$E,'IM Cancels csv'!$A:$A,'Branch View'!$A12,'IM Cancels csv'!$B:$B,'Branch View'!$B12,'IM Cancels csv'!$D:$D,'Branch View'!$I$1)</f>
        <v>59</v>
      </c>
      <c r="G12" s="17">
        <f>SUMIFS('IM Cancels csv'!$F:$F,'IM Cancels csv'!$A:$A,'Branch View'!$A12,'IM Cancels csv'!$B:$B,'Branch View'!$B12,'IM Cancels csv'!$D:$D,'Branch View'!$I$1)</f>
        <v>38957.910000000003</v>
      </c>
      <c r="H12" s="22">
        <f t="shared" si="0"/>
        <v>1.0508474576271187</v>
      </c>
      <c r="I12" s="23">
        <f t="shared" si="1"/>
        <v>1.1998087166380331</v>
      </c>
      <c r="J12" s="12"/>
      <c r="K12" s="16">
        <f>SUMIFS('All Sales csv'!$E:$E,'All Sales csv'!$A:$A,'Branch View'!$A12,'All Sales csv'!$B:$B,'Branch View'!$B12,'All Sales csv'!$D:$D,'Branch View'!$I$1)</f>
        <v>101</v>
      </c>
      <c r="L12" s="17">
        <f>SUMIFS('All Sales csv'!$F:$F,'All Sales csv'!$A:$A,'Branch View'!$A12,'All Sales csv'!$B:$B,'Branch View'!$B12,'All Sales csv'!$D:$D,'Branch View'!$I$1)</f>
        <v>82877.679999999993</v>
      </c>
      <c r="M12" s="16">
        <f>SUMIFS('Cancels csv'!E:E,'Cancels csv'!A:A,'Branch View'!A12,'Cancels csv'!B:B,'Branch View'!B12,'Cancels csv'!D:D,'Branch View'!$I$1)</f>
        <v>267</v>
      </c>
      <c r="N12" s="17">
        <f>SUMIFS('Cancels csv'!F:F,'Cancels csv'!A:A,'Branch View'!A12,'Cancels csv'!B:B,'Branch View'!B12,'Cancels csv'!D:D,'Branch View'!$I$1)</f>
        <v>201852.22</v>
      </c>
      <c r="O12" s="22">
        <f t="shared" si="2"/>
        <v>0.37827715355805241</v>
      </c>
      <c r="P12" s="27">
        <f t="shared" si="3"/>
        <v>0.41058592271117944</v>
      </c>
    </row>
    <row r="13" spans="1:16" x14ac:dyDescent="0.3">
      <c r="A13" s="32">
        <v>2022</v>
      </c>
      <c r="B13" s="33">
        <v>11</v>
      </c>
      <c r="C13" s="34" t="s">
        <v>47</v>
      </c>
      <c r="D13" s="16">
        <f>SUMIFS('Sales csv'!E:E,'Sales csv'!A:A,'Branch View'!A13,'Sales csv'!B:B,'Branch View'!B13,'Sales csv'!D:D,'Branch View'!$I$1)</f>
        <v>36</v>
      </c>
      <c r="E13" s="17">
        <f>SUMIFS('Sales csv'!F:F,'Sales csv'!A:A,'Branch View'!A13,'Sales csv'!B:B,'Branch View'!B13,'Sales csv'!D:D,'Branch View'!$I$1)</f>
        <v>32816.660000000003</v>
      </c>
      <c r="F13" s="16">
        <f>SUMIFS('IM Cancels csv'!$E:$E,'IM Cancels csv'!$A:$A,'Branch View'!$A13,'IM Cancels csv'!$B:$B,'Branch View'!$B13,'IM Cancels csv'!$D:$D,'Branch View'!$I$1)</f>
        <v>18</v>
      </c>
      <c r="G13" s="17">
        <f>SUMIFS('IM Cancels csv'!$F:$F,'IM Cancels csv'!$A:$A,'Branch View'!$A13,'IM Cancels csv'!$B:$B,'Branch View'!$B13,'IM Cancels csv'!$D:$D,'Branch View'!$I$1)</f>
        <v>14993.22</v>
      </c>
      <c r="H13" s="22">
        <f t="shared" si="0"/>
        <v>2</v>
      </c>
      <c r="I13" s="23">
        <f t="shared" si="1"/>
        <v>2.1887666558617833</v>
      </c>
      <c r="J13" s="12"/>
      <c r="K13" s="16">
        <f>SUMIFS('All Sales csv'!$E:$E,'All Sales csv'!$A:$A,'Branch View'!$A13,'All Sales csv'!$B:$B,'Branch View'!$B13,'All Sales csv'!$D:$D,'Branch View'!$I$1)</f>
        <v>46</v>
      </c>
      <c r="L13" s="17">
        <f>SUMIFS('All Sales csv'!$F:$F,'All Sales csv'!$A:$A,'Branch View'!$A13,'All Sales csv'!$B:$B,'Branch View'!$B13,'All Sales csv'!$D:$D,'Branch View'!$I$1)</f>
        <v>40985.050000000003</v>
      </c>
      <c r="M13" s="16">
        <f>SUMIFS('Cancels csv'!E:E,'Cancels csv'!A:A,'Branch View'!A13,'Cancels csv'!B:B,'Branch View'!B13,'Cancels csv'!D:D,'Branch View'!$I$1)</f>
        <v>133</v>
      </c>
      <c r="N13" s="17">
        <f>SUMIFS('Cancels csv'!F:F,'Cancels csv'!A:A,'Branch View'!A13,'Cancels csv'!B:B,'Branch View'!B13,'Cancels csv'!D:D,'Branch View'!$I$1)</f>
        <v>113995.35</v>
      </c>
      <c r="O13" s="22">
        <f t="shared" si="2"/>
        <v>0.34586466165413532</v>
      </c>
      <c r="P13" s="27">
        <f t="shared" si="3"/>
        <v>0.35953264760360842</v>
      </c>
    </row>
    <row r="14" spans="1:16" ht="15" thickBot="1" x14ac:dyDescent="0.35">
      <c r="A14" s="35">
        <v>2022</v>
      </c>
      <c r="B14" s="36">
        <v>12</v>
      </c>
      <c r="C14" s="37" t="s">
        <v>48</v>
      </c>
      <c r="D14" s="18">
        <f>SUMIFS('Sales csv'!E:E,'Sales csv'!A:A,'Branch View'!A14,'Sales csv'!B:B,'Branch View'!B14,'Sales csv'!D:D,'Branch View'!$I$1)</f>
        <v>12</v>
      </c>
      <c r="E14" s="19">
        <f>SUMIFS('Sales csv'!F:F,'Sales csv'!A:A,'Branch View'!A14,'Sales csv'!B:B,'Branch View'!B14,'Sales csv'!D:D,'Branch View'!$I$1)</f>
        <v>10769.82</v>
      </c>
      <c r="F14" s="18">
        <f>SUMIFS('IM Cancels csv'!$E:$E,'IM Cancels csv'!$A:$A,'Branch View'!$A14,'IM Cancels csv'!$B:$B,'Branch View'!$B14,'IM Cancels csv'!$D:$D,'Branch View'!$I$1)</f>
        <v>107</v>
      </c>
      <c r="G14" s="19">
        <f>SUMIFS('IM Cancels csv'!$F:$F,'IM Cancels csv'!$A:$A,'Branch View'!$A14,'IM Cancels csv'!$B:$B,'Branch View'!$B14,'IM Cancels csv'!$D:$D,'Branch View'!$I$1)</f>
        <v>41090.51</v>
      </c>
      <c r="H14" s="24">
        <f t="shared" si="0"/>
        <v>0.11214953271028037</v>
      </c>
      <c r="I14" s="25">
        <f t="shared" si="1"/>
        <v>0.26209993499715628</v>
      </c>
      <c r="J14" s="13"/>
      <c r="K14" s="18">
        <f>SUMIFS('All Sales csv'!$E:$E,'All Sales csv'!$A:$A,'Branch View'!$A14,'All Sales csv'!$B:$B,'Branch View'!$B14,'All Sales csv'!$D:$D,'Branch View'!$I$1)</f>
        <v>26</v>
      </c>
      <c r="L14" s="19">
        <f>SUMIFS('All Sales csv'!$F:$F,'All Sales csv'!$A:$A,'Branch View'!$A14,'All Sales csv'!$B:$B,'Branch View'!$B14,'All Sales csv'!$D:$D,'Branch View'!$I$1)</f>
        <v>22594.79</v>
      </c>
      <c r="M14" s="18">
        <f>SUMIFS('Cancels csv'!E:E,'Cancels csv'!A:A,'Branch View'!A14,'Cancels csv'!B:B,'Branch View'!B14,'Cancels csv'!D:D,'Branch View'!$I$1)</f>
        <v>232</v>
      </c>
      <c r="N14" s="19">
        <f>SUMIFS('Cancels csv'!F:F,'Cancels csv'!A:A,'Branch View'!A14,'Cancels csv'!B:B,'Branch View'!B14,'Cancels csv'!D:D,'Branch View'!$I$1)</f>
        <v>134580.71</v>
      </c>
      <c r="O14" s="24">
        <f t="shared" si="2"/>
        <v>0.11206896551724138</v>
      </c>
      <c r="P14" s="28">
        <f t="shared" si="3"/>
        <v>0.16789025708067673</v>
      </c>
    </row>
    <row r="15" spans="1:16" ht="15" thickBot="1" x14ac:dyDescent="0.35">
      <c r="A15" s="38">
        <v>2022</v>
      </c>
      <c r="B15" s="39" t="s">
        <v>80</v>
      </c>
      <c r="C15" s="40"/>
      <c r="D15" s="41">
        <f>SUM(D3:D14)</f>
        <v>571</v>
      </c>
      <c r="E15" s="42">
        <f>SUM(E3:E14)</f>
        <v>418888.35999999993</v>
      </c>
      <c r="F15" s="41">
        <f>SUM(F3:F14)</f>
        <v>441</v>
      </c>
      <c r="G15" s="42">
        <f>SUM(G3:G14)</f>
        <v>262361.75</v>
      </c>
      <c r="H15" s="43">
        <f>D15/F15</f>
        <v>1.2947845804988662</v>
      </c>
      <c r="I15" s="44">
        <f>E15/G15</f>
        <v>1.5966060601440566</v>
      </c>
      <c r="J15" s="45"/>
      <c r="K15" s="61">
        <f>SUM(K3:K14)</f>
        <v>2209</v>
      </c>
      <c r="L15" s="59">
        <f>SUM(L3:L14)</f>
        <v>1947041.83</v>
      </c>
      <c r="M15" s="41">
        <f>SUM(M3:M14)</f>
        <v>2235</v>
      </c>
      <c r="N15" s="42">
        <f>SUM(N3:N14)</f>
        <v>1617677.12</v>
      </c>
      <c r="O15" s="43">
        <f>K15/M15</f>
        <v>0.98836689038031322</v>
      </c>
      <c r="P15" s="46">
        <f>L15/N15</f>
        <v>1.2036034916535137</v>
      </c>
    </row>
    <row r="16" spans="1:16" x14ac:dyDescent="0.3">
      <c r="A16" s="29">
        <v>2023</v>
      </c>
      <c r="B16" s="30">
        <v>1</v>
      </c>
      <c r="C16" s="31" t="s">
        <v>6</v>
      </c>
      <c r="D16" s="14">
        <f>SUMIFS('Sales csv'!$E:$E,'Sales csv'!$A:$A,'Branch View'!$A16,'Sales csv'!$B:$B,'Branch View'!$B16,'Sales csv'!$D:$D,'Branch View'!$I$1)</f>
        <v>12</v>
      </c>
      <c r="E16" s="15">
        <f>SUMIFS('Sales csv'!$F:$F,'Sales csv'!$A:$A,'Branch View'!$A16,'Sales csv'!$B:$B,'Branch View'!$B16,'Sales csv'!$D:$D,'Branch View'!$I$1)</f>
        <v>11583.78</v>
      </c>
      <c r="F16" s="14">
        <f>SUMIFS('IM Cancels csv'!$E:$E,'IM Cancels csv'!$A:$A,'Branch View'!$A16,'IM Cancels csv'!$B:$B,'Branch View'!$B16,'IM Cancels csv'!$D:$D,'Branch View'!$I$1)</f>
        <v>31</v>
      </c>
      <c r="G16" s="15">
        <f>SUMIFS('IM Cancels csv'!$F:$F,'IM Cancels csv'!$A:$A,'Branch View'!$A16,'IM Cancels csv'!$B:$B,'Branch View'!$B16,'IM Cancels csv'!$D:$D,'Branch View'!$I$1)</f>
        <v>22432.26</v>
      </c>
      <c r="H16" s="20">
        <f>D16/F16</f>
        <v>0.38709677419354838</v>
      </c>
      <c r="I16" s="21">
        <f>E16/G16</f>
        <v>0.5163893428482017</v>
      </c>
      <c r="J16" s="11"/>
      <c r="K16" s="14">
        <f>SUMIFS('All Sales csv'!$E:$E,'All Sales csv'!$A:$A,'Branch View'!$A16,'All Sales csv'!$B:$B,'Branch View'!$B16,'All Sales csv'!$D:$D,'Branch View'!$I$1)</f>
        <v>27</v>
      </c>
      <c r="L16" s="15">
        <f>SUMIFS('All Sales csv'!$F:$F,'All Sales csv'!$A:$A,'Branch View'!$A16,'All Sales csv'!$B:$B,'Branch View'!$B16,'All Sales csv'!$D:$D,'Branch View'!$I$1)</f>
        <v>24470.38</v>
      </c>
      <c r="M16" s="14">
        <f>SUMIFS('Cancels csv'!E:E,'Cancels csv'!A:A,'Branch View'!A16,'Cancels csv'!B:B,'Branch View'!B16,'Cancels csv'!D:D,'Branch View'!$I$1)</f>
        <v>204</v>
      </c>
      <c r="N16" s="15">
        <f>SUMIFS('Cancels csv'!F:F,'Cancels csv'!A:A,'Branch View'!A16,'Cancels csv'!B:B,'Branch View'!B16,'Cancels csv'!D:D,'Branch View'!$I$1)</f>
        <v>161563.26</v>
      </c>
      <c r="O16" s="20">
        <f t="shared" ref="O16:O67" si="4">K16/M16</f>
        <v>0.13235294117647059</v>
      </c>
      <c r="P16" s="26">
        <f t="shared" ref="P16:P67" si="5">L16/N16</f>
        <v>0.15146005347998054</v>
      </c>
    </row>
    <row r="17" spans="1:16" x14ac:dyDescent="0.3">
      <c r="A17" s="32">
        <v>2023</v>
      </c>
      <c r="B17" s="33">
        <v>2</v>
      </c>
      <c r="C17" s="34" t="s">
        <v>38</v>
      </c>
      <c r="D17" s="16">
        <f>SUMIFS('Sales csv'!E:E,'Sales csv'!A:A,'Branch View'!A17,'Sales csv'!B:B,'Branch View'!B17,'Sales csv'!D:D,'Branch View'!$I$1)</f>
        <v>13</v>
      </c>
      <c r="E17" s="17">
        <f>SUMIFS('Sales csv'!F:F,'Sales csv'!A:A,'Branch View'!A17,'Sales csv'!B:B,'Branch View'!B17,'Sales csv'!D:D,'Branch View'!$I$1)</f>
        <v>12924.48</v>
      </c>
      <c r="F17" s="16">
        <f>SUMIFS('IM Cancels csv'!$E:$E,'IM Cancels csv'!$A:$A,'Branch View'!$A17,'IM Cancels csv'!$B:$B,'Branch View'!$B17,'IM Cancels csv'!$D:$D,'Branch View'!$I$1)</f>
        <v>14</v>
      </c>
      <c r="G17" s="17">
        <f>SUMIFS('IM Cancels csv'!$F:$F,'IM Cancels csv'!$A:$A,'Branch View'!$A17,'IM Cancels csv'!$B:$B,'Branch View'!$B17,'IM Cancels csv'!$D:$D,'Branch View'!$I$1)</f>
        <v>11818.86</v>
      </c>
      <c r="H17" s="22">
        <f t="shared" ref="H17:H27" si="6">D17/F17</f>
        <v>0.9285714285714286</v>
      </c>
      <c r="I17" s="23">
        <f t="shared" ref="I17:I27" si="7">E17/G17</f>
        <v>1.0935470933744877</v>
      </c>
      <c r="J17" s="12"/>
      <c r="K17" s="16">
        <f>SUMIFS('All Sales csv'!$E:$E,'All Sales csv'!$A:$A,'Branch View'!$A17,'All Sales csv'!$B:$B,'Branch View'!$B17,'All Sales csv'!$D:$D,'Branch View'!$I$1)</f>
        <v>23</v>
      </c>
      <c r="L17" s="17">
        <f>SUMIFS('All Sales csv'!$F:$F,'All Sales csv'!$A:$A,'Branch View'!$A17,'All Sales csv'!$B:$B,'Branch View'!$B17,'All Sales csv'!$D:$D,'Branch View'!$I$1)</f>
        <v>20845.78</v>
      </c>
      <c r="M17" s="16">
        <f>SUMIFS('Cancels csv'!E:E,'Cancels csv'!A:A,'Branch View'!A17,'Cancels csv'!B:B,'Branch View'!B17,'Cancels csv'!D:D,'Branch View'!$I$1)</f>
        <v>121</v>
      </c>
      <c r="N17" s="17">
        <f>SUMIFS('Cancels csv'!F:F,'Cancels csv'!A:A,'Branch View'!A17,'Cancels csv'!B:B,'Branch View'!B17,'Cancels csv'!D:D,'Branch View'!$I$1)</f>
        <v>105084.75</v>
      </c>
      <c r="O17" s="22">
        <f t="shared" si="4"/>
        <v>0.19008264462809918</v>
      </c>
      <c r="P17" s="27">
        <f t="shared" si="5"/>
        <v>0.19837112425922884</v>
      </c>
    </row>
    <row r="18" spans="1:16" x14ac:dyDescent="0.3">
      <c r="A18" s="32">
        <v>2023</v>
      </c>
      <c r="B18" s="33">
        <v>3</v>
      </c>
      <c r="C18" s="34" t="s">
        <v>39</v>
      </c>
      <c r="D18" s="16">
        <f>SUMIFS('Sales csv'!E:E,'Sales csv'!A:A,'Branch View'!A18,'Sales csv'!B:B,'Branch View'!B18,'Sales csv'!D:D,'Branch View'!$I$1)</f>
        <v>19</v>
      </c>
      <c r="E18" s="17">
        <f>SUMIFS('Sales csv'!F:F,'Sales csv'!A:A,'Branch View'!A18,'Sales csv'!B:B,'Branch View'!B18,'Sales csv'!D:D,'Branch View'!$I$1)</f>
        <v>16800.37</v>
      </c>
      <c r="F18" s="16">
        <f>SUMIFS('IM Cancels csv'!$E:$E,'IM Cancels csv'!$A:$A,'Branch View'!$A18,'IM Cancels csv'!$B:$B,'Branch View'!$B18,'IM Cancels csv'!$D:$D,'Branch View'!$I$1)</f>
        <v>24</v>
      </c>
      <c r="G18" s="17">
        <f>SUMIFS('IM Cancels csv'!$F:$F,'IM Cancels csv'!$A:$A,'Branch View'!$A18,'IM Cancels csv'!$B:$B,'Branch View'!$B18,'IM Cancels csv'!$D:$D,'Branch View'!$I$1)</f>
        <v>19782.259999999998</v>
      </c>
      <c r="H18" s="22">
        <f t="shared" si="6"/>
        <v>0.79166666666666663</v>
      </c>
      <c r="I18" s="23">
        <f t="shared" si="7"/>
        <v>0.84926444197983453</v>
      </c>
      <c r="J18" s="12"/>
      <c r="K18" s="16">
        <f>SUMIFS('All Sales csv'!$E:$E,'All Sales csv'!$A:$A,'Branch View'!$A18,'All Sales csv'!$B:$B,'Branch View'!$B18,'All Sales csv'!$D:$D,'Branch View'!$I$1)</f>
        <v>40</v>
      </c>
      <c r="L18" s="17">
        <f>SUMIFS('All Sales csv'!$F:$F,'All Sales csv'!$A:$A,'Branch View'!$A18,'All Sales csv'!$B:$B,'Branch View'!$B18,'All Sales csv'!$D:$D,'Branch View'!$I$1)</f>
        <v>34927.279999999999</v>
      </c>
      <c r="M18" s="16">
        <f>SUMIFS('Cancels csv'!E:E,'Cancels csv'!A:A,'Branch View'!A18,'Cancels csv'!B:B,'Branch View'!B18,'Cancels csv'!D:D,'Branch View'!$I$1)</f>
        <v>121</v>
      </c>
      <c r="N18" s="17">
        <f>SUMIFS('Cancels csv'!F:F,'Cancels csv'!A:A,'Branch View'!A18,'Cancels csv'!B:B,'Branch View'!B18,'Cancels csv'!D:D,'Branch View'!$I$1)</f>
        <v>99546.25</v>
      </c>
      <c r="O18" s="22">
        <f t="shared" si="4"/>
        <v>0.33057851239669422</v>
      </c>
      <c r="P18" s="27">
        <f t="shared" si="5"/>
        <v>0.35086484925348771</v>
      </c>
    </row>
    <row r="19" spans="1:16" x14ac:dyDescent="0.3">
      <c r="A19" s="32">
        <v>2023</v>
      </c>
      <c r="B19" s="33">
        <v>4</v>
      </c>
      <c r="C19" s="34" t="s">
        <v>40</v>
      </c>
      <c r="D19" s="16">
        <f>SUMIFS('Sales csv'!E:E,'Sales csv'!A:A,'Branch View'!A19,'Sales csv'!B:B,'Branch View'!B19,'Sales csv'!D:D,'Branch View'!$I$1)</f>
        <v>47</v>
      </c>
      <c r="E19" s="17">
        <f>SUMIFS('Sales csv'!F:F,'Sales csv'!A:A,'Branch View'!A19,'Sales csv'!B:B,'Branch View'!B19,'Sales csv'!D:D,'Branch View'!$I$1)</f>
        <v>42376.2</v>
      </c>
      <c r="F19" s="16">
        <f>SUMIFS('IM Cancels csv'!$E:$E,'IM Cancels csv'!$A:$A,'Branch View'!$A19,'IM Cancels csv'!$B:$B,'Branch View'!$B19,'IM Cancels csv'!$D:$D,'Branch View'!$I$1)</f>
        <v>21</v>
      </c>
      <c r="G19" s="17">
        <f>SUMIFS('IM Cancels csv'!$F:$F,'IM Cancels csv'!$A:$A,'Branch View'!$A19,'IM Cancels csv'!$B:$B,'Branch View'!$B19,'IM Cancels csv'!$D:$D,'Branch View'!$I$1)</f>
        <v>19161.150000000001</v>
      </c>
      <c r="H19" s="22">
        <f t="shared" si="6"/>
        <v>2.2380952380952381</v>
      </c>
      <c r="I19" s="23">
        <f t="shared" si="7"/>
        <v>2.2115687210840682</v>
      </c>
      <c r="J19" s="12"/>
      <c r="K19" s="16">
        <f>SUMIFS('All Sales csv'!$E:$E,'All Sales csv'!$A:$A,'Branch View'!$A19,'All Sales csv'!$B:$B,'Branch View'!$B19,'All Sales csv'!$D:$D,'Branch View'!$I$1)</f>
        <v>120</v>
      </c>
      <c r="L19" s="17">
        <f>SUMIFS('All Sales csv'!$F:$F,'All Sales csv'!$A:$A,'Branch View'!$A19,'All Sales csv'!$B:$B,'Branch View'!$B19,'All Sales csv'!$D:$D,'Branch View'!$I$1)</f>
        <v>108108.63</v>
      </c>
      <c r="M19" s="16">
        <f>SUMIFS('Cancels csv'!E:E,'Cancels csv'!A:A,'Branch View'!A19,'Cancels csv'!B:B,'Branch View'!B19,'Cancels csv'!D:D,'Branch View'!$I$1)</f>
        <v>104</v>
      </c>
      <c r="N19" s="17">
        <f>SUMIFS('Cancels csv'!F:F,'Cancels csv'!A:A,'Branch View'!A19,'Cancels csv'!B:B,'Branch View'!B19,'Cancels csv'!D:D,'Branch View'!$I$1)</f>
        <v>89323.22</v>
      </c>
      <c r="O19" s="22">
        <f t="shared" si="4"/>
        <v>1.1538461538461537</v>
      </c>
      <c r="P19" s="27">
        <f t="shared" si="5"/>
        <v>1.2103082490756603</v>
      </c>
    </row>
    <row r="20" spans="1:16" x14ac:dyDescent="0.3">
      <c r="A20" s="32">
        <v>2023</v>
      </c>
      <c r="B20" s="33">
        <v>5</v>
      </c>
      <c r="C20" s="34" t="s">
        <v>41</v>
      </c>
      <c r="D20" s="16">
        <f>SUMIFS('Sales csv'!E:E,'Sales csv'!A:A,'Branch View'!A20,'Sales csv'!B:B,'Branch View'!B20,'Sales csv'!D:D,'Branch View'!$I$1)</f>
        <v>55</v>
      </c>
      <c r="E20" s="17">
        <f>SUMIFS('Sales csv'!F:F,'Sales csv'!A:A,'Branch View'!A20,'Sales csv'!B:B,'Branch View'!B20,'Sales csv'!D:D,'Branch View'!$I$1)</f>
        <v>48798.21</v>
      </c>
      <c r="F20" s="16">
        <f>SUMIFS('IM Cancels csv'!$E:$E,'IM Cancels csv'!$A:$A,'Branch View'!$A20,'IM Cancels csv'!$B:$B,'Branch View'!$B20,'IM Cancels csv'!$D:$D,'Branch View'!$I$1)</f>
        <v>20</v>
      </c>
      <c r="G20" s="17">
        <f>SUMIFS('IM Cancels csv'!$F:$F,'IM Cancels csv'!$A:$A,'Branch View'!$A20,'IM Cancels csv'!$B:$B,'Branch View'!$B20,'IM Cancels csv'!$D:$D,'Branch View'!$I$1)</f>
        <v>13948.1</v>
      </c>
      <c r="H20" s="22">
        <f t="shared" si="6"/>
        <v>2.75</v>
      </c>
      <c r="I20" s="23">
        <f t="shared" si="7"/>
        <v>3.4985560757379139</v>
      </c>
      <c r="J20" s="12"/>
      <c r="K20" s="16">
        <f>SUMIFS('All Sales csv'!$E:$E,'All Sales csv'!$A:$A,'Branch View'!$A20,'All Sales csv'!$B:$B,'Branch View'!$B20,'All Sales csv'!$D:$D,'Branch View'!$I$1)</f>
        <v>627</v>
      </c>
      <c r="L20" s="17">
        <f>SUMIFS('All Sales csv'!$F:$F,'All Sales csv'!$A:$A,'Branch View'!$A20,'All Sales csv'!$B:$B,'Branch View'!$B20,'All Sales csv'!$D:$D,'Branch View'!$I$1)</f>
        <v>588069.29</v>
      </c>
      <c r="M20" s="16">
        <f>SUMIFS('Cancels csv'!E:E,'Cancels csv'!A:A,'Branch View'!A20,'Cancels csv'!B:B,'Branch View'!B20,'Cancels csv'!D:D,'Branch View'!$I$1)</f>
        <v>145</v>
      </c>
      <c r="N20" s="17">
        <f>SUMIFS('Cancels csv'!F:F,'Cancels csv'!A:A,'Branch View'!A20,'Cancels csv'!B:B,'Branch View'!B20,'Cancels csv'!D:D,'Branch View'!$I$1)</f>
        <v>123194.06</v>
      </c>
      <c r="O20" s="22">
        <f t="shared" si="4"/>
        <v>4.3241379310344827</v>
      </c>
      <c r="P20" s="27">
        <f t="shared" si="5"/>
        <v>4.7735198434080353</v>
      </c>
    </row>
    <row r="21" spans="1:16" x14ac:dyDescent="0.3">
      <c r="A21" s="32">
        <v>2023</v>
      </c>
      <c r="B21" s="33">
        <v>6</v>
      </c>
      <c r="C21" s="34" t="s">
        <v>42</v>
      </c>
      <c r="D21" s="16">
        <f>SUMIFS('Sales csv'!E:E,'Sales csv'!A:A,'Branch View'!A21,'Sales csv'!B:B,'Branch View'!B21,'Sales csv'!D:D,'Branch View'!$I$1)</f>
        <v>35</v>
      </c>
      <c r="E21" s="17">
        <f>SUMIFS('Sales csv'!F:F,'Sales csv'!A:A,'Branch View'!A21,'Sales csv'!B:B,'Branch View'!B21,'Sales csv'!D:D,'Branch View'!$I$1)</f>
        <v>30859.119999999999</v>
      </c>
      <c r="F21" s="16">
        <f>SUMIFS('IM Cancels csv'!$E:$E,'IM Cancels csv'!$A:$A,'Branch View'!$A21,'IM Cancels csv'!$B:$B,'Branch View'!$B21,'IM Cancels csv'!$D:$D,'Branch View'!$I$1)</f>
        <v>35</v>
      </c>
      <c r="G21" s="17">
        <f>SUMIFS('IM Cancels csv'!$F:$F,'IM Cancels csv'!$A:$A,'Branch View'!$A21,'IM Cancels csv'!$B:$B,'Branch View'!$B21,'IM Cancels csv'!$D:$D,'Branch View'!$I$1)</f>
        <v>30252.12</v>
      </c>
      <c r="H21" s="22">
        <f t="shared" si="6"/>
        <v>1</v>
      </c>
      <c r="I21" s="23">
        <f t="shared" si="7"/>
        <v>1.020064709514573</v>
      </c>
      <c r="J21" s="12"/>
      <c r="K21" s="16">
        <f>SUMIFS('All Sales csv'!$E:$E,'All Sales csv'!$A:$A,'Branch View'!$A21,'All Sales csv'!$B:$B,'Branch View'!$B21,'All Sales csv'!$D:$D,'Branch View'!$I$1)</f>
        <v>796</v>
      </c>
      <c r="L21" s="17">
        <f>SUMIFS('All Sales csv'!$F:$F,'All Sales csv'!$A:$A,'Branch View'!$A21,'All Sales csv'!$B:$B,'Branch View'!$B21,'All Sales csv'!$D:$D,'Branch View'!$I$1)</f>
        <v>754994.03</v>
      </c>
      <c r="M21" s="16">
        <f>SUMIFS('Cancels csv'!E:E,'Cancels csv'!A:A,'Branch View'!A21,'Cancels csv'!B:B,'Branch View'!B21,'Cancels csv'!D:D,'Branch View'!$I$1)</f>
        <v>278</v>
      </c>
      <c r="N21" s="17">
        <f>SUMIFS('Cancels csv'!F:F,'Cancels csv'!A:A,'Branch View'!A21,'Cancels csv'!B:B,'Branch View'!B21,'Cancels csv'!D:D,'Branch View'!$I$1)</f>
        <v>218856.63</v>
      </c>
      <c r="O21" s="22">
        <f t="shared" si="4"/>
        <v>2.8633093525179856</v>
      </c>
      <c r="P21" s="27">
        <f t="shared" si="5"/>
        <v>3.4497197091995795</v>
      </c>
    </row>
    <row r="22" spans="1:16" x14ac:dyDescent="0.3">
      <c r="A22" s="32">
        <v>2023</v>
      </c>
      <c r="B22" s="33">
        <v>7</v>
      </c>
      <c r="C22" s="34" t="s">
        <v>43</v>
      </c>
      <c r="D22" s="16">
        <f>SUMIFS('Sales csv'!E:E,'Sales csv'!A:A,'Branch View'!A22,'Sales csv'!B:B,'Branch View'!B22,'Sales csv'!D:D,'Branch View'!$I$1)</f>
        <v>117</v>
      </c>
      <c r="E22" s="17">
        <f>SUMIFS('Sales csv'!F:F,'Sales csv'!A:A,'Branch View'!A22,'Sales csv'!B:B,'Branch View'!B22,'Sales csv'!D:D,'Branch View'!$I$1)</f>
        <v>76260.850000000006</v>
      </c>
      <c r="F22" s="16">
        <f>SUMIFS('IM Cancels csv'!$E:$E,'IM Cancels csv'!$A:$A,'Branch View'!$A22,'IM Cancels csv'!$B:$B,'Branch View'!$B22,'IM Cancels csv'!$D:$D,'Branch View'!$I$1)</f>
        <v>20</v>
      </c>
      <c r="G22" s="17">
        <f>SUMIFS('IM Cancels csv'!$F:$F,'IM Cancels csv'!$A:$A,'Branch View'!$A22,'IM Cancels csv'!$B:$B,'Branch View'!$B22,'IM Cancels csv'!$D:$D,'Branch View'!$I$1)</f>
        <v>16124.9</v>
      </c>
      <c r="H22" s="22">
        <f t="shared" si="6"/>
        <v>5.85</v>
      </c>
      <c r="I22" s="23">
        <f t="shared" si="7"/>
        <v>4.7293843682751522</v>
      </c>
      <c r="J22" s="12"/>
      <c r="K22" s="16">
        <f>SUMIFS('All Sales csv'!$E:$E,'All Sales csv'!$A:$A,'Branch View'!$A22,'All Sales csv'!$B:$B,'Branch View'!$B22,'All Sales csv'!$D:$D,'Branch View'!$I$1)</f>
        <v>765</v>
      </c>
      <c r="L22" s="17">
        <f>SUMIFS('All Sales csv'!$F:$F,'All Sales csv'!$A:$A,'Branch View'!$A22,'All Sales csv'!$B:$B,'Branch View'!$B22,'All Sales csv'!$D:$D,'Branch View'!$I$1)</f>
        <v>695755.11</v>
      </c>
      <c r="M22" s="16">
        <f>SUMIFS('Cancels csv'!E:E,'Cancels csv'!A:A,'Branch View'!A22,'Cancels csv'!B:B,'Branch View'!B22,'Cancels csv'!D:D,'Branch View'!$I$1)</f>
        <v>214</v>
      </c>
      <c r="N22" s="17">
        <f>SUMIFS('Cancels csv'!F:F,'Cancels csv'!A:A,'Branch View'!A22,'Cancels csv'!B:B,'Branch View'!B22,'Cancels csv'!D:D,'Branch View'!$I$1)</f>
        <v>187071.08</v>
      </c>
      <c r="O22" s="22">
        <f t="shared" si="4"/>
        <v>3.5747663551401869</v>
      </c>
      <c r="P22" s="27">
        <f t="shared" si="5"/>
        <v>3.7192018670122611</v>
      </c>
    </row>
    <row r="23" spans="1:16" x14ac:dyDescent="0.3">
      <c r="A23" s="32">
        <v>2023</v>
      </c>
      <c r="B23" s="33">
        <v>8</v>
      </c>
      <c r="C23" s="34" t="s">
        <v>44</v>
      </c>
      <c r="D23" s="16">
        <f>SUMIFS('Sales csv'!E:E,'Sales csv'!A:A,'Branch View'!A23,'Sales csv'!B:B,'Branch View'!B23,'Sales csv'!D:D,'Branch View'!$I$1)</f>
        <v>162</v>
      </c>
      <c r="E23" s="17">
        <f>SUMIFS('Sales csv'!F:F,'Sales csv'!A:A,'Branch View'!A23,'Sales csv'!B:B,'Branch View'!B23,'Sales csv'!D:D,'Branch View'!$I$1)</f>
        <v>121124.34</v>
      </c>
      <c r="F23" s="16">
        <f>SUMIFS('IM Cancels csv'!$E:$E,'IM Cancels csv'!$A:$A,'Branch View'!$A23,'IM Cancels csv'!$B:$B,'Branch View'!$B23,'IM Cancels csv'!$D:$D,'Branch View'!$I$1)</f>
        <v>57</v>
      </c>
      <c r="G23" s="17">
        <f>SUMIFS('IM Cancels csv'!$F:$F,'IM Cancels csv'!$A:$A,'Branch View'!$A23,'IM Cancels csv'!$B:$B,'Branch View'!$B23,'IM Cancels csv'!$D:$D,'Branch View'!$I$1)</f>
        <v>32495.200000000001</v>
      </c>
      <c r="H23" s="22">
        <f t="shared" si="6"/>
        <v>2.8421052631578947</v>
      </c>
      <c r="I23" s="23">
        <f t="shared" si="7"/>
        <v>3.7274532854083064</v>
      </c>
      <c r="J23" s="12"/>
      <c r="K23" s="16">
        <f>SUMIFS('All Sales csv'!$E:$E,'All Sales csv'!$A:$A,'Branch View'!$A23,'All Sales csv'!$B:$B,'Branch View'!$B23,'All Sales csv'!$D:$D,'Branch View'!$I$1)</f>
        <v>506</v>
      </c>
      <c r="L23" s="17">
        <f>SUMIFS('All Sales csv'!$F:$F,'All Sales csv'!$A:$A,'Branch View'!$A23,'All Sales csv'!$B:$B,'Branch View'!$B23,'All Sales csv'!$D:$D,'Branch View'!$I$1)</f>
        <v>439398.81</v>
      </c>
      <c r="M23" s="16">
        <f>SUMIFS('Cancels csv'!E:E,'Cancels csv'!A:A,'Branch View'!A23,'Cancels csv'!B:B,'Branch View'!B23,'Cancels csv'!D:D,'Branch View'!$I$1)</f>
        <v>261</v>
      </c>
      <c r="N23" s="17">
        <f>SUMIFS('Cancels csv'!F:F,'Cancels csv'!A:A,'Branch View'!A23,'Cancels csv'!B:B,'Branch View'!B23,'Cancels csv'!D:D,'Branch View'!$I$1)</f>
        <v>205313.52</v>
      </c>
      <c r="O23" s="22">
        <f t="shared" si="4"/>
        <v>1.9386973180076628</v>
      </c>
      <c r="P23" s="27">
        <f t="shared" si="5"/>
        <v>2.1401357786861772</v>
      </c>
    </row>
    <row r="24" spans="1:16" x14ac:dyDescent="0.3">
      <c r="A24" s="32">
        <v>2023</v>
      </c>
      <c r="B24" s="33">
        <v>9</v>
      </c>
      <c r="C24" s="34" t="s">
        <v>45</v>
      </c>
      <c r="D24" s="16">
        <f>SUMIFS('Sales csv'!E:E,'Sales csv'!A:A,'Branch View'!A24,'Sales csv'!B:B,'Branch View'!B24,'Sales csv'!D:D,'Branch View'!$I$1)</f>
        <v>80</v>
      </c>
      <c r="E24" s="17">
        <f>SUMIFS('Sales csv'!F:F,'Sales csv'!A:A,'Branch View'!A24,'Sales csv'!B:B,'Branch View'!B24,'Sales csv'!D:D,'Branch View'!$I$1)</f>
        <v>66347.289999999994</v>
      </c>
      <c r="F24" s="16">
        <f>SUMIFS('IM Cancels csv'!$E:$E,'IM Cancels csv'!$A:$A,'Branch View'!$A24,'IM Cancels csv'!$B:$B,'Branch View'!$B24,'IM Cancels csv'!$D:$D,'Branch View'!$I$1)</f>
        <v>80</v>
      </c>
      <c r="G24" s="17">
        <f>SUMIFS('IM Cancels csv'!$F:$F,'IM Cancels csv'!$A:$A,'Branch View'!$A24,'IM Cancels csv'!$B:$B,'Branch View'!$B24,'IM Cancels csv'!$D:$D,'Branch View'!$I$1)</f>
        <v>44116.39</v>
      </c>
      <c r="H24" s="22">
        <f t="shared" si="6"/>
        <v>1</v>
      </c>
      <c r="I24" s="23">
        <f t="shared" si="7"/>
        <v>1.5039147582111771</v>
      </c>
      <c r="J24" s="12"/>
      <c r="K24" s="16">
        <f>SUMIFS('All Sales csv'!$E:$E,'All Sales csv'!$A:$A,'Branch View'!$A24,'All Sales csv'!$B:$B,'Branch View'!$B24,'All Sales csv'!$D:$D,'Branch View'!$I$1)</f>
        <v>155</v>
      </c>
      <c r="L24" s="17">
        <f>SUMIFS('All Sales csv'!$F:$F,'All Sales csv'!$A:$A,'Branch View'!$A24,'All Sales csv'!$B:$B,'Branch View'!$B24,'All Sales csv'!$D:$D,'Branch View'!$I$1)</f>
        <v>132482.49</v>
      </c>
      <c r="M24" s="16">
        <f>SUMIFS('Cancels csv'!E:E,'Cancels csv'!A:A,'Branch View'!A24,'Cancels csv'!B:B,'Branch View'!B24,'Cancels csv'!D:D,'Branch View'!$I$1)</f>
        <v>268</v>
      </c>
      <c r="N24" s="17">
        <f>SUMIFS('Cancels csv'!F:F,'Cancels csv'!A:A,'Branch View'!A24,'Cancels csv'!B:B,'Branch View'!B24,'Cancels csv'!D:D,'Branch View'!$I$1)</f>
        <v>208342.45</v>
      </c>
      <c r="O24" s="22">
        <f t="shared" si="4"/>
        <v>0.57835820895522383</v>
      </c>
      <c r="P24" s="27">
        <f t="shared" si="5"/>
        <v>0.63588812553562646</v>
      </c>
    </row>
    <row r="25" spans="1:16" x14ac:dyDescent="0.3">
      <c r="A25" s="32">
        <v>2023</v>
      </c>
      <c r="B25" s="33">
        <v>10</v>
      </c>
      <c r="C25" s="34" t="s">
        <v>46</v>
      </c>
      <c r="D25" s="16">
        <f>SUMIFS('Sales csv'!E:E,'Sales csv'!A:A,'Branch View'!A25,'Sales csv'!B:B,'Branch View'!B25,'Sales csv'!D:D,'Branch View'!$I$1)</f>
        <v>40</v>
      </c>
      <c r="E25" s="17">
        <f>SUMIFS('Sales csv'!F:F,'Sales csv'!A:A,'Branch View'!A25,'Sales csv'!B:B,'Branch View'!B25,'Sales csv'!D:D,'Branch View'!$I$1)</f>
        <v>34596.050000000003</v>
      </c>
      <c r="F25" s="16">
        <f>SUMIFS('IM Cancels csv'!$E:$E,'IM Cancels csv'!$A:$A,'Branch View'!$A25,'IM Cancels csv'!$B:$B,'Branch View'!$B25,'IM Cancels csv'!$D:$D,'Branch View'!$I$1)</f>
        <v>41</v>
      </c>
      <c r="G25" s="17">
        <f>SUMIFS('IM Cancels csv'!$F:$F,'IM Cancels csv'!$A:$A,'Branch View'!$A25,'IM Cancels csv'!$B:$B,'Branch View'!$B25,'IM Cancels csv'!$D:$D,'Branch View'!$I$1)</f>
        <v>32006.959999999999</v>
      </c>
      <c r="H25" s="22">
        <f t="shared" si="6"/>
        <v>0.97560975609756095</v>
      </c>
      <c r="I25" s="23">
        <f t="shared" si="7"/>
        <v>1.0808914686055784</v>
      </c>
      <c r="J25" s="12"/>
      <c r="K25" s="16">
        <f>SUMIFS('All Sales csv'!$E:$E,'All Sales csv'!$A:$A,'Branch View'!$A25,'All Sales csv'!$B:$B,'Branch View'!$B25,'All Sales csv'!$D:$D,'Branch View'!$I$1)</f>
        <v>81</v>
      </c>
      <c r="L25" s="17">
        <f>SUMIFS('All Sales csv'!$F:$F,'All Sales csv'!$A:$A,'Branch View'!$A25,'All Sales csv'!$B:$B,'Branch View'!$B25,'All Sales csv'!$D:$D,'Branch View'!$I$1)</f>
        <v>77463.13</v>
      </c>
      <c r="M25" s="16">
        <f>SUMIFS('Cancels csv'!E:E,'Cancels csv'!A:A,'Branch View'!A25,'Cancels csv'!B:B,'Branch View'!B25,'Cancels csv'!D:D,'Branch View'!$I$1)</f>
        <v>188</v>
      </c>
      <c r="N25" s="17">
        <f>SUMIFS('Cancels csv'!F:F,'Cancels csv'!A:A,'Branch View'!A25,'Cancels csv'!B:B,'Branch View'!B25,'Cancels csv'!D:D,'Branch View'!$I$1)</f>
        <v>167581.38</v>
      </c>
      <c r="O25" s="22">
        <f t="shared" si="4"/>
        <v>0.43085106382978722</v>
      </c>
      <c r="P25" s="27">
        <f t="shared" si="5"/>
        <v>0.46224186720505583</v>
      </c>
    </row>
    <row r="26" spans="1:16" x14ac:dyDescent="0.3">
      <c r="A26" s="32">
        <v>2023</v>
      </c>
      <c r="B26" s="33">
        <v>11</v>
      </c>
      <c r="C26" s="34" t="s">
        <v>47</v>
      </c>
      <c r="D26" s="16">
        <f>SUMIFS('Sales csv'!E:E,'Sales csv'!A:A,'Branch View'!A26,'Sales csv'!B:B,'Branch View'!B26,'Sales csv'!D:D,'Branch View'!$I$1)</f>
        <v>17</v>
      </c>
      <c r="E26" s="17">
        <f>SUMIFS('Sales csv'!F:F,'Sales csv'!A:A,'Branch View'!A26,'Sales csv'!B:B,'Branch View'!B26,'Sales csv'!D:D,'Branch View'!$I$1)</f>
        <v>16476.990000000002</v>
      </c>
      <c r="F26" s="16">
        <f>SUMIFS('IM Cancels csv'!$E:$E,'IM Cancels csv'!$A:$A,'Branch View'!$A26,'IM Cancels csv'!$B:$B,'Branch View'!$B26,'IM Cancels csv'!$D:$D,'Branch View'!$I$1)</f>
        <v>47</v>
      </c>
      <c r="G26" s="17">
        <f>SUMIFS('IM Cancels csv'!$F:$F,'IM Cancels csv'!$A:$A,'Branch View'!$A26,'IM Cancels csv'!$B:$B,'Branch View'!$B26,'IM Cancels csv'!$D:$D,'Branch View'!$I$1)</f>
        <v>37291.33</v>
      </c>
      <c r="H26" s="22">
        <f t="shared" si="6"/>
        <v>0.36170212765957449</v>
      </c>
      <c r="I26" s="23">
        <f t="shared" si="7"/>
        <v>0.44184506157329334</v>
      </c>
      <c r="J26" s="12"/>
      <c r="K26" s="16">
        <f>SUMIFS('All Sales csv'!$E:$E,'All Sales csv'!$A:$A,'Branch View'!$A26,'All Sales csv'!$B:$B,'Branch View'!$B26,'All Sales csv'!$D:$D,'Branch View'!$I$1)</f>
        <v>37</v>
      </c>
      <c r="L26" s="17">
        <f>SUMIFS('All Sales csv'!$F:$F,'All Sales csv'!$A:$A,'Branch View'!$A26,'All Sales csv'!$B:$B,'Branch View'!$B26,'All Sales csv'!$D:$D,'Branch View'!$I$1)</f>
        <v>35340.18</v>
      </c>
      <c r="M26" s="16">
        <f>SUMIFS('Cancels csv'!E:E,'Cancels csv'!A:A,'Branch View'!A26,'Cancels csv'!B:B,'Branch View'!B26,'Cancels csv'!D:D,'Branch View'!$I$1)</f>
        <v>204</v>
      </c>
      <c r="N26" s="17">
        <f>SUMIFS('Cancels csv'!F:F,'Cancels csv'!A:A,'Branch View'!A26,'Cancels csv'!B:B,'Branch View'!B26,'Cancels csv'!D:D,'Branch View'!$I$1)</f>
        <v>177686.28</v>
      </c>
      <c r="O26" s="22">
        <f t="shared" si="4"/>
        <v>0.18137254901960784</v>
      </c>
      <c r="P26" s="27">
        <f t="shared" si="5"/>
        <v>0.19889087666194599</v>
      </c>
    </row>
    <row r="27" spans="1:16" ht="15" thickBot="1" x14ac:dyDescent="0.35">
      <c r="A27" s="35">
        <v>2023</v>
      </c>
      <c r="B27" s="36">
        <v>12</v>
      </c>
      <c r="C27" s="37" t="s">
        <v>48</v>
      </c>
      <c r="D27" s="18">
        <f>SUMIFS('Sales csv'!E:E,'Sales csv'!A:A,'Branch View'!A27,'Sales csv'!B:B,'Branch View'!B27,'Sales csv'!D:D,'Branch View'!$I$1)</f>
        <v>23</v>
      </c>
      <c r="E27" s="19">
        <f>SUMIFS('Sales csv'!F:F,'Sales csv'!A:A,'Branch View'!A27,'Sales csv'!B:B,'Branch View'!B27,'Sales csv'!D:D,'Branch View'!$I$1)</f>
        <v>23640.38</v>
      </c>
      <c r="F27" s="18">
        <f>SUMIFS('IM Cancels csv'!$E:$E,'IM Cancels csv'!$A:$A,'Branch View'!$A27,'IM Cancels csv'!$B:$B,'Branch View'!$B27,'IM Cancels csv'!$D:$D,'Branch View'!$I$1)</f>
        <v>29</v>
      </c>
      <c r="G27" s="19">
        <f>SUMIFS('IM Cancels csv'!$F:$F,'IM Cancels csv'!$A:$A,'Branch View'!$A27,'IM Cancels csv'!$B:$B,'Branch View'!$B27,'IM Cancels csv'!$D:$D,'Branch View'!$I$1)</f>
        <v>26274.05</v>
      </c>
      <c r="H27" s="24">
        <f t="shared" si="6"/>
        <v>0.7931034482758621</v>
      </c>
      <c r="I27" s="25">
        <f t="shared" si="7"/>
        <v>0.89976155179730577</v>
      </c>
      <c r="J27" s="13"/>
      <c r="K27" s="18">
        <f>SUMIFS('All Sales csv'!$E:$E,'All Sales csv'!$A:$A,'Branch View'!$A27,'All Sales csv'!$B:$B,'Branch View'!$B27,'All Sales csv'!$D:$D,'Branch View'!$I$1)</f>
        <v>29</v>
      </c>
      <c r="L27" s="19">
        <f>SUMIFS('All Sales csv'!$F:$F,'All Sales csv'!$A:$A,'Branch View'!$A27,'All Sales csv'!$B:$B,'Branch View'!$B27,'All Sales csv'!$D:$D,'Branch View'!$I$1)</f>
        <v>28509.61</v>
      </c>
      <c r="M27" s="18">
        <f>SUMIFS('Cancels csv'!E:E,'Cancels csv'!A:A,'Branch View'!A27,'Cancels csv'!B:B,'Branch View'!B27,'Cancels csv'!D:D,'Branch View'!$I$1)</f>
        <v>163</v>
      </c>
      <c r="N27" s="19">
        <f>SUMIFS('Cancels csv'!F:F,'Cancels csv'!A:A,'Branch View'!A27,'Cancels csv'!B:B,'Branch View'!B27,'Cancels csv'!D:D,'Branch View'!$I$1)</f>
        <v>148039.87</v>
      </c>
      <c r="O27" s="24">
        <f t="shared" si="4"/>
        <v>0.17791411042944785</v>
      </c>
      <c r="P27" s="28">
        <f t="shared" si="5"/>
        <v>0.19258062034234427</v>
      </c>
    </row>
    <row r="28" spans="1:16" ht="15" thickBot="1" x14ac:dyDescent="0.35">
      <c r="A28" s="38">
        <v>2023</v>
      </c>
      <c r="B28" s="39" t="s">
        <v>79</v>
      </c>
      <c r="C28" s="40"/>
      <c r="D28" s="41">
        <f>SUM(D16:D27)</f>
        <v>620</v>
      </c>
      <c r="E28" s="42">
        <f>SUM(E16:E27)</f>
        <v>501788.05999999994</v>
      </c>
      <c r="F28" s="41">
        <f>SUM(F16:F27)</f>
        <v>419</v>
      </c>
      <c r="G28" s="42">
        <f>SUM(G16:G27)</f>
        <v>305703.57999999996</v>
      </c>
      <c r="H28" s="43">
        <f>D28/F28</f>
        <v>1.4797136038186158</v>
      </c>
      <c r="I28" s="44">
        <f>E28/G28</f>
        <v>1.641420293475137</v>
      </c>
      <c r="J28" s="45"/>
      <c r="K28" s="61">
        <f t="shared" ref="K28:N28" si="8">SUM(K16:K27)</f>
        <v>3206</v>
      </c>
      <c r="L28" s="59">
        <f t="shared" si="8"/>
        <v>2940364.7199999997</v>
      </c>
      <c r="M28" s="41">
        <f t="shared" si="8"/>
        <v>2271</v>
      </c>
      <c r="N28" s="42">
        <f t="shared" si="8"/>
        <v>1891602.75</v>
      </c>
      <c r="O28" s="43">
        <f t="shared" si="4"/>
        <v>1.411712901805372</v>
      </c>
      <c r="P28" s="46">
        <f t="shared" si="5"/>
        <v>1.5544303474923578</v>
      </c>
    </row>
    <row r="29" spans="1:16" x14ac:dyDescent="0.3">
      <c r="A29" s="29">
        <v>2024</v>
      </c>
      <c r="B29" s="30">
        <v>1</v>
      </c>
      <c r="C29" s="31" t="s">
        <v>6</v>
      </c>
      <c r="D29" s="14">
        <f>SUMIFS('Sales csv'!$E:$E,'Sales csv'!$A:$A,'Branch View'!$A29,'Sales csv'!$B:$B,'Branch View'!$B29,'Sales csv'!$D:$D,'Branch View'!$I$1)</f>
        <v>16</v>
      </c>
      <c r="E29" s="15">
        <f>SUMIFS('Sales csv'!$F:$F,'Sales csv'!$A:$A,'Branch View'!$A29,'Sales csv'!$B:$B,'Branch View'!$B29,'Sales csv'!$D:$D,'Branch View'!$I$1)</f>
        <v>18632.259999999998</v>
      </c>
      <c r="F29" s="14">
        <f>SUMIFS('IM Cancels csv'!$E:$E,'IM Cancels csv'!$A:$A,'Branch View'!$A29,'IM Cancels csv'!$B:$B,'Branch View'!$B29,'IM Cancels csv'!$D:$D,'Branch View'!$I$1)</f>
        <v>45</v>
      </c>
      <c r="G29" s="15">
        <f>SUMIFS('IM Cancels csv'!$F:$F,'IM Cancels csv'!$A:$A,'Branch View'!$A29,'IM Cancels csv'!$B:$B,'Branch View'!$B29,'IM Cancels csv'!$D:$D,'Branch View'!$I$1)</f>
        <v>29452.38</v>
      </c>
      <c r="H29" s="20">
        <f t="shared" ref="H29:H67" si="9">D29/F29</f>
        <v>0.35555555555555557</v>
      </c>
      <c r="I29" s="21">
        <f t="shared" ref="I29:I67" si="10">E29/G29</f>
        <v>0.63262323791829378</v>
      </c>
      <c r="J29" s="11"/>
      <c r="K29" s="14">
        <f>SUMIFS('All Sales csv'!$E:$E,'All Sales csv'!$A:$A,'Branch View'!$A29,'All Sales csv'!$B:$B,'Branch View'!$B29,'All Sales csv'!$D:$D,'Branch View'!$I$1)</f>
        <v>33</v>
      </c>
      <c r="L29" s="15">
        <f>SUMIFS('All Sales csv'!$F:$F,'All Sales csv'!$A:$A,'Branch View'!$A29,'All Sales csv'!$B:$B,'Branch View'!$B29,'All Sales csv'!$D:$D,'Branch View'!$I$1)</f>
        <v>34512.97</v>
      </c>
      <c r="M29" s="14">
        <f>SUMIFS('Cancels csv'!E:E,'Cancels csv'!A:A,'Branch View'!A29,'Cancels csv'!B:B,'Branch View'!B29,'Cancels csv'!D:D,'Branch View'!$I$1)</f>
        <v>208</v>
      </c>
      <c r="N29" s="15">
        <f>SUMIFS('Cancels csv'!F:F,'Cancels csv'!A:A,'Branch View'!A29,'Cancels csv'!B:B,'Branch View'!B29,'Cancels csv'!D:D,'Branch View'!$I$1)</f>
        <v>179188.07</v>
      </c>
      <c r="O29" s="20">
        <f t="shared" si="4"/>
        <v>0.15865384615384615</v>
      </c>
      <c r="P29" s="26">
        <f t="shared" si="5"/>
        <v>0.1926075212484849</v>
      </c>
    </row>
    <row r="30" spans="1:16" x14ac:dyDescent="0.3">
      <c r="A30" s="32">
        <v>2024</v>
      </c>
      <c r="B30" s="33">
        <v>2</v>
      </c>
      <c r="C30" s="34" t="s">
        <v>38</v>
      </c>
      <c r="D30" s="16">
        <f>SUMIFS('Sales csv'!E:E,'Sales csv'!A:A,'Branch View'!A30,'Sales csv'!B:B,'Branch View'!B30,'Sales csv'!D:D,'Branch View'!$I$1)</f>
        <v>19</v>
      </c>
      <c r="E30" s="17">
        <f>SUMIFS('Sales csv'!F:F,'Sales csv'!A:A,'Branch View'!A30,'Sales csv'!B:B,'Branch View'!B30,'Sales csv'!D:D,'Branch View'!$I$1)</f>
        <v>18804.75</v>
      </c>
      <c r="F30" s="16">
        <f>SUMIFS('IM Cancels csv'!$E:$E,'IM Cancels csv'!$A:$A,'Branch View'!$A30,'IM Cancels csv'!$B:$B,'Branch View'!$B30,'IM Cancels csv'!$D:$D,'Branch View'!$I$1)</f>
        <v>24</v>
      </c>
      <c r="G30" s="17">
        <f>SUMIFS('IM Cancels csv'!$F:$F,'IM Cancels csv'!$A:$A,'Branch View'!$A30,'IM Cancels csv'!$B:$B,'Branch View'!$B30,'IM Cancels csv'!$D:$D,'Branch View'!$I$1)</f>
        <v>22051.49</v>
      </c>
      <c r="H30" s="22">
        <f t="shared" si="9"/>
        <v>0.79166666666666663</v>
      </c>
      <c r="I30" s="23">
        <f t="shared" si="10"/>
        <v>0.85276550473460067</v>
      </c>
      <c r="J30" s="12"/>
      <c r="K30" s="16">
        <f>SUMIFS('All Sales csv'!$E:$E,'All Sales csv'!$A:$A,'Branch View'!$A30,'All Sales csv'!$B:$B,'Branch View'!$B30,'All Sales csv'!$D:$D,'Branch View'!$I$1)</f>
        <v>48</v>
      </c>
      <c r="L30" s="17">
        <f>SUMIFS('All Sales csv'!$F:$F,'All Sales csv'!$A:$A,'Branch View'!$A30,'All Sales csv'!$B:$B,'Branch View'!$B30,'All Sales csv'!$D:$D,'Branch View'!$I$1)</f>
        <v>42950.82</v>
      </c>
      <c r="M30" s="16">
        <f>SUMIFS('Cancels csv'!E:E,'Cancels csv'!A:A,'Branch View'!A30,'Cancels csv'!B:B,'Branch View'!B30,'Cancels csv'!D:D,'Branch View'!$I$1)</f>
        <v>172</v>
      </c>
      <c r="N30" s="17">
        <f>SUMIFS('Cancels csv'!F:F,'Cancels csv'!A:A,'Branch View'!A30,'Cancels csv'!B:B,'Branch View'!B30,'Cancels csv'!D:D,'Branch View'!$I$1)</f>
        <v>160652.68</v>
      </c>
      <c r="O30" s="22">
        <f t="shared" si="4"/>
        <v>0.27906976744186046</v>
      </c>
      <c r="P30" s="27">
        <f t="shared" si="5"/>
        <v>0.26735202923474416</v>
      </c>
    </row>
    <row r="31" spans="1:16" x14ac:dyDescent="0.3">
      <c r="A31" s="32">
        <v>2024</v>
      </c>
      <c r="B31" s="33">
        <v>3</v>
      </c>
      <c r="C31" s="34" t="s">
        <v>39</v>
      </c>
      <c r="D31" s="16">
        <f>SUMIFS('Sales csv'!E:E,'Sales csv'!A:A,'Branch View'!A31,'Sales csv'!B:B,'Branch View'!B31,'Sales csv'!D:D,'Branch View'!$I$1)</f>
        <v>27</v>
      </c>
      <c r="E31" s="17">
        <f>SUMIFS('Sales csv'!F:F,'Sales csv'!A:A,'Branch View'!A31,'Sales csv'!B:B,'Branch View'!B31,'Sales csv'!D:D,'Branch View'!$I$1)</f>
        <v>23697.14</v>
      </c>
      <c r="F31" s="16">
        <f>SUMIFS('IM Cancels csv'!$E:$E,'IM Cancels csv'!$A:$A,'Branch View'!$A31,'IM Cancels csv'!$B:$B,'Branch View'!$B31,'IM Cancels csv'!$D:$D,'Branch View'!$I$1)</f>
        <v>24</v>
      </c>
      <c r="G31" s="17">
        <f>SUMIFS('IM Cancels csv'!$F:$F,'IM Cancels csv'!$A:$A,'Branch View'!$A31,'IM Cancels csv'!$B:$B,'Branch View'!$B31,'IM Cancels csv'!$D:$D,'Branch View'!$I$1)</f>
        <v>21811.3</v>
      </c>
      <c r="H31" s="22">
        <f t="shared" si="9"/>
        <v>1.125</v>
      </c>
      <c r="I31" s="23">
        <f t="shared" si="10"/>
        <v>1.0864616047645028</v>
      </c>
      <c r="J31" s="12"/>
      <c r="K31" s="16">
        <f>SUMIFS('All Sales csv'!$E:$E,'All Sales csv'!$A:$A,'Branch View'!$A31,'All Sales csv'!$B:$B,'Branch View'!$B31,'All Sales csv'!$D:$D,'Branch View'!$I$1)</f>
        <v>57</v>
      </c>
      <c r="L31" s="17">
        <f>SUMIFS('All Sales csv'!$F:$F,'All Sales csv'!$A:$A,'Branch View'!$A31,'All Sales csv'!$B:$B,'Branch View'!$B31,'All Sales csv'!$D:$D,'Branch View'!$I$1)</f>
        <v>50516.99</v>
      </c>
      <c r="M31" s="16">
        <f>SUMIFS('Cancels csv'!E:E,'Cancels csv'!A:A,'Branch View'!A31,'Cancels csv'!B:B,'Branch View'!B31,'Cancels csv'!D:D,'Branch View'!$I$1)</f>
        <v>138</v>
      </c>
      <c r="N31" s="17">
        <f>SUMIFS('Cancels csv'!F:F,'Cancels csv'!A:A,'Branch View'!A31,'Cancels csv'!B:B,'Branch View'!B31,'Cancels csv'!D:D,'Branch View'!$I$1)</f>
        <v>121751.87</v>
      </c>
      <c r="O31" s="22">
        <f t="shared" si="4"/>
        <v>0.41304347826086957</v>
      </c>
      <c r="P31" s="27">
        <f t="shared" si="5"/>
        <v>0.41491756964389953</v>
      </c>
    </row>
    <row r="32" spans="1:16" x14ac:dyDescent="0.3">
      <c r="A32" s="32">
        <v>2024</v>
      </c>
      <c r="B32" s="33">
        <v>4</v>
      </c>
      <c r="C32" s="34" t="s">
        <v>40</v>
      </c>
      <c r="D32" s="16">
        <f>SUMIFS('Sales csv'!E:E,'Sales csv'!A:A,'Branch View'!A32,'Sales csv'!B:B,'Branch View'!B32,'Sales csv'!D:D,'Branch View'!$I$1)</f>
        <v>48</v>
      </c>
      <c r="E32" s="17">
        <f>SUMIFS('Sales csv'!F:F,'Sales csv'!A:A,'Branch View'!A32,'Sales csv'!B:B,'Branch View'!B32,'Sales csv'!D:D,'Branch View'!$I$1)</f>
        <v>45821.77</v>
      </c>
      <c r="F32" s="16">
        <f>SUMIFS('IM Cancels csv'!$E:$E,'IM Cancels csv'!$A:$A,'Branch View'!$A32,'IM Cancels csv'!$B:$B,'Branch View'!$B32,'IM Cancels csv'!$D:$D,'Branch View'!$I$1)</f>
        <v>28</v>
      </c>
      <c r="G32" s="17">
        <f>SUMIFS('IM Cancels csv'!$F:$F,'IM Cancels csv'!$A:$A,'Branch View'!$A32,'IM Cancels csv'!$B:$B,'Branch View'!$B32,'IM Cancels csv'!$D:$D,'Branch View'!$I$1)</f>
        <v>24057.8</v>
      </c>
      <c r="H32" s="22">
        <f t="shared" si="9"/>
        <v>1.7142857142857142</v>
      </c>
      <c r="I32" s="23">
        <f t="shared" si="10"/>
        <v>1.904653376451712</v>
      </c>
      <c r="J32" s="12"/>
      <c r="K32" s="16">
        <f>SUMIFS('All Sales csv'!$E:$E,'All Sales csv'!$A:$A,'Branch View'!$A32,'All Sales csv'!$B:$B,'Branch View'!$B32,'All Sales csv'!$D:$D,'Branch View'!$I$1)</f>
        <v>203</v>
      </c>
      <c r="L32" s="17">
        <f>SUMIFS('All Sales csv'!$F:$F,'All Sales csv'!$A:$A,'Branch View'!$A32,'All Sales csv'!$B:$B,'Branch View'!$B32,'All Sales csv'!$D:$D,'Branch View'!$I$1)</f>
        <v>183753.61</v>
      </c>
      <c r="M32" s="16">
        <f>SUMIFS('Cancels csv'!E:E,'Cancels csv'!A:A,'Branch View'!A32,'Cancels csv'!B:B,'Branch View'!B32,'Cancels csv'!D:D,'Branch View'!$I$1)</f>
        <v>152</v>
      </c>
      <c r="N32" s="17">
        <f>SUMIFS('Cancels csv'!F:F,'Cancels csv'!A:A,'Branch View'!A32,'Cancels csv'!B:B,'Branch View'!B32,'Cancels csv'!D:D,'Branch View'!$I$1)</f>
        <v>134877.82999999999</v>
      </c>
      <c r="O32" s="22">
        <f t="shared" si="4"/>
        <v>1.3355263157894737</v>
      </c>
      <c r="P32" s="27">
        <f t="shared" si="5"/>
        <v>1.3623707469196384</v>
      </c>
    </row>
    <row r="33" spans="1:16" x14ac:dyDescent="0.3">
      <c r="A33" s="32">
        <v>2024</v>
      </c>
      <c r="B33" s="33">
        <v>5</v>
      </c>
      <c r="C33" s="34" t="s">
        <v>41</v>
      </c>
      <c r="D33" s="16">
        <f>SUMIFS('Sales csv'!E:E,'Sales csv'!A:A,'Branch View'!A33,'Sales csv'!B:B,'Branch View'!B33,'Sales csv'!D:D,'Branch View'!$I$1)</f>
        <v>99</v>
      </c>
      <c r="E33" s="17">
        <f>SUMIFS('Sales csv'!F:F,'Sales csv'!A:A,'Branch View'!A33,'Sales csv'!B:B,'Branch View'!B33,'Sales csv'!D:D,'Branch View'!$I$1)</f>
        <v>86878.18</v>
      </c>
      <c r="F33" s="16">
        <f>SUMIFS('IM Cancels csv'!$E:$E,'IM Cancels csv'!$A:$A,'Branch View'!$A33,'IM Cancels csv'!$B:$B,'Branch View'!$B33,'IM Cancels csv'!$D:$D,'Branch View'!$I$1)</f>
        <v>32</v>
      </c>
      <c r="G33" s="17">
        <f>SUMIFS('IM Cancels csv'!$F:$F,'IM Cancels csv'!$A:$A,'Branch View'!$A33,'IM Cancels csv'!$B:$B,'Branch View'!$B33,'IM Cancels csv'!$D:$D,'Branch View'!$I$1)</f>
        <v>29426.17</v>
      </c>
      <c r="H33" s="22">
        <f t="shared" si="9"/>
        <v>3.09375</v>
      </c>
      <c r="I33" s="23">
        <f t="shared" si="10"/>
        <v>2.9524120876077316</v>
      </c>
      <c r="J33" s="12"/>
      <c r="K33" s="16">
        <f>SUMIFS('All Sales csv'!$E:$E,'All Sales csv'!$A:$A,'Branch View'!$A33,'All Sales csv'!$B:$B,'Branch View'!$B33,'All Sales csv'!$D:$D,'Branch View'!$I$1)</f>
        <v>935</v>
      </c>
      <c r="L33" s="17">
        <f>SUMIFS('All Sales csv'!$F:$F,'All Sales csv'!$A:$A,'Branch View'!$A33,'All Sales csv'!$B:$B,'Branch View'!$B33,'All Sales csv'!$D:$D,'Branch View'!$I$1)</f>
        <v>842566.85</v>
      </c>
      <c r="M33" s="16">
        <f>SUMIFS('Cancels csv'!E:E,'Cancels csv'!A:A,'Branch View'!A33,'Cancels csv'!B:B,'Branch View'!B33,'Cancels csv'!D:D,'Branch View'!$I$1)</f>
        <v>213</v>
      </c>
      <c r="N33" s="17">
        <f>SUMIFS('Cancels csv'!F:F,'Cancels csv'!A:A,'Branch View'!A33,'Cancels csv'!B:B,'Branch View'!B33,'Cancels csv'!D:D,'Branch View'!$I$1)</f>
        <v>195057.6</v>
      </c>
      <c r="O33" s="22">
        <f t="shared" si="4"/>
        <v>4.389671361502347</v>
      </c>
      <c r="P33" s="27">
        <f t="shared" si="5"/>
        <v>4.3195797036362586</v>
      </c>
    </row>
    <row r="34" spans="1:16" x14ac:dyDescent="0.3">
      <c r="A34" s="32">
        <v>2024</v>
      </c>
      <c r="B34" s="33">
        <v>6</v>
      </c>
      <c r="C34" s="34" t="s">
        <v>42</v>
      </c>
      <c r="D34" s="16">
        <f>SUMIFS('Sales csv'!E:E,'Sales csv'!A:A,'Branch View'!A34,'Sales csv'!B:B,'Branch View'!B34,'Sales csv'!D:D,'Branch View'!$I$1)</f>
        <v>50</v>
      </c>
      <c r="E34" s="17">
        <f>SUMIFS('Sales csv'!F:F,'Sales csv'!A:A,'Branch View'!A34,'Sales csv'!B:B,'Branch View'!B34,'Sales csv'!D:D,'Branch View'!$I$1)</f>
        <v>41813.269999999997</v>
      </c>
      <c r="F34" s="16">
        <f>SUMIFS('IM Cancels csv'!$E:$E,'IM Cancels csv'!$A:$A,'Branch View'!$A34,'IM Cancels csv'!$B:$B,'Branch View'!$B34,'IM Cancels csv'!$D:$D,'Branch View'!$I$1)</f>
        <v>28</v>
      </c>
      <c r="G34" s="17">
        <f>SUMIFS('IM Cancels csv'!$F:$F,'IM Cancels csv'!$A:$A,'Branch View'!$A34,'IM Cancels csv'!$B:$B,'Branch View'!$B34,'IM Cancels csv'!$D:$D,'Branch View'!$I$1)</f>
        <v>20454.04</v>
      </c>
      <c r="H34" s="22">
        <f t="shared" si="9"/>
        <v>1.7857142857142858</v>
      </c>
      <c r="I34" s="23">
        <f t="shared" si="10"/>
        <v>2.0442548269192784</v>
      </c>
      <c r="J34" s="12"/>
      <c r="K34" s="16">
        <f>SUMIFS('All Sales csv'!$E:$E,'All Sales csv'!$A:$A,'Branch View'!$A34,'All Sales csv'!$B:$B,'Branch View'!$B34,'All Sales csv'!$D:$D,'Branch View'!$I$1)</f>
        <v>680</v>
      </c>
      <c r="L34" s="17">
        <f>SUMIFS('All Sales csv'!$F:$F,'All Sales csv'!$A:$A,'Branch View'!$A34,'All Sales csv'!$B:$B,'Branch View'!$B34,'All Sales csv'!$D:$D,'Branch View'!$I$1)</f>
        <v>601848.17000000004</v>
      </c>
      <c r="M34" s="16">
        <f>SUMIFS('Cancels csv'!E:E,'Cancels csv'!A:A,'Branch View'!A34,'Cancels csv'!B:B,'Branch View'!B34,'Cancels csv'!D:D,'Branch View'!$I$1)</f>
        <v>251</v>
      </c>
      <c r="N34" s="17">
        <f>SUMIFS('Cancels csv'!F:F,'Cancels csv'!A:A,'Branch View'!A34,'Cancels csv'!B:B,'Branch View'!B34,'Cancels csv'!D:D,'Branch View'!$I$1)</f>
        <v>218219.97</v>
      </c>
      <c r="O34" s="22">
        <f t="shared" si="4"/>
        <v>2.7091633466135456</v>
      </c>
      <c r="P34" s="27">
        <f t="shared" si="5"/>
        <v>2.7579885104007671</v>
      </c>
    </row>
    <row r="35" spans="1:16" x14ac:dyDescent="0.3">
      <c r="A35" s="32">
        <v>2024</v>
      </c>
      <c r="B35" s="33">
        <v>7</v>
      </c>
      <c r="C35" s="34" t="s">
        <v>43</v>
      </c>
      <c r="D35" s="16">
        <f>SUMIFS('Sales csv'!E:E,'Sales csv'!A:A,'Branch View'!A35,'Sales csv'!B:B,'Branch View'!B35,'Sales csv'!D:D,'Branch View'!$I$1)</f>
        <v>102</v>
      </c>
      <c r="E35" s="17">
        <f>SUMIFS('Sales csv'!F:F,'Sales csv'!A:A,'Branch View'!A35,'Sales csv'!B:B,'Branch View'!B35,'Sales csv'!D:D,'Branch View'!$I$1)</f>
        <v>86414.22</v>
      </c>
      <c r="F35" s="16">
        <f>SUMIFS('IM Cancels csv'!$E:$E,'IM Cancels csv'!$A:$A,'Branch View'!$A35,'IM Cancels csv'!$B:$B,'Branch View'!$B35,'IM Cancels csv'!$D:$D,'Branch View'!$I$1)</f>
        <v>43</v>
      </c>
      <c r="G35" s="17">
        <f>SUMIFS('IM Cancels csv'!$F:$F,'IM Cancels csv'!$A:$A,'Branch View'!$A35,'IM Cancels csv'!$B:$B,'Branch View'!$B35,'IM Cancels csv'!$D:$D,'Branch View'!$I$1)</f>
        <v>34992.97</v>
      </c>
      <c r="H35" s="22">
        <f t="shared" si="9"/>
        <v>2.3720930232558142</v>
      </c>
      <c r="I35" s="23">
        <f t="shared" si="10"/>
        <v>2.4694737257226236</v>
      </c>
      <c r="J35" s="12"/>
      <c r="K35" s="16">
        <f>SUMIFS('All Sales csv'!$E:$E,'All Sales csv'!$A:$A,'Branch View'!$A35,'All Sales csv'!$B:$B,'Branch View'!$B35,'All Sales csv'!$D:$D,'Branch View'!$I$1)</f>
        <v>693</v>
      </c>
      <c r="L35" s="17">
        <f>SUMIFS('All Sales csv'!$F:$F,'All Sales csv'!$A:$A,'Branch View'!$A35,'All Sales csv'!$B:$B,'Branch View'!$B35,'All Sales csv'!$D:$D,'Branch View'!$I$1)</f>
        <v>595685.69999999995</v>
      </c>
      <c r="M35" s="16">
        <f>SUMIFS('Cancels csv'!E:E,'Cancels csv'!A:A,'Branch View'!A35,'Cancels csv'!B:B,'Branch View'!B35,'Cancels csv'!D:D,'Branch View'!$I$1)</f>
        <v>296</v>
      </c>
      <c r="N35" s="17">
        <f>SUMIFS('Cancels csv'!F:F,'Cancels csv'!A:A,'Branch View'!A35,'Cancels csv'!B:B,'Branch View'!B35,'Cancels csv'!D:D,'Branch View'!$I$1)</f>
        <v>256293.66</v>
      </c>
      <c r="O35" s="22">
        <f t="shared" si="4"/>
        <v>2.3412162162162162</v>
      </c>
      <c r="P35" s="27">
        <f t="shared" si="5"/>
        <v>2.3242311183195086</v>
      </c>
    </row>
    <row r="36" spans="1:16" x14ac:dyDescent="0.3">
      <c r="A36" s="32">
        <v>2024</v>
      </c>
      <c r="B36" s="33">
        <v>8</v>
      </c>
      <c r="C36" s="34" t="s">
        <v>44</v>
      </c>
      <c r="D36" s="16">
        <f>SUMIFS('Sales csv'!E:E,'Sales csv'!A:A,'Branch View'!A36,'Sales csv'!B:B,'Branch View'!B36,'Sales csv'!D:D,'Branch View'!$I$1)</f>
        <v>96</v>
      </c>
      <c r="E36" s="17">
        <f>SUMIFS('Sales csv'!F:F,'Sales csv'!A:A,'Branch View'!A36,'Sales csv'!B:B,'Branch View'!B36,'Sales csv'!D:D,'Branch View'!$I$1)</f>
        <v>75894.73</v>
      </c>
      <c r="F36" s="16">
        <f>SUMIFS('IM Cancels csv'!$E:$E,'IM Cancels csv'!$A:$A,'Branch View'!$A36,'IM Cancels csv'!$B:$B,'Branch View'!$B36,'IM Cancels csv'!$D:$D,'Branch View'!$I$1)</f>
        <v>54</v>
      </c>
      <c r="G36" s="17">
        <f>SUMIFS('IM Cancels csv'!$F:$F,'IM Cancels csv'!$A:$A,'Branch View'!$A36,'IM Cancels csv'!$B:$B,'Branch View'!$B36,'IM Cancels csv'!$D:$D,'Branch View'!$I$1)</f>
        <v>39237.449999999997</v>
      </c>
      <c r="H36" s="22">
        <f t="shared" si="9"/>
        <v>1.7777777777777777</v>
      </c>
      <c r="I36" s="23">
        <f t="shared" si="10"/>
        <v>1.9342421589578325</v>
      </c>
      <c r="J36" s="12"/>
      <c r="K36" s="16">
        <f>SUMIFS('All Sales csv'!$E:$E,'All Sales csv'!$A:$A,'Branch View'!$A36,'All Sales csv'!$B:$B,'Branch View'!$B36,'All Sales csv'!$D:$D,'Branch View'!$I$1)</f>
        <v>478</v>
      </c>
      <c r="L36" s="17">
        <f>SUMIFS('All Sales csv'!$F:$F,'All Sales csv'!$A:$A,'Branch View'!$A36,'All Sales csv'!$B:$B,'Branch View'!$B36,'All Sales csv'!$D:$D,'Branch View'!$I$1)</f>
        <v>395109.88</v>
      </c>
      <c r="M36" s="16">
        <f>SUMIFS('Cancels csv'!E:E,'Cancels csv'!A:A,'Branch View'!A36,'Cancels csv'!B:B,'Branch View'!B36,'Cancels csv'!D:D,'Branch View'!$I$1)</f>
        <v>307</v>
      </c>
      <c r="N36" s="17">
        <f>SUMIFS('Cancels csv'!F:F,'Cancels csv'!A:A,'Branch View'!A36,'Cancels csv'!B:B,'Branch View'!B36,'Cancels csv'!D:D,'Branch View'!$I$1)</f>
        <v>261268.45</v>
      </c>
      <c r="O36" s="22">
        <f t="shared" si="4"/>
        <v>1.5570032573289903</v>
      </c>
      <c r="P36" s="27">
        <f t="shared" si="5"/>
        <v>1.5122755158535215</v>
      </c>
    </row>
    <row r="37" spans="1:16" x14ac:dyDescent="0.3">
      <c r="A37" s="32">
        <v>2024</v>
      </c>
      <c r="B37" s="33">
        <v>9</v>
      </c>
      <c r="C37" s="34" t="s">
        <v>45</v>
      </c>
      <c r="D37" s="16">
        <f>SUMIFS('Sales csv'!E:E,'Sales csv'!A:A,'Branch View'!A37,'Sales csv'!B:B,'Branch View'!B37,'Sales csv'!D:D,'Branch View'!$I$1)</f>
        <v>87</v>
      </c>
      <c r="E37" s="17">
        <f>SUMIFS('Sales csv'!F:F,'Sales csv'!A:A,'Branch View'!A37,'Sales csv'!B:B,'Branch View'!B37,'Sales csv'!D:D,'Branch View'!$I$1)</f>
        <v>76306.67</v>
      </c>
      <c r="F37" s="16">
        <f>SUMIFS('IM Cancels csv'!$E:$E,'IM Cancels csv'!$A:$A,'Branch View'!$A37,'IM Cancels csv'!$B:$B,'Branch View'!$B37,'IM Cancels csv'!$D:$D,'Branch View'!$I$1)</f>
        <v>57</v>
      </c>
      <c r="G37" s="17">
        <f>SUMIFS('IM Cancels csv'!$F:$F,'IM Cancels csv'!$A:$A,'Branch View'!$A37,'IM Cancels csv'!$B:$B,'Branch View'!$B37,'IM Cancels csv'!$D:$D,'Branch View'!$I$1)</f>
        <v>37839.32</v>
      </c>
      <c r="H37" s="22">
        <f t="shared" si="9"/>
        <v>1.5263157894736843</v>
      </c>
      <c r="I37" s="23">
        <f t="shared" si="10"/>
        <v>2.0165972855748993</v>
      </c>
      <c r="J37" s="12"/>
      <c r="K37" s="16">
        <f>SUMIFS('All Sales csv'!$E:$E,'All Sales csv'!$A:$A,'Branch View'!$A37,'All Sales csv'!$B:$B,'Branch View'!$B37,'All Sales csv'!$D:$D,'Branch View'!$I$1)</f>
        <v>426</v>
      </c>
      <c r="L37" s="17">
        <f>SUMIFS('All Sales csv'!$F:$F,'All Sales csv'!$A:$A,'Branch View'!$A37,'All Sales csv'!$B:$B,'Branch View'!$B37,'All Sales csv'!$D:$D,'Branch View'!$I$1)</f>
        <v>364062.45</v>
      </c>
      <c r="M37" s="16">
        <f>SUMIFS('Cancels csv'!E:E,'Cancels csv'!A:A,'Branch View'!A37,'Cancels csv'!B:B,'Branch View'!B37,'Cancels csv'!D:D,'Branch View'!$I$1)</f>
        <v>276</v>
      </c>
      <c r="N37" s="17">
        <f>SUMIFS('Cancels csv'!F:F,'Cancels csv'!A:A,'Branch View'!A37,'Cancels csv'!B:B,'Branch View'!B37,'Cancels csv'!D:D,'Branch View'!$I$1)</f>
        <v>221961.54</v>
      </c>
      <c r="O37" s="22">
        <f t="shared" si="4"/>
        <v>1.5434782608695652</v>
      </c>
      <c r="P37" s="27">
        <f t="shared" si="5"/>
        <v>1.6402051003971228</v>
      </c>
    </row>
    <row r="38" spans="1:16" x14ac:dyDescent="0.3">
      <c r="A38" s="32">
        <v>2024</v>
      </c>
      <c r="B38" s="33">
        <v>10</v>
      </c>
      <c r="C38" s="34" t="s">
        <v>46</v>
      </c>
      <c r="D38" s="16">
        <f>SUMIFS('Sales csv'!E:E,'Sales csv'!A:A,'Branch View'!A38,'Sales csv'!B:B,'Branch View'!B38,'Sales csv'!D:D,'Branch View'!$I$1)</f>
        <v>46</v>
      </c>
      <c r="E38" s="17">
        <f>SUMIFS('Sales csv'!F:F,'Sales csv'!A:A,'Branch View'!A38,'Sales csv'!B:B,'Branch View'!B38,'Sales csv'!D:D,'Branch View'!$I$1)</f>
        <v>41145.21</v>
      </c>
      <c r="F38" s="16">
        <f>SUMIFS('IM Cancels csv'!$E:$E,'IM Cancels csv'!$A:$A,'Branch View'!$A38,'IM Cancels csv'!$B:$B,'Branch View'!$B38,'IM Cancels csv'!$D:$D,'Branch View'!$I$1)</f>
        <v>49</v>
      </c>
      <c r="G38" s="17">
        <f>SUMIFS('IM Cancels csv'!$F:$F,'IM Cancels csv'!$A:$A,'Branch View'!$A38,'IM Cancels csv'!$B:$B,'Branch View'!$B38,'IM Cancels csv'!$D:$D,'Branch View'!$I$1)</f>
        <v>37521.19</v>
      </c>
      <c r="H38" s="22">
        <f t="shared" si="9"/>
        <v>0.93877551020408168</v>
      </c>
      <c r="I38" s="23">
        <f t="shared" si="10"/>
        <v>1.0965859558292259</v>
      </c>
      <c r="J38" s="12"/>
      <c r="K38" s="16">
        <f>SUMIFS('All Sales csv'!$E:$E,'All Sales csv'!$A:$A,'Branch View'!$A38,'All Sales csv'!$B:$B,'Branch View'!$B38,'All Sales csv'!$D:$D,'Branch View'!$I$1)</f>
        <v>108</v>
      </c>
      <c r="L38" s="17">
        <f>SUMIFS('All Sales csv'!$F:$F,'All Sales csv'!$A:$A,'Branch View'!$A38,'All Sales csv'!$B:$B,'Branch View'!$B38,'All Sales csv'!$D:$D,'Branch View'!$I$1)</f>
        <v>102765.22</v>
      </c>
      <c r="M38" s="16">
        <f>SUMIFS('Cancels csv'!E:E,'Cancels csv'!A:A,'Branch View'!A38,'Cancels csv'!B:B,'Branch View'!B38,'Cancels csv'!D:D,'Branch View'!$I$1)</f>
        <v>202</v>
      </c>
      <c r="N38" s="17">
        <f>SUMIFS('Cancels csv'!F:F,'Cancels csv'!A:A,'Branch View'!A38,'Cancels csv'!B:B,'Branch View'!B38,'Cancels csv'!D:D,'Branch View'!$I$1)</f>
        <v>169604.87</v>
      </c>
      <c r="O38" s="22">
        <f t="shared" si="4"/>
        <v>0.53465346534653468</v>
      </c>
      <c r="P38" s="27">
        <f t="shared" si="5"/>
        <v>0.60590960625128276</v>
      </c>
    </row>
    <row r="39" spans="1:16" x14ac:dyDescent="0.3">
      <c r="A39" s="32">
        <v>2024</v>
      </c>
      <c r="B39" s="33">
        <v>11</v>
      </c>
      <c r="C39" s="34" t="s">
        <v>47</v>
      </c>
      <c r="D39" s="16">
        <f>SUMIFS('Sales csv'!E:E,'Sales csv'!A:A,'Branch View'!A39,'Sales csv'!B:B,'Branch View'!B39,'Sales csv'!D:D,'Branch View'!$I$1)</f>
        <v>31</v>
      </c>
      <c r="E39" s="17">
        <f>SUMIFS('Sales csv'!F:F,'Sales csv'!A:A,'Branch View'!A39,'Sales csv'!B:B,'Branch View'!B39,'Sales csv'!D:D,'Branch View'!$I$1)</f>
        <v>28397.52</v>
      </c>
      <c r="F39" s="16">
        <f>SUMIFS('IM Cancels csv'!$E:$E,'IM Cancels csv'!$A:$A,'Branch View'!$A39,'IM Cancels csv'!$B:$B,'Branch View'!$B39,'IM Cancels csv'!$D:$D,'Branch View'!$I$1)</f>
        <v>23</v>
      </c>
      <c r="G39" s="17">
        <f>SUMIFS('IM Cancels csv'!$F:$F,'IM Cancels csv'!$A:$A,'Branch View'!$A39,'IM Cancels csv'!$B:$B,'Branch View'!$B39,'IM Cancels csv'!$D:$D,'Branch View'!$I$1)</f>
        <v>17136.189999999999</v>
      </c>
      <c r="H39" s="22">
        <f t="shared" si="9"/>
        <v>1.3478260869565217</v>
      </c>
      <c r="I39" s="23">
        <f t="shared" si="10"/>
        <v>1.6571664996711639</v>
      </c>
      <c r="J39" s="12"/>
      <c r="K39" s="16">
        <f>SUMIFS('All Sales csv'!$E:$E,'All Sales csv'!$A:$A,'Branch View'!$A39,'All Sales csv'!$B:$B,'Branch View'!$B39,'All Sales csv'!$D:$D,'Branch View'!$I$1)</f>
        <v>76</v>
      </c>
      <c r="L39" s="17">
        <f>SUMIFS('All Sales csv'!$F:$F,'All Sales csv'!$A:$A,'Branch View'!$A39,'All Sales csv'!$B:$B,'Branch View'!$B39,'All Sales csv'!$D:$D,'Branch View'!$I$1)</f>
        <v>71601.350000000006</v>
      </c>
      <c r="M39" s="16">
        <f>SUMIFS('Cancels csv'!E:E,'Cancels csv'!A:A,'Branch View'!A39,'Cancels csv'!B:B,'Branch View'!B39,'Cancels csv'!D:D,'Branch View'!$I$1)</f>
        <v>155</v>
      </c>
      <c r="N39" s="17">
        <f>SUMIFS('Cancels csv'!F:F,'Cancels csv'!A:A,'Branch View'!A39,'Cancels csv'!B:B,'Branch View'!B39,'Cancels csv'!D:D,'Branch View'!$I$1)</f>
        <v>135420.21</v>
      </c>
      <c r="O39" s="22">
        <f t="shared" si="4"/>
        <v>0.49032258064516127</v>
      </c>
      <c r="P39" s="27">
        <f t="shared" si="5"/>
        <v>0.52873459581845283</v>
      </c>
    </row>
    <row r="40" spans="1:16" ht="15" thickBot="1" x14ac:dyDescent="0.35">
      <c r="A40" s="35">
        <v>2024</v>
      </c>
      <c r="B40" s="36">
        <v>12</v>
      </c>
      <c r="C40" s="37" t="s">
        <v>48</v>
      </c>
      <c r="D40" s="18">
        <f>SUMIFS('Sales csv'!E:E,'Sales csv'!A:A,'Branch View'!A40,'Sales csv'!B:B,'Branch View'!B40,'Sales csv'!D:D,'Branch View'!$I$1)</f>
        <v>16</v>
      </c>
      <c r="E40" s="19">
        <f>SUMIFS('Sales csv'!F:F,'Sales csv'!A:A,'Branch View'!A40,'Sales csv'!B:B,'Branch View'!B40,'Sales csv'!D:D,'Branch View'!$I$1)</f>
        <v>16214.33</v>
      </c>
      <c r="F40" s="18">
        <f>SUMIFS('IM Cancels csv'!$E:$E,'IM Cancels csv'!$A:$A,'Branch View'!$A40,'IM Cancels csv'!$B:$B,'Branch View'!$B40,'IM Cancels csv'!$D:$D,'Branch View'!$I$1)</f>
        <v>36</v>
      </c>
      <c r="G40" s="19">
        <f>SUMIFS('IM Cancels csv'!$F:$F,'IM Cancels csv'!$A:$A,'Branch View'!$A40,'IM Cancels csv'!$B:$B,'Branch View'!$B40,'IM Cancels csv'!$D:$D,'Branch View'!$I$1)</f>
        <v>29869.47</v>
      </c>
      <c r="H40" s="24">
        <f t="shared" si="9"/>
        <v>0.44444444444444442</v>
      </c>
      <c r="I40" s="25">
        <f t="shared" si="10"/>
        <v>0.54283956159918467</v>
      </c>
      <c r="J40" s="13"/>
      <c r="K40" s="18">
        <f>SUMIFS('All Sales csv'!$E:$E,'All Sales csv'!$A:$A,'Branch View'!$A40,'All Sales csv'!$B:$B,'Branch View'!$B40,'All Sales csv'!$D:$D,'Branch View'!$I$1)</f>
        <v>26</v>
      </c>
      <c r="L40" s="19">
        <f>SUMIFS('All Sales csv'!$F:$F,'All Sales csv'!$A:$A,'Branch View'!$A40,'All Sales csv'!$B:$B,'Branch View'!$B40,'All Sales csv'!$D:$D,'Branch View'!$I$1)</f>
        <v>25338.07</v>
      </c>
      <c r="M40" s="18">
        <f>SUMIFS('Cancels csv'!E:E,'Cancels csv'!A:A,'Branch View'!A40,'Cancels csv'!B:B,'Branch View'!B40,'Cancels csv'!D:D,'Branch View'!$I$1)</f>
        <v>214</v>
      </c>
      <c r="N40" s="19">
        <f>SUMIFS('Cancels csv'!F:F,'Cancels csv'!A:A,'Branch View'!A40,'Cancels csv'!B:B,'Branch View'!B40,'Cancels csv'!D:D,'Branch View'!$I$1)</f>
        <v>192292.68</v>
      </c>
      <c r="O40" s="24">
        <f t="shared" si="4"/>
        <v>0.12149532710280374</v>
      </c>
      <c r="P40" s="28">
        <f t="shared" si="5"/>
        <v>0.13176825035669584</v>
      </c>
    </row>
    <row r="41" spans="1:16" ht="15" thickBot="1" x14ac:dyDescent="0.35">
      <c r="A41" s="38">
        <v>2024</v>
      </c>
      <c r="B41" s="39" t="s">
        <v>79</v>
      </c>
      <c r="C41" s="40"/>
      <c r="D41" s="41">
        <f t="shared" ref="D41:G41" si="11">SUM(D29:D40)</f>
        <v>637</v>
      </c>
      <c r="E41" s="42">
        <f t="shared" si="11"/>
        <v>560020.04999999993</v>
      </c>
      <c r="F41" s="41">
        <f t="shared" si="11"/>
        <v>443</v>
      </c>
      <c r="G41" s="42">
        <f t="shared" si="11"/>
        <v>343849.77</v>
      </c>
      <c r="H41" s="43">
        <f t="shared" si="9"/>
        <v>1.437923250564334</v>
      </c>
      <c r="I41" s="44">
        <f t="shared" si="10"/>
        <v>1.6286765292877756</v>
      </c>
      <c r="J41" s="45"/>
      <c r="K41" s="61">
        <f t="shared" ref="K41:N41" si="12">SUM(K29:K40)</f>
        <v>3763</v>
      </c>
      <c r="L41" s="59">
        <f t="shared" si="12"/>
        <v>3310712.0800000005</v>
      </c>
      <c r="M41" s="41">
        <f t="shared" si="12"/>
        <v>2584</v>
      </c>
      <c r="N41" s="42">
        <f t="shared" si="12"/>
        <v>2246589.4300000002</v>
      </c>
      <c r="O41" s="43">
        <f t="shared" si="4"/>
        <v>1.4562693498452013</v>
      </c>
      <c r="P41" s="46">
        <f t="shared" si="5"/>
        <v>1.4736613801303251</v>
      </c>
    </row>
    <row r="42" spans="1:16" x14ac:dyDescent="0.3">
      <c r="A42" s="29">
        <v>2025</v>
      </c>
      <c r="B42" s="30">
        <v>1</v>
      </c>
      <c r="C42" s="31" t="s">
        <v>6</v>
      </c>
      <c r="D42" s="14">
        <f>SUMIFS('Sales csv'!$E:$E,'Sales csv'!$A:$A,'Branch View'!$A42,'Sales csv'!$B:$B,'Branch View'!$B42,'Sales csv'!$D:$D,'Branch View'!$I$1)</f>
        <v>17</v>
      </c>
      <c r="E42" s="15">
        <f>SUMIFS('Sales csv'!$F:$F,'Sales csv'!$A:$A,'Branch View'!$A42,'Sales csv'!$B:$B,'Branch View'!$B42,'Sales csv'!$D:$D,'Branch View'!$I$1)</f>
        <v>26670</v>
      </c>
      <c r="F42" s="14">
        <f>SUMIFS('IM Cancels csv'!$E:$E,'IM Cancels csv'!$A:$A,'Branch View'!$A42,'IM Cancels csv'!$B:$B,'Branch View'!$B42,'IM Cancels csv'!$D:$D,'Branch View'!$I$1)</f>
        <v>23</v>
      </c>
      <c r="G42" s="15">
        <f>SUMIFS('IM Cancels csv'!$F:$F,'IM Cancels csv'!$A:$A,'Branch View'!$A42,'IM Cancels csv'!$B:$B,'Branch View'!$B42,'IM Cancels csv'!$D:$D,'Branch View'!$I$1)</f>
        <v>22178.560000000001</v>
      </c>
      <c r="H42" s="20">
        <f t="shared" si="9"/>
        <v>0.73913043478260865</v>
      </c>
      <c r="I42" s="21">
        <f t="shared" si="10"/>
        <v>1.2025126969469613</v>
      </c>
      <c r="J42" s="11"/>
      <c r="K42" s="14">
        <f>SUMIFS('All Sales csv'!$E:$E,'All Sales csv'!$A:$A,'Branch View'!$A42,'All Sales csv'!$B:$B,'Branch View'!$B42,'All Sales csv'!$D:$D,'Branch View'!$I$1)</f>
        <v>36</v>
      </c>
      <c r="L42" s="15">
        <f>SUMIFS('All Sales csv'!$F:$F,'All Sales csv'!$A:$A,'Branch View'!$A42,'All Sales csv'!$B:$B,'Branch View'!$B42,'All Sales csv'!$D:$D,'Branch View'!$I$1)</f>
        <v>41059.230000000003</v>
      </c>
      <c r="M42" s="14">
        <f>SUMIFS('Cancels csv'!E:E,'Cancels csv'!A:A,'Branch View'!A42,'Cancels csv'!B:B,'Branch View'!B42,'Cancels csv'!D:D,'Branch View'!$I$1)</f>
        <v>152</v>
      </c>
      <c r="N42" s="15">
        <f>SUMIFS('Cancels csv'!F:F,'Cancels csv'!A:A,'Branch View'!A42,'Cancels csv'!B:B,'Branch View'!B42,'Cancels csv'!D:D,'Branch View'!$I$1)</f>
        <v>137896.92000000001</v>
      </c>
      <c r="O42" s="20">
        <f t="shared" si="4"/>
        <v>0.23684210526315788</v>
      </c>
      <c r="P42" s="26">
        <f t="shared" si="5"/>
        <v>0.29775306076451891</v>
      </c>
    </row>
    <row r="43" spans="1:16" x14ac:dyDescent="0.3">
      <c r="A43" s="32">
        <v>2025</v>
      </c>
      <c r="B43" s="33">
        <v>2</v>
      </c>
      <c r="C43" s="34" t="s">
        <v>38</v>
      </c>
      <c r="D43" s="16">
        <f>SUMIFS('Sales csv'!E:E,'Sales csv'!A:A,'Branch View'!A43,'Sales csv'!B:B,'Branch View'!B43,'Sales csv'!D:D,'Branch View'!$I$1)</f>
        <v>14</v>
      </c>
      <c r="E43" s="17">
        <f>SUMIFS('Sales csv'!F:F,'Sales csv'!A:A,'Branch View'!A43,'Sales csv'!B:B,'Branch View'!B43,'Sales csv'!D:D,'Branch View'!$I$1)</f>
        <v>12766</v>
      </c>
      <c r="F43" s="16">
        <f>SUMIFS('IM Cancels csv'!$E:$E,'IM Cancels csv'!$A:$A,'Branch View'!$A43,'IM Cancels csv'!$B:$B,'Branch View'!$B43,'IM Cancels csv'!$D:$D,'Branch View'!$I$1)</f>
        <v>35</v>
      </c>
      <c r="G43" s="17">
        <f>SUMIFS('IM Cancels csv'!$F:$F,'IM Cancels csv'!$A:$A,'Branch View'!$A43,'IM Cancels csv'!$B:$B,'Branch View'!$B43,'IM Cancels csv'!$D:$D,'Branch View'!$I$1)</f>
        <v>32521.83</v>
      </c>
      <c r="H43" s="22">
        <f t="shared" si="9"/>
        <v>0.4</v>
      </c>
      <c r="I43" s="23">
        <f t="shared" si="10"/>
        <v>0.39253633636237567</v>
      </c>
      <c r="J43" s="12"/>
      <c r="K43" s="16">
        <f>SUMIFS('All Sales csv'!$E:$E,'All Sales csv'!$A:$A,'Branch View'!$A43,'All Sales csv'!$B:$B,'Branch View'!$B43,'All Sales csv'!$D:$D,'Branch View'!$I$1)</f>
        <v>38</v>
      </c>
      <c r="L43" s="17">
        <f>SUMIFS('All Sales csv'!$F:$F,'All Sales csv'!$A:$A,'Branch View'!$A43,'All Sales csv'!$B:$B,'Branch View'!$B43,'All Sales csv'!$D:$D,'Branch View'!$I$1)</f>
        <v>32800</v>
      </c>
      <c r="M43" s="16">
        <f>SUMIFS('Cancels csv'!E:E,'Cancels csv'!A:A,'Branch View'!A43,'Cancels csv'!B:B,'Branch View'!B43,'Cancels csv'!D:D,'Branch View'!$I$1)</f>
        <v>167</v>
      </c>
      <c r="N43" s="17">
        <f>SUMIFS('Cancels csv'!F:F,'Cancels csv'!A:A,'Branch View'!A43,'Cancels csv'!B:B,'Branch View'!B43,'Cancels csv'!D:D,'Branch View'!$I$1)</f>
        <v>150336.1</v>
      </c>
      <c r="O43" s="22">
        <f t="shared" si="4"/>
        <v>0.22754491017964071</v>
      </c>
      <c r="P43" s="27">
        <f t="shared" si="5"/>
        <v>0.21817780293622091</v>
      </c>
    </row>
    <row r="44" spans="1:16" x14ac:dyDescent="0.3">
      <c r="A44" s="32">
        <v>2025</v>
      </c>
      <c r="B44" s="33">
        <v>3</v>
      </c>
      <c r="C44" s="34" t="s">
        <v>39</v>
      </c>
      <c r="D44" s="16">
        <f>SUMIFS('Sales csv'!E:E,'Sales csv'!A:A,'Branch View'!A44,'Sales csv'!B:B,'Branch View'!B44,'Sales csv'!D:D,'Branch View'!$I$1)</f>
        <v>14</v>
      </c>
      <c r="E44" s="17">
        <f>SUMIFS('Sales csv'!F:F,'Sales csv'!A:A,'Branch View'!A44,'Sales csv'!B:B,'Branch View'!B44,'Sales csv'!D:D,'Branch View'!$I$1)</f>
        <v>12776</v>
      </c>
      <c r="F44" s="16">
        <f>SUMIFS('IM Cancels csv'!$E:$E,'IM Cancels csv'!$A:$A,'Branch View'!$A44,'IM Cancels csv'!$B:$B,'Branch View'!$B44,'IM Cancels csv'!$D:$D,'Branch View'!$I$1)</f>
        <v>33</v>
      </c>
      <c r="G44" s="17">
        <f>SUMIFS('IM Cancels csv'!$F:$F,'IM Cancels csv'!$A:$A,'Branch View'!$A44,'IM Cancels csv'!$B:$B,'Branch View'!$B44,'IM Cancels csv'!$D:$D,'Branch View'!$I$1)</f>
        <v>28412.62</v>
      </c>
      <c r="H44" s="22">
        <f t="shared" si="9"/>
        <v>0.42424242424242425</v>
      </c>
      <c r="I44" s="23">
        <f t="shared" si="10"/>
        <v>0.44965934151795928</v>
      </c>
      <c r="J44" s="12"/>
      <c r="K44" s="16">
        <f>SUMIFS('All Sales csv'!$E:$E,'All Sales csv'!$A:$A,'Branch View'!$A44,'All Sales csv'!$B:$B,'Branch View'!$B44,'All Sales csv'!$D:$D,'Branch View'!$I$1)</f>
        <v>133</v>
      </c>
      <c r="L44" s="17">
        <f>SUMIFS('All Sales csv'!$F:$F,'All Sales csv'!$A:$A,'Branch View'!$A44,'All Sales csv'!$B:$B,'Branch View'!$B44,'All Sales csv'!$D:$D,'Branch View'!$I$1)</f>
        <v>117626.7</v>
      </c>
      <c r="M44" s="16">
        <f>SUMIFS('Cancels csv'!E:E,'Cancels csv'!A:A,'Branch View'!A44,'Cancels csv'!B:B,'Branch View'!B44,'Cancels csv'!D:D,'Branch View'!$I$1)</f>
        <v>152</v>
      </c>
      <c r="N44" s="17">
        <f>SUMIFS('Cancels csv'!F:F,'Cancels csv'!A:A,'Branch View'!A44,'Cancels csv'!B:B,'Branch View'!B44,'Cancels csv'!D:D,'Branch View'!$I$1)</f>
        <v>133915.21</v>
      </c>
      <c r="O44" s="22">
        <f t="shared" si="4"/>
        <v>0.875</v>
      </c>
      <c r="P44" s="27">
        <f t="shared" si="5"/>
        <v>0.87836699057560386</v>
      </c>
    </row>
    <row r="45" spans="1:16" x14ac:dyDescent="0.3">
      <c r="A45" s="32">
        <v>2025</v>
      </c>
      <c r="B45" s="33">
        <v>4</v>
      </c>
      <c r="C45" s="34" t="s">
        <v>40</v>
      </c>
      <c r="D45" s="16">
        <f>SUMIFS('Sales csv'!E:E,'Sales csv'!A:A,'Branch View'!A45,'Sales csv'!B:B,'Branch View'!B45,'Sales csv'!D:D,'Branch View'!$I$1)</f>
        <v>46</v>
      </c>
      <c r="E45" s="17">
        <f>SUMIFS('Sales csv'!F:F,'Sales csv'!A:A,'Branch View'!A45,'Sales csv'!B:B,'Branch View'!B45,'Sales csv'!D:D,'Branch View'!$I$1)</f>
        <v>39724</v>
      </c>
      <c r="F45" s="16">
        <f>SUMIFS('IM Cancels csv'!$E:$E,'IM Cancels csv'!$A:$A,'Branch View'!$A45,'IM Cancels csv'!$B:$B,'Branch View'!$B45,'IM Cancels csv'!$D:$D,'Branch View'!$I$1)</f>
        <v>27</v>
      </c>
      <c r="G45" s="17">
        <f>SUMIFS('IM Cancels csv'!$F:$F,'IM Cancels csv'!$A:$A,'Branch View'!$A45,'IM Cancels csv'!$B:$B,'Branch View'!$B45,'IM Cancels csv'!$D:$D,'Branch View'!$I$1)</f>
        <v>25583.22</v>
      </c>
      <c r="H45" s="22">
        <f t="shared" si="9"/>
        <v>1.7037037037037037</v>
      </c>
      <c r="I45" s="23">
        <f t="shared" si="10"/>
        <v>1.5527365202660179</v>
      </c>
      <c r="J45" s="12"/>
      <c r="K45" s="16">
        <f>SUMIFS('All Sales csv'!$E:$E,'All Sales csv'!$A:$A,'Branch View'!$A45,'All Sales csv'!$B:$B,'Branch View'!$B45,'All Sales csv'!$D:$D,'Branch View'!$I$1)</f>
        <v>428</v>
      </c>
      <c r="L45" s="17">
        <f>SUMIFS('All Sales csv'!$F:$F,'All Sales csv'!$A:$A,'Branch View'!$A45,'All Sales csv'!$B:$B,'Branch View'!$B45,'All Sales csv'!$D:$D,'Branch View'!$I$1)</f>
        <v>362532.96</v>
      </c>
      <c r="M45" s="16">
        <f>SUMIFS('Cancels csv'!E:E,'Cancels csv'!A:A,'Branch View'!A45,'Cancels csv'!B:B,'Branch View'!B45,'Cancels csv'!D:D,'Branch View'!$I$1)</f>
        <v>205</v>
      </c>
      <c r="N45" s="17">
        <f>SUMIFS('Cancels csv'!F:F,'Cancels csv'!A:A,'Branch View'!A45,'Cancels csv'!B:B,'Branch View'!B45,'Cancels csv'!D:D,'Branch View'!$I$1)</f>
        <v>183137.94</v>
      </c>
      <c r="O45" s="22">
        <f t="shared" si="4"/>
        <v>2.0878048780487806</v>
      </c>
      <c r="P45" s="27">
        <f t="shared" si="5"/>
        <v>1.9795622905881765</v>
      </c>
    </row>
    <row r="46" spans="1:16" x14ac:dyDescent="0.3">
      <c r="A46" s="32">
        <v>2025</v>
      </c>
      <c r="B46" s="33">
        <v>5</v>
      </c>
      <c r="C46" s="34" t="s">
        <v>41</v>
      </c>
      <c r="D46" s="16">
        <f>SUMIFS('Sales csv'!E:E,'Sales csv'!A:A,'Branch View'!A46,'Sales csv'!B:B,'Branch View'!B46,'Sales csv'!D:D,'Branch View'!$I$1)</f>
        <v>69</v>
      </c>
      <c r="E46" s="17">
        <f>SUMIFS('Sales csv'!F:F,'Sales csv'!A:A,'Branch View'!A46,'Sales csv'!B:B,'Branch View'!B46,'Sales csv'!D:D,'Branch View'!$I$1)</f>
        <v>59469</v>
      </c>
      <c r="F46" s="16">
        <f>SUMIFS('IM Cancels csv'!$E:$E,'IM Cancels csv'!$A:$A,'Branch View'!$A46,'IM Cancels csv'!$B:$B,'Branch View'!$B46,'IM Cancels csv'!$D:$D,'Branch View'!$I$1)</f>
        <v>35</v>
      </c>
      <c r="G46" s="17">
        <f>SUMIFS('IM Cancels csv'!$F:$F,'IM Cancels csv'!$A:$A,'Branch View'!$A46,'IM Cancels csv'!$B:$B,'Branch View'!$B46,'IM Cancels csv'!$D:$D,'Branch View'!$I$1)</f>
        <v>27415.33</v>
      </c>
      <c r="H46" s="22">
        <f t="shared" si="9"/>
        <v>1.9714285714285715</v>
      </c>
      <c r="I46" s="23">
        <f t="shared" si="10"/>
        <v>2.1691878230172681</v>
      </c>
      <c r="J46" s="12"/>
      <c r="K46" s="16">
        <f>SUMIFS('All Sales csv'!$E:$E,'All Sales csv'!$A:$A,'Branch View'!$A46,'All Sales csv'!$B:$B,'Branch View'!$B46,'All Sales csv'!$D:$D,'Branch View'!$I$1)</f>
        <v>1218</v>
      </c>
      <c r="L46" s="17">
        <f>SUMIFS('All Sales csv'!$F:$F,'All Sales csv'!$A:$A,'Branch View'!$A46,'All Sales csv'!$B:$B,'Branch View'!$B46,'All Sales csv'!$D:$D,'Branch View'!$I$1)</f>
        <v>1040959.79</v>
      </c>
      <c r="M46" s="16">
        <f>SUMIFS('Cancels csv'!E:E,'Cancels csv'!A:A,'Branch View'!A46,'Cancels csv'!B:B,'Branch View'!B46,'Cancels csv'!D:D,'Branch View'!$I$1)</f>
        <v>241</v>
      </c>
      <c r="N46" s="17">
        <f>SUMIFS('Cancels csv'!F:F,'Cancels csv'!A:A,'Branch View'!A46,'Cancels csv'!B:B,'Branch View'!B46,'Cancels csv'!D:D,'Branch View'!$I$1)</f>
        <v>215543.01</v>
      </c>
      <c r="O46" s="22">
        <f t="shared" si="4"/>
        <v>5.0539419087136928</v>
      </c>
      <c r="P46" s="27">
        <f t="shared" si="5"/>
        <v>4.8294759825428812</v>
      </c>
    </row>
    <row r="47" spans="1:16" x14ac:dyDescent="0.3">
      <c r="A47" s="32">
        <v>2025</v>
      </c>
      <c r="B47" s="33">
        <v>6</v>
      </c>
      <c r="C47" s="34" t="s">
        <v>42</v>
      </c>
      <c r="D47" s="16">
        <f>SUMIFS('Sales csv'!E:E,'Sales csv'!A:A,'Branch View'!A47,'Sales csv'!B:B,'Branch View'!B47,'Sales csv'!D:D,'Branch View'!$I$1)</f>
        <v>55</v>
      </c>
      <c r="E47" s="17">
        <f>SUMIFS('Sales csv'!F:F,'Sales csv'!A:A,'Branch View'!A47,'Sales csv'!B:B,'Branch View'!B47,'Sales csv'!D:D,'Branch View'!$I$1)</f>
        <v>43774</v>
      </c>
      <c r="F47" s="16">
        <f>SUMIFS('IM Cancels csv'!$E:$E,'IM Cancels csv'!$A:$A,'Branch View'!$A47,'IM Cancels csv'!$B:$B,'Branch View'!$B47,'IM Cancels csv'!$D:$D,'Branch View'!$I$1)</f>
        <v>33</v>
      </c>
      <c r="G47" s="17">
        <f>SUMIFS('IM Cancels csv'!$F:$F,'IM Cancels csv'!$A:$A,'Branch View'!$A47,'IM Cancels csv'!$B:$B,'Branch View'!$B47,'IM Cancels csv'!$D:$D,'Branch View'!$I$1)</f>
        <v>30091.1</v>
      </c>
      <c r="H47" s="22">
        <f t="shared" si="9"/>
        <v>1.6666666666666667</v>
      </c>
      <c r="I47" s="23">
        <f t="shared" si="10"/>
        <v>1.4547158462136647</v>
      </c>
      <c r="J47" s="12"/>
      <c r="K47" s="16">
        <f>SUMIFS('All Sales csv'!$E:$E,'All Sales csv'!$A:$A,'Branch View'!$A47,'All Sales csv'!$B:$B,'Branch View'!$B47,'All Sales csv'!$D:$D,'Branch View'!$I$1)</f>
        <v>1320</v>
      </c>
      <c r="L47" s="17">
        <f>SUMIFS('All Sales csv'!$F:$F,'All Sales csv'!$A:$A,'Branch View'!$A47,'All Sales csv'!$B:$B,'Branch View'!$B47,'All Sales csv'!$D:$D,'Branch View'!$I$1)</f>
        <v>1108094.51</v>
      </c>
      <c r="M47" s="16">
        <f>SUMIFS('Cancels csv'!E:E,'Cancels csv'!A:A,'Branch View'!A47,'Cancels csv'!B:B,'Branch View'!B47,'Cancels csv'!D:D,'Branch View'!$I$1)</f>
        <v>362</v>
      </c>
      <c r="N47" s="17">
        <f>SUMIFS('Cancels csv'!F:F,'Cancels csv'!A:A,'Branch View'!A47,'Cancels csv'!B:B,'Branch View'!B47,'Cancels csv'!D:D,'Branch View'!$I$1)</f>
        <v>316042.46000000002</v>
      </c>
      <c r="O47" s="22">
        <f t="shared" si="4"/>
        <v>3.6464088397790055</v>
      </c>
      <c r="P47" s="27">
        <f t="shared" si="5"/>
        <v>3.5061570840829424</v>
      </c>
    </row>
    <row r="48" spans="1:16" x14ac:dyDescent="0.3">
      <c r="A48" s="32">
        <v>2025</v>
      </c>
      <c r="B48" s="33">
        <v>7</v>
      </c>
      <c r="C48" s="34" t="s">
        <v>43</v>
      </c>
      <c r="D48" s="16">
        <f>SUMIFS('Sales csv'!E:E,'Sales csv'!A:A,'Branch View'!A48,'Sales csv'!B:B,'Branch View'!B48,'Sales csv'!D:D,'Branch View'!$I$1)</f>
        <v>76</v>
      </c>
      <c r="E48" s="17">
        <f>SUMIFS('Sales csv'!F:F,'Sales csv'!A:A,'Branch View'!A48,'Sales csv'!B:B,'Branch View'!B48,'Sales csv'!D:D,'Branch View'!$I$1)</f>
        <v>62442.55</v>
      </c>
      <c r="F48" s="16">
        <f>SUMIFS('IM Cancels csv'!$E:$E,'IM Cancels csv'!$A:$A,'Branch View'!$A48,'IM Cancels csv'!$B:$B,'Branch View'!$B48,'IM Cancels csv'!$D:$D,'Branch View'!$I$1)</f>
        <v>54</v>
      </c>
      <c r="G48" s="17">
        <f>SUMIFS('IM Cancels csv'!$F:$F,'IM Cancels csv'!$A:$A,'Branch View'!$A48,'IM Cancels csv'!$B:$B,'Branch View'!$B48,'IM Cancels csv'!$D:$D,'Branch View'!$I$1)</f>
        <v>44111.34</v>
      </c>
      <c r="H48" s="22">
        <f t="shared" si="9"/>
        <v>1.4074074074074074</v>
      </c>
      <c r="I48" s="23">
        <f t="shared" si="10"/>
        <v>1.4155668361015559</v>
      </c>
      <c r="J48" s="12"/>
      <c r="K48" s="16">
        <f>SUMIFS('All Sales csv'!$E:$E,'All Sales csv'!$A:$A,'Branch View'!$A48,'All Sales csv'!$B:$B,'Branch View'!$B48,'All Sales csv'!$D:$D,'Branch View'!$I$1)</f>
        <v>1026</v>
      </c>
      <c r="L48" s="17">
        <f>SUMIFS('All Sales csv'!$F:$F,'All Sales csv'!$A:$A,'Branch View'!$A48,'All Sales csv'!$B:$B,'Branch View'!$B48,'All Sales csv'!$D:$D,'Branch View'!$I$1)</f>
        <v>866262.55</v>
      </c>
      <c r="M48" s="16">
        <f>SUMIFS('Cancels csv'!E:E,'Cancels csv'!A:A,'Branch View'!A48,'Cancels csv'!B:B,'Branch View'!B48,'Cancels csv'!D:D,'Branch View'!$I$1)</f>
        <v>460</v>
      </c>
      <c r="N48" s="17">
        <f>SUMIFS('Cancels csv'!F:F,'Cancels csv'!A:A,'Branch View'!A48,'Cancels csv'!B:B,'Branch View'!B48,'Cancels csv'!D:D,'Branch View'!$I$1)</f>
        <v>393441.95</v>
      </c>
      <c r="O48" s="22">
        <f t="shared" si="4"/>
        <v>2.2304347826086954</v>
      </c>
      <c r="P48" s="27">
        <f t="shared" si="5"/>
        <v>2.2017544138341121</v>
      </c>
    </row>
    <row r="49" spans="1:16" x14ac:dyDescent="0.3">
      <c r="A49" s="32">
        <v>2025</v>
      </c>
      <c r="B49" s="33">
        <v>8</v>
      </c>
      <c r="C49" s="34" t="s">
        <v>44</v>
      </c>
      <c r="D49" s="16">
        <f>SUMIFS('Sales csv'!E:E,'Sales csv'!A:A,'Branch View'!A49,'Sales csv'!B:B,'Branch View'!B49,'Sales csv'!D:D,'Branch View'!$I$1)</f>
        <v>109</v>
      </c>
      <c r="E49" s="17">
        <f>SUMIFS('Sales csv'!F:F,'Sales csv'!A:A,'Branch View'!A49,'Sales csv'!B:B,'Branch View'!B49,'Sales csv'!D:D,'Branch View'!$I$1)</f>
        <v>84372</v>
      </c>
      <c r="F49" s="16">
        <f>SUMIFS('IM Cancels csv'!$E:$E,'IM Cancels csv'!$A:$A,'Branch View'!$A49,'IM Cancels csv'!$B:$B,'Branch View'!$B49,'IM Cancels csv'!$D:$D,'Branch View'!$I$1)</f>
        <v>38</v>
      </c>
      <c r="G49" s="17">
        <f>SUMIFS('IM Cancels csv'!$F:$F,'IM Cancels csv'!$A:$A,'Branch View'!$A49,'IM Cancels csv'!$B:$B,'Branch View'!$B49,'IM Cancels csv'!$D:$D,'Branch View'!$I$1)</f>
        <v>31300.5</v>
      </c>
      <c r="H49" s="22">
        <f t="shared" si="9"/>
        <v>2.8684210526315788</v>
      </c>
      <c r="I49" s="23">
        <f t="shared" si="10"/>
        <v>2.6955479944409833</v>
      </c>
      <c r="J49" s="12"/>
      <c r="K49" s="16">
        <f>SUMIFS('All Sales csv'!$E:$E,'All Sales csv'!$A:$A,'Branch View'!$A49,'All Sales csv'!$B:$B,'Branch View'!$B49,'All Sales csv'!$D:$D,'Branch View'!$I$1)</f>
        <v>795</v>
      </c>
      <c r="L49" s="17">
        <f>SUMIFS('All Sales csv'!$F:$F,'All Sales csv'!$A:$A,'Branch View'!$A49,'All Sales csv'!$B:$B,'Branch View'!$B49,'All Sales csv'!$D:$D,'Branch View'!$I$1)</f>
        <v>678743.82</v>
      </c>
      <c r="M49" s="16">
        <f>SUMIFS('Cancels csv'!E:E,'Cancels csv'!A:A,'Branch View'!A49,'Cancels csv'!B:B,'Branch View'!B49,'Cancels csv'!D:D,'Branch View'!$I$1)</f>
        <v>318</v>
      </c>
      <c r="N49" s="17">
        <f>SUMIFS('Cancels csv'!F:F,'Cancels csv'!A:A,'Branch View'!A49,'Cancels csv'!B:B,'Branch View'!B49,'Cancels csv'!D:D,'Branch View'!$I$1)</f>
        <v>264109.01</v>
      </c>
      <c r="O49" s="22">
        <f t="shared" si="4"/>
        <v>2.5</v>
      </c>
      <c r="P49" s="27">
        <f t="shared" si="5"/>
        <v>2.5699381478882524</v>
      </c>
    </row>
    <row r="50" spans="1:16" x14ac:dyDescent="0.3">
      <c r="A50" s="32">
        <v>2025</v>
      </c>
      <c r="B50" s="33">
        <v>9</v>
      </c>
      <c r="C50" s="34" t="s">
        <v>45</v>
      </c>
      <c r="D50" s="16">
        <f>SUMIFS('Sales csv'!E:E,'Sales csv'!A:A,'Branch View'!A50,'Sales csv'!B:B,'Branch View'!B50,'Sales csv'!D:D,'Branch View'!$I$1)</f>
        <v>63</v>
      </c>
      <c r="E50" s="17">
        <f>SUMIFS('Sales csv'!F:F,'Sales csv'!A:A,'Branch View'!A50,'Sales csv'!B:B,'Branch View'!B50,'Sales csv'!D:D,'Branch View'!$I$1)</f>
        <v>50407.39</v>
      </c>
      <c r="F50" s="16">
        <f>SUMIFS('IM Cancels csv'!$E:$E,'IM Cancels csv'!$A:$A,'Branch View'!$A50,'IM Cancels csv'!$B:$B,'Branch View'!$B50,'IM Cancels csv'!$D:$D,'Branch View'!$I$1)</f>
        <v>57</v>
      </c>
      <c r="G50" s="17">
        <f>SUMIFS('IM Cancels csv'!$F:$F,'IM Cancels csv'!$A:$A,'Branch View'!$A50,'IM Cancels csv'!$B:$B,'Branch View'!$B50,'IM Cancels csv'!$D:$D,'Branch View'!$I$1)</f>
        <v>42146.98</v>
      </c>
      <c r="H50" s="22">
        <f t="shared" si="9"/>
        <v>1.1052631578947369</v>
      </c>
      <c r="I50" s="23">
        <f t="shared" si="10"/>
        <v>1.1959905549579115</v>
      </c>
      <c r="J50" s="12"/>
      <c r="K50" s="16">
        <f>SUMIFS('All Sales csv'!$E:$E,'All Sales csv'!$A:$A,'Branch View'!$A50,'All Sales csv'!$B:$B,'Branch View'!$B50,'All Sales csv'!$D:$D,'Branch View'!$I$1)</f>
        <v>292</v>
      </c>
      <c r="L50" s="17">
        <f>SUMIFS('All Sales csv'!$F:$F,'All Sales csv'!$A:$A,'Branch View'!$A50,'All Sales csv'!$B:$B,'Branch View'!$B50,'All Sales csv'!$D:$D,'Branch View'!$I$1)</f>
        <v>270315.18</v>
      </c>
      <c r="M50" s="16">
        <f>SUMIFS('Cancels csv'!E:E,'Cancels csv'!A:A,'Branch View'!A50,'Cancels csv'!B:B,'Branch View'!B50,'Cancels csv'!D:D,'Branch View'!$I$1)</f>
        <v>416</v>
      </c>
      <c r="N50" s="17">
        <f>SUMIFS('Cancels csv'!F:F,'Cancels csv'!A:A,'Branch View'!A50,'Cancels csv'!B:B,'Branch View'!B50,'Cancels csv'!D:D,'Branch View'!$I$1)</f>
        <v>352894.56</v>
      </c>
      <c r="O50" s="22">
        <f t="shared" si="4"/>
        <v>0.70192307692307687</v>
      </c>
      <c r="P50" s="27">
        <f t="shared" si="5"/>
        <v>0.7659941825116261</v>
      </c>
    </row>
    <row r="51" spans="1:16" x14ac:dyDescent="0.3">
      <c r="A51" s="32">
        <v>2025</v>
      </c>
      <c r="B51" s="33">
        <v>10</v>
      </c>
      <c r="C51" s="34" t="s">
        <v>46</v>
      </c>
      <c r="D51" s="16">
        <f>SUMIFS('Sales csv'!E:E,'Sales csv'!A:A,'Branch View'!A51,'Sales csv'!B:B,'Branch View'!B51,'Sales csv'!D:D,'Branch View'!$I$1)</f>
        <v>39</v>
      </c>
      <c r="E51" s="17">
        <f>SUMIFS('Sales csv'!F:F,'Sales csv'!A:A,'Branch View'!A51,'Sales csv'!B:B,'Branch View'!B51,'Sales csv'!D:D,'Branch View'!$I$1)</f>
        <v>33326.5</v>
      </c>
      <c r="F51" s="16">
        <f>SUMIFS('IM Cancels csv'!$E:$E,'IM Cancels csv'!$A:$A,'Branch View'!$A51,'IM Cancels csv'!$B:$B,'Branch View'!$B51,'IM Cancels csv'!$D:$D,'Branch View'!$I$1)</f>
        <v>51</v>
      </c>
      <c r="G51" s="17">
        <f>SUMIFS('IM Cancels csv'!$F:$F,'IM Cancels csv'!$A:$A,'Branch View'!$A51,'IM Cancels csv'!$B:$B,'Branch View'!$B51,'IM Cancels csv'!$D:$D,'Branch View'!$I$1)</f>
        <v>41529.64</v>
      </c>
      <c r="H51" s="22">
        <f t="shared" si="9"/>
        <v>0.76470588235294112</v>
      </c>
      <c r="I51" s="23">
        <f t="shared" si="10"/>
        <v>0.80247505155354104</v>
      </c>
      <c r="J51" s="12"/>
      <c r="K51" s="16">
        <f>SUMIFS('All Sales csv'!$E:$E,'All Sales csv'!$A:$A,'Branch View'!$A51,'All Sales csv'!$B:$B,'Branch View'!$B51,'All Sales csv'!$D:$D,'Branch View'!$I$1)</f>
        <v>168</v>
      </c>
      <c r="L51" s="17">
        <f>SUMIFS('All Sales csv'!$F:$F,'All Sales csv'!$A:$A,'Branch View'!$A51,'All Sales csv'!$B:$B,'Branch View'!$B51,'All Sales csv'!$D:$D,'Branch View'!$I$1)</f>
        <v>177690.65</v>
      </c>
      <c r="M51" s="16">
        <f>SUMIFS('Cancels csv'!E:E,'Cancels csv'!A:A,'Branch View'!A51,'Cancels csv'!B:B,'Branch View'!B51,'Cancels csv'!D:D,'Branch View'!$I$1)</f>
        <v>329</v>
      </c>
      <c r="N51" s="17">
        <f>SUMIFS('Cancels csv'!F:F,'Cancels csv'!A:A,'Branch View'!A51,'Cancels csv'!B:B,'Branch View'!B51,'Cancels csv'!D:D,'Branch View'!$I$1)</f>
        <v>287362.64</v>
      </c>
      <c r="O51" s="22">
        <f t="shared" si="4"/>
        <v>0.51063829787234039</v>
      </c>
      <c r="P51" s="27">
        <f t="shared" si="5"/>
        <v>0.6183498662178214</v>
      </c>
    </row>
    <row r="52" spans="1:16" x14ac:dyDescent="0.3">
      <c r="A52" s="32">
        <v>2025</v>
      </c>
      <c r="B52" s="33">
        <v>11</v>
      </c>
      <c r="C52" s="34" t="s">
        <v>47</v>
      </c>
      <c r="D52" s="16">
        <f>SUMIFS('Sales csv'!E:E,'Sales csv'!A:A,'Branch View'!A52,'Sales csv'!B:B,'Branch View'!B52,'Sales csv'!D:D,'Branch View'!$I$1)</f>
        <v>28</v>
      </c>
      <c r="E52" s="17">
        <f>SUMIFS('Sales csv'!F:F,'Sales csv'!A:A,'Branch View'!A52,'Sales csv'!B:B,'Branch View'!B52,'Sales csv'!D:D,'Branch View'!$I$1)</f>
        <v>24873</v>
      </c>
      <c r="F52" s="16">
        <f>SUMIFS('IM Cancels csv'!$E:$E,'IM Cancels csv'!$A:$A,'Branch View'!$A52,'IM Cancels csv'!$B:$B,'Branch View'!$B52,'IM Cancels csv'!$D:$D,'Branch View'!$I$1)</f>
        <v>39</v>
      </c>
      <c r="G52" s="17">
        <f>SUMIFS('IM Cancels csv'!$F:$F,'IM Cancels csv'!$A:$A,'Branch View'!$A52,'IM Cancels csv'!$B:$B,'Branch View'!$B52,'IM Cancels csv'!$D:$D,'Branch View'!$I$1)</f>
        <v>35117.879999999997</v>
      </c>
      <c r="H52" s="22">
        <f t="shared" si="9"/>
        <v>0.71794871794871795</v>
      </c>
      <c r="I52" s="23">
        <f t="shared" si="10"/>
        <v>0.70827168382601691</v>
      </c>
      <c r="J52" s="12"/>
      <c r="K52" s="16">
        <f>SUMIFS('All Sales csv'!$E:$E,'All Sales csv'!$A:$A,'Branch View'!$A52,'All Sales csv'!$B:$B,'Branch View'!$B52,'All Sales csv'!$D:$D,'Branch View'!$I$1)</f>
        <v>101</v>
      </c>
      <c r="L52" s="17">
        <f>SUMIFS('All Sales csv'!$F:$F,'All Sales csv'!$A:$A,'Branch View'!$A52,'All Sales csv'!$B:$B,'Branch View'!$B52,'All Sales csv'!$D:$D,'Branch View'!$I$1)</f>
        <v>116701</v>
      </c>
      <c r="M52" s="16">
        <f>SUMIFS('Cancels csv'!E:E,'Cancels csv'!A:A,'Branch View'!A52,'Cancels csv'!B:B,'Branch View'!B52,'Cancels csv'!D:D,'Branch View'!$I$1)</f>
        <v>263</v>
      </c>
      <c r="N52" s="17">
        <f>SUMIFS('Cancels csv'!F:F,'Cancels csv'!A:A,'Branch View'!A52,'Cancels csv'!B:B,'Branch View'!B52,'Cancels csv'!D:D,'Branch View'!$I$1)</f>
        <v>245568.88</v>
      </c>
      <c r="O52" s="22">
        <f t="shared" si="4"/>
        <v>0.38403041825095058</v>
      </c>
      <c r="P52" s="27">
        <f t="shared" si="5"/>
        <v>0.4752271541898957</v>
      </c>
    </row>
    <row r="53" spans="1:16" ht="15" thickBot="1" x14ac:dyDescent="0.35">
      <c r="A53" s="35">
        <v>2025</v>
      </c>
      <c r="B53" s="36">
        <v>12</v>
      </c>
      <c r="C53" s="37" t="s">
        <v>48</v>
      </c>
      <c r="D53" s="18">
        <f>SUMIFS('Sales csv'!E:E,'Sales csv'!A:A,'Branch View'!A53,'Sales csv'!B:B,'Branch View'!B53,'Sales csv'!D:D,'Branch View'!$I$1)</f>
        <v>15</v>
      </c>
      <c r="E53" s="19">
        <f>SUMIFS('Sales csv'!F:F,'Sales csv'!A:A,'Branch View'!A53,'Sales csv'!B:B,'Branch View'!B53,'Sales csv'!D:D,'Branch View'!$I$1)</f>
        <v>35258</v>
      </c>
      <c r="F53" s="18">
        <f>SUMIFS('IM Cancels csv'!$E:$E,'IM Cancels csv'!$A:$A,'Branch View'!$A53,'IM Cancels csv'!$B:$B,'Branch View'!$B53,'IM Cancels csv'!$D:$D,'Branch View'!$I$1)</f>
        <v>38</v>
      </c>
      <c r="G53" s="19">
        <f>SUMIFS('IM Cancels csv'!$F:$F,'IM Cancels csv'!$A:$A,'Branch View'!$A53,'IM Cancels csv'!$B:$B,'Branch View'!$B53,'IM Cancels csv'!$D:$D,'Branch View'!$I$1)</f>
        <v>36731.410000000003</v>
      </c>
      <c r="H53" s="24">
        <f t="shared" si="9"/>
        <v>0.39473684210526316</v>
      </c>
      <c r="I53" s="25">
        <f t="shared" si="10"/>
        <v>0.95988691966902429</v>
      </c>
      <c r="J53" s="13"/>
      <c r="K53" s="18">
        <f>SUMIFS('All Sales csv'!$E:$E,'All Sales csv'!$A:$A,'Branch View'!$A53,'All Sales csv'!$B:$B,'Branch View'!$B53,'All Sales csv'!$D:$D,'Branch View'!$I$1)</f>
        <v>51</v>
      </c>
      <c r="L53" s="19">
        <f>SUMIFS('All Sales csv'!$F:$F,'All Sales csv'!$A:$A,'Branch View'!$A53,'All Sales csv'!$B:$B,'Branch View'!$B53,'All Sales csv'!$D:$D,'Branch View'!$I$1)</f>
        <v>77855.679999999993</v>
      </c>
      <c r="M53" s="18">
        <f>SUMIFS('Cancels csv'!E:E,'Cancels csv'!A:A,'Branch View'!A53,'Cancels csv'!B:B,'Branch View'!B53,'Cancels csv'!D:D,'Branch View'!$I$1)</f>
        <v>288</v>
      </c>
      <c r="N53" s="19">
        <f>SUMIFS('Cancels csv'!F:F,'Cancels csv'!A:A,'Branch View'!A53,'Cancels csv'!B:B,'Branch View'!B53,'Cancels csv'!D:D,'Branch View'!$I$1)</f>
        <v>267033.06</v>
      </c>
      <c r="O53" s="24">
        <f t="shared" si="4"/>
        <v>0.17708333333333334</v>
      </c>
      <c r="P53" s="28">
        <f t="shared" si="5"/>
        <v>0.29155820631348039</v>
      </c>
    </row>
    <row r="54" spans="1:16" ht="15" thickBot="1" x14ac:dyDescent="0.35">
      <c r="A54" s="38">
        <v>2025</v>
      </c>
      <c r="B54" s="39" t="s">
        <v>79</v>
      </c>
      <c r="C54" s="40"/>
      <c r="D54" s="41">
        <f t="shared" ref="D54:G54" si="13">SUM(D42:D53)</f>
        <v>545</v>
      </c>
      <c r="E54" s="42">
        <f t="shared" si="13"/>
        <v>485858.44</v>
      </c>
      <c r="F54" s="41">
        <f t="shared" si="13"/>
        <v>463</v>
      </c>
      <c r="G54" s="42">
        <f t="shared" si="13"/>
        <v>397140.41000000003</v>
      </c>
      <c r="H54" s="43">
        <f t="shared" si="9"/>
        <v>1.1771058315334773</v>
      </c>
      <c r="I54" s="44">
        <f t="shared" si="10"/>
        <v>1.2233920995347716</v>
      </c>
      <c r="J54" s="45"/>
      <c r="K54" s="61">
        <f t="shared" ref="K54:N54" si="14">SUM(K42:K53)</f>
        <v>5606</v>
      </c>
      <c r="L54" s="59">
        <f t="shared" si="14"/>
        <v>4890642.07</v>
      </c>
      <c r="M54" s="41">
        <f t="shared" si="14"/>
        <v>3353</v>
      </c>
      <c r="N54" s="42">
        <f t="shared" si="14"/>
        <v>2947281.7399999998</v>
      </c>
      <c r="O54" s="43">
        <f t="shared" si="4"/>
        <v>1.6719355800775424</v>
      </c>
      <c r="P54" s="46">
        <f t="shared" si="5"/>
        <v>1.6593737896262339</v>
      </c>
    </row>
    <row r="55" spans="1:16" x14ac:dyDescent="0.3">
      <c r="A55" s="29">
        <v>2026</v>
      </c>
      <c r="B55" s="30">
        <v>1</v>
      </c>
      <c r="C55" s="31" t="s">
        <v>6</v>
      </c>
      <c r="D55" s="14">
        <f>SUMIFS('Sales csv'!$E:$E,'Sales csv'!$A:$A,'Branch View'!$A55,'Sales csv'!$B:$B,'Branch View'!$B55,'Sales csv'!$D:$D,'Branch View'!$I$1)</f>
        <v>30</v>
      </c>
      <c r="E55" s="15">
        <f>SUMIFS('Sales csv'!$F:$F,'Sales csv'!$A:$A,'Branch View'!$A55,'Sales csv'!$B:$B,'Branch View'!$B55,'Sales csv'!$D:$D,'Branch View'!$I$1)</f>
        <v>28044.49</v>
      </c>
      <c r="F55" s="14">
        <f>SUMIFS('IM Cancels csv'!$E:$E,'IM Cancels csv'!$A:$A,'Branch View'!$A55,'IM Cancels csv'!$B:$B,'Branch View'!$B55,'IM Cancels csv'!$D:$D,'Branch View'!$I$1)</f>
        <v>40</v>
      </c>
      <c r="G55" s="15">
        <f>SUMIFS('IM Cancels csv'!$F:$F,'IM Cancels csv'!$A:$A,'Branch View'!$A55,'IM Cancels csv'!$B:$B,'Branch View'!$B55,'IM Cancels csv'!$D:$D,'Branch View'!$I$1)</f>
        <v>38473.9</v>
      </c>
      <c r="H55" s="20">
        <f t="shared" si="9"/>
        <v>0.75</v>
      </c>
      <c r="I55" s="21">
        <f t="shared" si="10"/>
        <v>0.72892246431996754</v>
      </c>
      <c r="J55" s="11"/>
      <c r="K55" s="14">
        <f>SUMIFS('All Sales csv'!$E:$E,'All Sales csv'!$A:$A,'Branch View'!$A55,'All Sales csv'!$B:$B,'Branch View'!$B55,'All Sales csv'!$D:$D,'Branch View'!$I$1)</f>
        <v>71</v>
      </c>
      <c r="L55" s="15">
        <f>SUMIFS('All Sales csv'!$F:$F,'All Sales csv'!$A:$A,'Branch View'!$A55,'All Sales csv'!$B:$B,'Branch View'!$B55,'All Sales csv'!$D:$D,'Branch View'!$I$1)</f>
        <v>67996.45</v>
      </c>
      <c r="M55" s="14">
        <f>SUMIFS('Cancels csv'!E:E,'Cancels csv'!A:A,'Branch View'!A55,'Cancels csv'!B:B,'Branch View'!B55,'Cancels csv'!D:D,'Branch View'!$I$1)</f>
        <v>215</v>
      </c>
      <c r="N55" s="15">
        <f>SUMIFS('Cancels csv'!F:F,'Cancels csv'!A:A,'Branch View'!A55,'Cancels csv'!B:B,'Branch View'!B55,'Cancels csv'!D:D,'Branch View'!$I$1)</f>
        <v>190053.65</v>
      </c>
      <c r="O55" s="20">
        <f t="shared" si="4"/>
        <v>0.33023255813953489</v>
      </c>
      <c r="P55" s="26">
        <f t="shared" si="5"/>
        <v>0.35777502826175661</v>
      </c>
    </row>
    <row r="56" spans="1:16" x14ac:dyDescent="0.3">
      <c r="A56" s="32">
        <v>2026</v>
      </c>
      <c r="B56" s="33">
        <v>2</v>
      </c>
      <c r="C56" s="34" t="s">
        <v>38</v>
      </c>
      <c r="D56" s="16">
        <f>SUMIFS('Sales csv'!E:E,'Sales csv'!A:A,'Branch View'!A56,'Sales csv'!B:B,'Branch View'!B56,'Sales csv'!D:D,'Branch View'!$I$1)</f>
        <v>19</v>
      </c>
      <c r="E56" s="17">
        <f>SUMIFS('Sales csv'!F:F,'Sales csv'!A:A,'Branch View'!A56,'Sales csv'!B:B,'Branch View'!B56,'Sales csv'!D:D,'Branch View'!$I$1)</f>
        <v>30704.13</v>
      </c>
      <c r="F56" s="16">
        <f>SUMIFS('IM Cancels csv'!$E:$E,'IM Cancels csv'!$A:$A,'Branch View'!$A56,'IM Cancels csv'!$B:$B,'Branch View'!$B56,'IM Cancels csv'!$D:$D,'Branch View'!$I$1)</f>
        <v>35</v>
      </c>
      <c r="G56" s="17">
        <f>SUMIFS('IM Cancels csv'!$F:$F,'IM Cancels csv'!$A:$A,'Branch View'!$A56,'IM Cancels csv'!$B:$B,'Branch View'!$B56,'IM Cancels csv'!$D:$D,'Branch View'!$I$1)</f>
        <v>45206.98</v>
      </c>
      <c r="H56" s="22">
        <f t="shared" si="9"/>
        <v>0.54285714285714282</v>
      </c>
      <c r="I56" s="23">
        <f t="shared" si="10"/>
        <v>0.67919002773465509</v>
      </c>
      <c r="J56" s="12"/>
      <c r="K56" s="16">
        <f>SUMIFS('All Sales csv'!$E:$E,'All Sales csv'!$A:$A,'Branch View'!$A56,'All Sales csv'!$B:$B,'Branch View'!$B56,'All Sales csv'!$D:$D,'Branch View'!$I$1)</f>
        <v>48</v>
      </c>
      <c r="L56" s="17">
        <f>SUMIFS('All Sales csv'!$F:$F,'All Sales csv'!$A:$A,'Branch View'!$A56,'All Sales csv'!$B:$B,'Branch View'!$B56,'All Sales csv'!$D:$D,'Branch View'!$I$1)</f>
        <v>66562.13</v>
      </c>
      <c r="M56" s="16">
        <f>SUMIFS('Cancels csv'!E:E,'Cancels csv'!A:A,'Branch View'!A56,'Cancels csv'!B:B,'Branch View'!B56,'Cancels csv'!D:D,'Branch View'!$I$1)</f>
        <v>171</v>
      </c>
      <c r="N56" s="17">
        <f>SUMIFS('Cancels csv'!F:F,'Cancels csv'!A:A,'Branch View'!A56,'Cancels csv'!B:B,'Branch View'!B56,'Cancels csv'!D:D,'Branch View'!$I$1)</f>
        <v>172706.59</v>
      </c>
      <c r="O56" s="22">
        <f t="shared" si="4"/>
        <v>0.2807017543859649</v>
      </c>
      <c r="P56" s="27">
        <f t="shared" si="5"/>
        <v>0.38540584930777688</v>
      </c>
    </row>
    <row r="57" spans="1:16" x14ac:dyDescent="0.3">
      <c r="A57" s="32">
        <v>2026</v>
      </c>
      <c r="B57" s="33">
        <v>3</v>
      </c>
      <c r="C57" s="34" t="s">
        <v>39</v>
      </c>
      <c r="D57" s="16">
        <f>SUMIFS('Sales csv'!E:E,'Sales csv'!A:A,'Branch View'!A57,'Sales csv'!B:B,'Branch View'!B57,'Sales csv'!D:D,'Branch View'!$I$1)</f>
        <v>38</v>
      </c>
      <c r="E57" s="17">
        <f>SUMIFS('Sales csv'!F:F,'Sales csv'!A:A,'Branch View'!A57,'Sales csv'!B:B,'Branch View'!B57,'Sales csv'!D:D,'Branch View'!$I$1)</f>
        <v>41418.129999999997</v>
      </c>
      <c r="F57" s="16">
        <f>SUMIFS('IM Cancels csv'!$E:$E,'IM Cancels csv'!$A:$A,'Branch View'!$A57,'IM Cancels csv'!$B:$B,'Branch View'!$B57,'IM Cancels csv'!$D:$D,'Branch View'!$I$1)</f>
        <v>32</v>
      </c>
      <c r="G57" s="17">
        <f>SUMIFS('IM Cancels csv'!$F:$F,'IM Cancels csv'!$A:$A,'Branch View'!$A57,'IM Cancels csv'!$B:$B,'Branch View'!$B57,'IM Cancels csv'!$D:$D,'Branch View'!$I$1)</f>
        <v>31242.81</v>
      </c>
      <c r="H57" s="22">
        <f t="shared" si="9"/>
        <v>1.1875</v>
      </c>
      <c r="I57" s="23">
        <f t="shared" si="10"/>
        <v>1.3256851736447521</v>
      </c>
      <c r="J57" s="12"/>
      <c r="K57" s="16">
        <f>SUMIFS('All Sales csv'!$E:$E,'All Sales csv'!$A:$A,'Branch View'!$A57,'All Sales csv'!$B:$B,'Branch View'!$B57,'All Sales csv'!$D:$D,'Branch View'!$I$1)</f>
        <v>97</v>
      </c>
      <c r="L57" s="17">
        <f>SUMIFS('All Sales csv'!$F:$F,'All Sales csv'!$A:$A,'Branch View'!$A57,'All Sales csv'!$B:$B,'Branch View'!$B57,'All Sales csv'!$D:$D,'Branch View'!$I$1)</f>
        <v>98589.1</v>
      </c>
      <c r="M57" s="16">
        <f>SUMIFS('Cancels csv'!E:E,'Cancels csv'!A:A,'Branch View'!A57,'Cancels csv'!B:B,'Branch View'!B57,'Cancels csv'!D:D,'Branch View'!$I$1)</f>
        <v>241</v>
      </c>
      <c r="N57" s="17">
        <f>SUMIFS('Cancels csv'!F:F,'Cancels csv'!A:A,'Branch View'!A57,'Cancels csv'!B:B,'Branch View'!B57,'Cancels csv'!D:D,'Branch View'!$I$1)</f>
        <v>225930.64</v>
      </c>
      <c r="O57" s="22">
        <f t="shared" si="4"/>
        <v>0.40248962655601661</v>
      </c>
      <c r="P57" s="27">
        <f t="shared" si="5"/>
        <v>0.43636887851953149</v>
      </c>
    </row>
    <row r="58" spans="1:16" x14ac:dyDescent="0.3">
      <c r="A58" s="32">
        <v>2026</v>
      </c>
      <c r="B58" s="33">
        <v>4</v>
      </c>
      <c r="C58" s="34" t="s">
        <v>40</v>
      </c>
      <c r="D58" s="16">
        <f>SUMIFS('Sales csv'!E:E,'Sales csv'!A:A,'Branch View'!A58,'Sales csv'!B:B,'Branch View'!B58,'Sales csv'!D:D,'Branch View'!$I$1)</f>
        <v>66</v>
      </c>
      <c r="E58" s="17">
        <f>SUMIFS('Sales csv'!F:F,'Sales csv'!A:A,'Branch View'!A58,'Sales csv'!B:B,'Branch View'!B58,'Sales csv'!D:D,'Branch View'!$I$1)</f>
        <v>59378</v>
      </c>
      <c r="F58" s="16">
        <f>SUMIFS('IM Cancels csv'!$E:$E,'IM Cancels csv'!$A:$A,'Branch View'!$A58,'IM Cancels csv'!$B:$B,'Branch View'!$B58,'IM Cancels csv'!$D:$D,'Branch View'!$I$1)</f>
        <v>30</v>
      </c>
      <c r="G58" s="17">
        <f>SUMIFS('IM Cancels csv'!$F:$F,'IM Cancels csv'!$A:$A,'Branch View'!$A58,'IM Cancels csv'!$B:$B,'Branch View'!$B58,'IM Cancels csv'!$D:$D,'Branch View'!$I$1)</f>
        <v>28174.35</v>
      </c>
      <c r="H58" s="22">
        <f t="shared" si="9"/>
        <v>2.2000000000000002</v>
      </c>
      <c r="I58" s="23">
        <f t="shared" si="10"/>
        <v>2.1075197830650931</v>
      </c>
      <c r="J58" s="12"/>
      <c r="K58" s="16">
        <f>SUMIFS('All Sales csv'!$E:$E,'All Sales csv'!$A:$A,'Branch View'!$A58,'All Sales csv'!$B:$B,'Branch View'!$B58,'All Sales csv'!$D:$D,'Branch View'!$I$1)</f>
        <v>438</v>
      </c>
      <c r="L58" s="17">
        <f>SUMIFS('All Sales csv'!$F:$F,'All Sales csv'!$A:$A,'Branch View'!$A58,'All Sales csv'!$B:$B,'Branch View'!$B58,'All Sales csv'!$D:$D,'Branch View'!$I$1)</f>
        <v>415791.49</v>
      </c>
      <c r="M58" s="16">
        <f>SUMIFS('Cancels csv'!E:E,'Cancels csv'!A:A,'Branch View'!A58,'Cancels csv'!B:B,'Branch View'!B58,'Cancels csv'!D:D,'Branch View'!$I$1)</f>
        <v>245</v>
      </c>
      <c r="N58" s="17">
        <f>SUMIFS('Cancels csv'!F:F,'Cancels csv'!A:A,'Branch View'!A58,'Cancels csv'!B:B,'Branch View'!B58,'Cancels csv'!D:D,'Branch View'!$I$1)</f>
        <v>224838.91</v>
      </c>
      <c r="O58" s="22">
        <f t="shared" si="4"/>
        <v>1.7877551020408162</v>
      </c>
      <c r="P58" s="27">
        <f t="shared" si="5"/>
        <v>1.8492861844953794</v>
      </c>
    </row>
    <row r="59" spans="1:16" x14ac:dyDescent="0.3">
      <c r="A59" s="32">
        <v>2026</v>
      </c>
      <c r="B59" s="33">
        <v>5</v>
      </c>
      <c r="C59" s="34" t="s">
        <v>41</v>
      </c>
      <c r="D59" s="16">
        <f>SUMIFS('Sales csv'!E:E,'Sales csv'!A:A,'Branch View'!A59,'Sales csv'!B:B,'Branch View'!B59,'Sales csv'!D:D,'Branch View'!$I$1)</f>
        <v>4</v>
      </c>
      <c r="E59" s="17">
        <f>SUMIFS('Sales csv'!F:F,'Sales csv'!A:A,'Branch View'!A59,'Sales csv'!B:B,'Branch View'!B59,'Sales csv'!D:D,'Branch View'!$I$1)</f>
        <v>1933</v>
      </c>
      <c r="F59" s="16">
        <f>SUMIFS('IM Cancels csv'!$E:$E,'IM Cancels csv'!$A:$A,'Branch View'!$A59,'IM Cancels csv'!$B:$B,'Branch View'!$B59,'IM Cancels csv'!$D:$D,'Branch View'!$I$1)</f>
        <v>8</v>
      </c>
      <c r="G59" s="17">
        <f>SUMIFS('IM Cancels csv'!$F:$F,'IM Cancels csv'!$A:$A,'Branch View'!$A59,'IM Cancels csv'!$B:$B,'Branch View'!$B59,'IM Cancels csv'!$D:$D,'Branch View'!$I$1)</f>
        <v>7515.75</v>
      </c>
      <c r="H59" s="22">
        <f t="shared" si="9"/>
        <v>0.5</v>
      </c>
      <c r="I59" s="23">
        <f t="shared" si="10"/>
        <v>0.25719322755546686</v>
      </c>
      <c r="J59" s="12"/>
      <c r="K59" s="16">
        <f>SUMIFS('All Sales csv'!$E:$E,'All Sales csv'!$A:$A,'Branch View'!$A59,'All Sales csv'!$B:$B,'Branch View'!$B59,'All Sales csv'!$D:$D,'Branch View'!$I$1)</f>
        <v>88</v>
      </c>
      <c r="L59" s="17">
        <f>SUMIFS('All Sales csv'!$F:$F,'All Sales csv'!$A:$A,'Branch View'!$A59,'All Sales csv'!$B:$B,'Branch View'!$B59,'All Sales csv'!$D:$D,'Branch View'!$I$1)</f>
        <v>67631.679999999993</v>
      </c>
      <c r="M59" s="16">
        <f>SUMIFS('Cancels csv'!E:E,'Cancels csv'!A:A,'Branch View'!A59,'Cancels csv'!B:B,'Branch View'!B59,'Cancels csv'!D:D,'Branch View'!$I$1)</f>
        <v>98</v>
      </c>
      <c r="N59" s="17">
        <f>SUMIFS('Cancels csv'!F:F,'Cancels csv'!A:A,'Branch View'!A59,'Cancels csv'!B:B,'Branch View'!B59,'Cancels csv'!D:D,'Branch View'!$I$1)</f>
        <v>84319.34</v>
      </c>
      <c r="O59" s="22">
        <f t="shared" si="4"/>
        <v>0.89795918367346939</v>
      </c>
      <c r="P59" s="27">
        <f t="shared" si="5"/>
        <v>0.8020897696779884</v>
      </c>
    </row>
    <row r="60" spans="1:16" x14ac:dyDescent="0.3">
      <c r="A60" s="32">
        <v>2026</v>
      </c>
      <c r="B60" s="33">
        <v>6</v>
      </c>
      <c r="C60" s="34" t="s">
        <v>42</v>
      </c>
      <c r="D60" s="16">
        <f>SUMIFS('Sales csv'!E:E,'Sales csv'!A:A,'Branch View'!A60,'Sales csv'!B:B,'Branch View'!B60,'Sales csv'!D:D,'Branch View'!$I$1)</f>
        <v>0</v>
      </c>
      <c r="E60" s="17">
        <f>SUMIFS('Sales csv'!F:F,'Sales csv'!A:A,'Branch View'!A60,'Sales csv'!B:B,'Branch View'!B60,'Sales csv'!D:D,'Branch View'!$I$1)</f>
        <v>0</v>
      </c>
      <c r="F60" s="16">
        <f>SUMIFS('IM Cancels csv'!$E:$E,'IM Cancels csv'!$A:$A,'Branch View'!$A60,'IM Cancels csv'!$B:$B,'Branch View'!$B60,'IM Cancels csv'!$D:$D,'Branch View'!$I$1)</f>
        <v>0</v>
      </c>
      <c r="G60" s="17">
        <f>SUMIFS('IM Cancels csv'!$F:$F,'IM Cancels csv'!$A:$A,'Branch View'!$A60,'IM Cancels csv'!$B:$B,'Branch View'!$B60,'IM Cancels csv'!$D:$D,'Branch View'!$I$1)</f>
        <v>0</v>
      </c>
      <c r="H60" s="22" t="e">
        <f t="shared" si="9"/>
        <v>#DIV/0!</v>
      </c>
      <c r="I60" s="23" t="e">
        <f t="shared" si="10"/>
        <v>#DIV/0!</v>
      </c>
      <c r="J60" s="12"/>
      <c r="K60" s="16">
        <f>SUMIFS('All Sales csv'!$E:$E,'All Sales csv'!$A:$A,'Branch View'!$A60,'All Sales csv'!$B:$B,'Branch View'!$B60,'All Sales csv'!$D:$D,'Branch View'!$I$1)</f>
        <v>0</v>
      </c>
      <c r="L60" s="17">
        <f>SUMIFS('All Sales csv'!$F:$F,'All Sales csv'!$A:$A,'Branch View'!$A60,'All Sales csv'!$B:$B,'Branch View'!$B60,'All Sales csv'!$D:$D,'Branch View'!$I$1)</f>
        <v>0</v>
      </c>
      <c r="M60" s="16">
        <f>SUMIFS('Cancels csv'!E:E,'Cancels csv'!A:A,'Branch View'!A60,'Cancels csv'!B:B,'Branch View'!B60,'Cancels csv'!D:D,'Branch View'!$I$1)</f>
        <v>0</v>
      </c>
      <c r="N60" s="17">
        <f>SUMIFS('Cancels csv'!F:F,'Cancels csv'!A:A,'Branch View'!A60,'Cancels csv'!B:B,'Branch View'!B60,'Cancels csv'!D:D,'Branch View'!$I$1)</f>
        <v>0</v>
      </c>
      <c r="O60" s="22" t="e">
        <f t="shared" si="4"/>
        <v>#DIV/0!</v>
      </c>
      <c r="P60" s="27" t="e">
        <f t="shared" si="5"/>
        <v>#DIV/0!</v>
      </c>
    </row>
    <row r="61" spans="1:16" x14ac:dyDescent="0.3">
      <c r="A61" s="32">
        <v>2026</v>
      </c>
      <c r="B61" s="33">
        <v>7</v>
      </c>
      <c r="C61" s="34" t="s">
        <v>43</v>
      </c>
      <c r="D61" s="16">
        <f>SUMIFS('Sales csv'!E:E,'Sales csv'!A:A,'Branch View'!A61,'Sales csv'!B:B,'Branch View'!B61,'Sales csv'!D:D,'Branch View'!$I$1)</f>
        <v>0</v>
      </c>
      <c r="E61" s="17">
        <f>SUMIFS('Sales csv'!F:F,'Sales csv'!A:A,'Branch View'!A61,'Sales csv'!B:B,'Branch View'!B61,'Sales csv'!D:D,'Branch View'!$I$1)</f>
        <v>0</v>
      </c>
      <c r="F61" s="16">
        <f>SUMIFS('IM Cancels csv'!$E:$E,'IM Cancels csv'!$A:$A,'Branch View'!$A61,'IM Cancels csv'!$B:$B,'Branch View'!$B61,'IM Cancels csv'!$D:$D,'Branch View'!$I$1)</f>
        <v>0</v>
      </c>
      <c r="G61" s="17">
        <f>SUMIFS('IM Cancels csv'!$F:$F,'IM Cancels csv'!$A:$A,'Branch View'!$A61,'IM Cancels csv'!$B:$B,'Branch View'!$B61,'IM Cancels csv'!$D:$D,'Branch View'!$I$1)</f>
        <v>0</v>
      </c>
      <c r="H61" s="22" t="e">
        <f t="shared" si="9"/>
        <v>#DIV/0!</v>
      </c>
      <c r="I61" s="23" t="e">
        <f t="shared" si="10"/>
        <v>#DIV/0!</v>
      </c>
      <c r="J61" s="12"/>
      <c r="K61" s="16">
        <f>SUMIFS('All Sales csv'!$E:$E,'All Sales csv'!$A:$A,'Branch View'!$A61,'All Sales csv'!$B:$B,'Branch View'!$B61,'All Sales csv'!$D:$D,'Branch View'!$I$1)</f>
        <v>0</v>
      </c>
      <c r="L61" s="17">
        <f>SUMIFS('All Sales csv'!$F:$F,'All Sales csv'!$A:$A,'Branch View'!$A61,'All Sales csv'!$B:$B,'Branch View'!$B61,'All Sales csv'!$D:$D,'Branch View'!$I$1)</f>
        <v>0</v>
      </c>
      <c r="M61" s="16">
        <f>SUMIFS('Cancels csv'!E:E,'Cancels csv'!A:A,'Branch View'!A61,'Cancels csv'!B:B,'Branch View'!B61,'Cancels csv'!D:D,'Branch View'!$I$1)</f>
        <v>0</v>
      </c>
      <c r="N61" s="17">
        <f>SUMIFS('Cancels csv'!F:F,'Cancels csv'!A:A,'Branch View'!A61,'Cancels csv'!B:B,'Branch View'!B61,'Cancels csv'!D:D,'Branch View'!$I$1)</f>
        <v>0</v>
      </c>
      <c r="O61" s="22" t="e">
        <f t="shared" si="4"/>
        <v>#DIV/0!</v>
      </c>
      <c r="P61" s="27" t="e">
        <f t="shared" si="5"/>
        <v>#DIV/0!</v>
      </c>
    </row>
    <row r="62" spans="1:16" x14ac:dyDescent="0.3">
      <c r="A62" s="32">
        <v>2026</v>
      </c>
      <c r="B62" s="33">
        <v>8</v>
      </c>
      <c r="C62" s="34" t="s">
        <v>44</v>
      </c>
      <c r="D62" s="16">
        <f>SUMIFS('Sales csv'!E:E,'Sales csv'!A:A,'Branch View'!A62,'Sales csv'!B:B,'Branch View'!B62,'Sales csv'!D:D,'Branch View'!$I$1)</f>
        <v>0</v>
      </c>
      <c r="E62" s="17">
        <f>SUMIFS('Sales csv'!F:F,'Sales csv'!A:A,'Branch View'!A62,'Sales csv'!B:B,'Branch View'!B62,'Sales csv'!D:D,'Branch View'!$I$1)</f>
        <v>0</v>
      </c>
      <c r="F62" s="16">
        <f>SUMIFS('IM Cancels csv'!$E:$E,'IM Cancels csv'!$A:$A,'Branch View'!$A62,'IM Cancels csv'!$B:$B,'Branch View'!$B62,'IM Cancels csv'!$D:$D,'Branch View'!$I$1)</f>
        <v>0</v>
      </c>
      <c r="G62" s="17">
        <f>SUMIFS('IM Cancels csv'!$F:$F,'IM Cancels csv'!$A:$A,'Branch View'!$A62,'IM Cancels csv'!$B:$B,'Branch View'!$B62,'IM Cancels csv'!$D:$D,'Branch View'!$I$1)</f>
        <v>0</v>
      </c>
      <c r="H62" s="22" t="e">
        <f t="shared" si="9"/>
        <v>#DIV/0!</v>
      </c>
      <c r="I62" s="23" t="e">
        <f t="shared" si="10"/>
        <v>#DIV/0!</v>
      </c>
      <c r="J62" s="12"/>
      <c r="K62" s="16">
        <f>SUMIFS('All Sales csv'!$E:$E,'All Sales csv'!$A:$A,'Branch View'!$A62,'All Sales csv'!$B:$B,'Branch View'!$B62,'All Sales csv'!$D:$D,'Branch View'!$I$1)</f>
        <v>0</v>
      </c>
      <c r="L62" s="17">
        <f>SUMIFS('All Sales csv'!$F:$F,'All Sales csv'!$A:$A,'Branch View'!$A62,'All Sales csv'!$B:$B,'Branch View'!$B62,'All Sales csv'!$D:$D,'Branch View'!$I$1)</f>
        <v>0</v>
      </c>
      <c r="M62" s="16">
        <f>SUMIFS('Cancels csv'!E:E,'Cancels csv'!A:A,'Branch View'!A62,'Cancels csv'!B:B,'Branch View'!B62,'Cancels csv'!D:D,'Branch View'!$I$1)</f>
        <v>0</v>
      </c>
      <c r="N62" s="17">
        <f>SUMIFS('Cancels csv'!F:F,'Cancels csv'!A:A,'Branch View'!A62,'Cancels csv'!B:B,'Branch View'!B62,'Cancels csv'!D:D,'Branch View'!$I$1)</f>
        <v>0</v>
      </c>
      <c r="O62" s="22" t="e">
        <f t="shared" si="4"/>
        <v>#DIV/0!</v>
      </c>
      <c r="P62" s="27" t="e">
        <f t="shared" si="5"/>
        <v>#DIV/0!</v>
      </c>
    </row>
    <row r="63" spans="1:16" x14ac:dyDescent="0.3">
      <c r="A63" s="32">
        <v>2026</v>
      </c>
      <c r="B63" s="33">
        <v>9</v>
      </c>
      <c r="C63" s="34" t="s">
        <v>45</v>
      </c>
      <c r="D63" s="16">
        <f>SUMIFS('Sales csv'!E:E,'Sales csv'!A:A,'Branch View'!A63,'Sales csv'!B:B,'Branch View'!B63,'Sales csv'!D:D,'Branch View'!$I$1)</f>
        <v>0</v>
      </c>
      <c r="E63" s="17">
        <f>SUMIFS('Sales csv'!F:F,'Sales csv'!A:A,'Branch View'!A63,'Sales csv'!B:B,'Branch View'!B63,'Sales csv'!D:D,'Branch View'!$I$1)</f>
        <v>0</v>
      </c>
      <c r="F63" s="16">
        <f>SUMIFS('IM Cancels csv'!$E:$E,'IM Cancels csv'!$A:$A,'Branch View'!$A63,'IM Cancels csv'!$B:$B,'Branch View'!$B63,'IM Cancels csv'!$D:$D,'Branch View'!$I$1)</f>
        <v>0</v>
      </c>
      <c r="G63" s="17">
        <f>SUMIFS('IM Cancels csv'!$F:$F,'IM Cancels csv'!$A:$A,'Branch View'!$A63,'IM Cancels csv'!$B:$B,'Branch View'!$B63,'IM Cancels csv'!$D:$D,'Branch View'!$I$1)</f>
        <v>0</v>
      </c>
      <c r="H63" s="22" t="e">
        <f t="shared" si="9"/>
        <v>#DIV/0!</v>
      </c>
      <c r="I63" s="23" t="e">
        <f t="shared" si="10"/>
        <v>#DIV/0!</v>
      </c>
      <c r="J63" s="12"/>
      <c r="K63" s="16">
        <f>SUMIFS('All Sales csv'!$E:$E,'All Sales csv'!$A:$A,'Branch View'!$A63,'All Sales csv'!$B:$B,'Branch View'!$B63,'All Sales csv'!$D:$D,'Branch View'!$I$1)</f>
        <v>0</v>
      </c>
      <c r="L63" s="17">
        <f>SUMIFS('All Sales csv'!$F:$F,'All Sales csv'!$A:$A,'Branch View'!$A63,'All Sales csv'!$B:$B,'Branch View'!$B63,'All Sales csv'!$D:$D,'Branch View'!$I$1)</f>
        <v>0</v>
      </c>
      <c r="M63" s="16">
        <f>SUMIFS('Cancels csv'!E:E,'Cancels csv'!A:A,'Branch View'!A63,'Cancels csv'!B:B,'Branch View'!B63,'Cancels csv'!D:D,'Branch View'!$I$1)</f>
        <v>0</v>
      </c>
      <c r="N63" s="17">
        <f>SUMIFS('Cancels csv'!F:F,'Cancels csv'!A:A,'Branch View'!A63,'Cancels csv'!B:B,'Branch View'!B63,'Cancels csv'!D:D,'Branch View'!$I$1)</f>
        <v>0</v>
      </c>
      <c r="O63" s="22" t="e">
        <f t="shared" si="4"/>
        <v>#DIV/0!</v>
      </c>
      <c r="P63" s="27" t="e">
        <f t="shared" si="5"/>
        <v>#DIV/0!</v>
      </c>
    </row>
    <row r="64" spans="1:16" x14ac:dyDescent="0.3">
      <c r="A64" s="32">
        <v>2026</v>
      </c>
      <c r="B64" s="33">
        <v>10</v>
      </c>
      <c r="C64" s="34" t="s">
        <v>46</v>
      </c>
      <c r="D64" s="16">
        <f>SUMIFS('Sales csv'!E:E,'Sales csv'!A:A,'Branch View'!A64,'Sales csv'!B:B,'Branch View'!B64,'Sales csv'!D:D,'Branch View'!$I$1)</f>
        <v>0</v>
      </c>
      <c r="E64" s="17">
        <f>SUMIFS('Sales csv'!F:F,'Sales csv'!A:A,'Branch View'!A64,'Sales csv'!B:B,'Branch View'!B64,'Sales csv'!D:D,'Branch View'!$I$1)</f>
        <v>0</v>
      </c>
      <c r="F64" s="16">
        <f>SUMIFS('IM Cancels csv'!$E:$E,'IM Cancels csv'!$A:$A,'Branch View'!$A64,'IM Cancels csv'!$B:$B,'Branch View'!$B64,'IM Cancels csv'!$D:$D,'Branch View'!$I$1)</f>
        <v>0</v>
      </c>
      <c r="G64" s="17">
        <f>SUMIFS('IM Cancels csv'!$F:$F,'IM Cancels csv'!$A:$A,'Branch View'!$A64,'IM Cancels csv'!$B:$B,'Branch View'!$B64,'IM Cancels csv'!$D:$D,'Branch View'!$I$1)</f>
        <v>0</v>
      </c>
      <c r="H64" s="22" t="e">
        <f t="shared" si="9"/>
        <v>#DIV/0!</v>
      </c>
      <c r="I64" s="23" t="e">
        <f t="shared" si="10"/>
        <v>#DIV/0!</v>
      </c>
      <c r="J64" s="12"/>
      <c r="K64" s="16">
        <f>SUMIFS('All Sales csv'!$E:$E,'All Sales csv'!$A:$A,'Branch View'!$A64,'All Sales csv'!$B:$B,'Branch View'!$B64,'All Sales csv'!$D:$D,'Branch View'!$I$1)</f>
        <v>0</v>
      </c>
      <c r="L64" s="17">
        <f>SUMIFS('All Sales csv'!$F:$F,'All Sales csv'!$A:$A,'Branch View'!$A64,'All Sales csv'!$B:$B,'Branch View'!$B64,'All Sales csv'!$D:$D,'Branch View'!$I$1)</f>
        <v>0</v>
      </c>
      <c r="M64" s="16">
        <f>SUMIFS('Cancels csv'!E:E,'Cancels csv'!A:A,'Branch View'!A64,'Cancels csv'!B:B,'Branch View'!B64,'Cancels csv'!D:D,'Branch View'!$I$1)</f>
        <v>0</v>
      </c>
      <c r="N64" s="17">
        <f>SUMIFS('Cancels csv'!F:F,'Cancels csv'!A:A,'Branch View'!A64,'Cancels csv'!B:B,'Branch View'!B64,'Cancels csv'!D:D,'Branch View'!$I$1)</f>
        <v>0</v>
      </c>
      <c r="O64" s="22" t="e">
        <f t="shared" si="4"/>
        <v>#DIV/0!</v>
      </c>
      <c r="P64" s="27" t="e">
        <f t="shared" si="5"/>
        <v>#DIV/0!</v>
      </c>
    </row>
    <row r="65" spans="1:16" x14ac:dyDescent="0.3">
      <c r="A65" s="32">
        <v>2026</v>
      </c>
      <c r="B65" s="33">
        <v>11</v>
      </c>
      <c r="C65" s="34" t="s">
        <v>47</v>
      </c>
      <c r="D65" s="16">
        <f>SUMIFS('Sales csv'!E:E,'Sales csv'!A:A,'Branch View'!A65,'Sales csv'!B:B,'Branch View'!B65,'Sales csv'!D:D,'Branch View'!$I$1)</f>
        <v>0</v>
      </c>
      <c r="E65" s="17">
        <f>SUMIFS('Sales csv'!F:F,'Sales csv'!A:A,'Branch View'!A65,'Sales csv'!B:B,'Branch View'!B65,'Sales csv'!D:D,'Branch View'!$I$1)</f>
        <v>0</v>
      </c>
      <c r="F65" s="16">
        <f>SUMIFS('IM Cancels csv'!$E:$E,'IM Cancels csv'!$A:$A,'Branch View'!$A65,'IM Cancels csv'!$B:$B,'Branch View'!$B65,'IM Cancels csv'!$D:$D,'Branch View'!$I$1)</f>
        <v>0</v>
      </c>
      <c r="G65" s="17">
        <f>SUMIFS('IM Cancels csv'!$F:$F,'IM Cancels csv'!$A:$A,'Branch View'!$A65,'IM Cancels csv'!$B:$B,'Branch View'!$B65,'IM Cancels csv'!$D:$D,'Branch View'!$I$1)</f>
        <v>0</v>
      </c>
      <c r="H65" s="22" t="e">
        <f t="shared" si="9"/>
        <v>#DIV/0!</v>
      </c>
      <c r="I65" s="23" t="e">
        <f t="shared" si="10"/>
        <v>#DIV/0!</v>
      </c>
      <c r="J65" s="12"/>
      <c r="K65" s="16">
        <f>SUMIFS('All Sales csv'!$E:$E,'All Sales csv'!$A:$A,'Branch View'!$A65,'All Sales csv'!$B:$B,'Branch View'!$B65,'All Sales csv'!$D:$D,'Branch View'!$I$1)</f>
        <v>0</v>
      </c>
      <c r="L65" s="17">
        <f>SUMIFS('All Sales csv'!$F:$F,'All Sales csv'!$A:$A,'Branch View'!$A65,'All Sales csv'!$B:$B,'Branch View'!$B65,'All Sales csv'!$D:$D,'Branch View'!$I$1)</f>
        <v>0</v>
      </c>
      <c r="M65" s="16">
        <f>SUMIFS('Cancels csv'!E:E,'Cancels csv'!A:A,'Branch View'!A65,'Cancels csv'!B:B,'Branch View'!B65,'Cancels csv'!D:D,'Branch View'!$I$1)</f>
        <v>0</v>
      </c>
      <c r="N65" s="17">
        <f>SUMIFS('Cancels csv'!F:F,'Cancels csv'!A:A,'Branch View'!A65,'Cancels csv'!B:B,'Branch View'!B65,'Cancels csv'!D:D,'Branch View'!$I$1)</f>
        <v>0</v>
      </c>
      <c r="O65" s="22" t="e">
        <f t="shared" si="4"/>
        <v>#DIV/0!</v>
      </c>
      <c r="P65" s="27" t="e">
        <f t="shared" si="5"/>
        <v>#DIV/0!</v>
      </c>
    </row>
    <row r="66" spans="1:16" ht="15" thickBot="1" x14ac:dyDescent="0.35">
      <c r="A66" s="35">
        <v>2026</v>
      </c>
      <c r="B66" s="36">
        <v>12</v>
      </c>
      <c r="C66" s="37" t="s">
        <v>48</v>
      </c>
      <c r="D66" s="18">
        <f>SUMIFS('Sales csv'!E:E,'Sales csv'!A:A,'Branch View'!A66,'Sales csv'!B:B,'Branch View'!B66,'Sales csv'!D:D,'Branch View'!$I$1)</f>
        <v>0</v>
      </c>
      <c r="E66" s="19">
        <f>SUMIFS('Sales csv'!F:F,'Sales csv'!A:A,'Branch View'!A66,'Sales csv'!B:B,'Branch View'!B66,'Sales csv'!D:D,'Branch View'!$I$1)</f>
        <v>0</v>
      </c>
      <c r="F66" s="18">
        <f>SUMIFS('IM Cancels csv'!$E:$E,'IM Cancels csv'!$A:$A,'Branch View'!$A66,'IM Cancels csv'!$B:$B,'Branch View'!$B66,'IM Cancels csv'!$D:$D,'Branch View'!$I$1)</f>
        <v>0</v>
      </c>
      <c r="G66" s="19">
        <f>SUMIFS('IM Cancels csv'!$F:$F,'IM Cancels csv'!$A:$A,'Branch View'!$A66,'IM Cancels csv'!$B:$B,'Branch View'!$B66,'IM Cancels csv'!$D:$D,'Branch View'!$I$1)</f>
        <v>0</v>
      </c>
      <c r="H66" s="24" t="e">
        <f t="shared" si="9"/>
        <v>#DIV/0!</v>
      </c>
      <c r="I66" s="25" t="e">
        <f t="shared" si="10"/>
        <v>#DIV/0!</v>
      </c>
      <c r="J66" s="13"/>
      <c r="K66" s="18">
        <f>SUMIFS('All Sales csv'!$E:$E,'All Sales csv'!$A:$A,'Branch View'!$A66,'All Sales csv'!$B:$B,'Branch View'!$B66,'All Sales csv'!$D:$D,'Branch View'!$I$1)</f>
        <v>0</v>
      </c>
      <c r="L66" s="19">
        <f>SUMIFS('All Sales csv'!$F:$F,'All Sales csv'!$A:$A,'Branch View'!$A66,'All Sales csv'!$B:$B,'Branch View'!$B66,'All Sales csv'!$D:$D,'Branch View'!$I$1)</f>
        <v>0</v>
      </c>
      <c r="M66" s="18">
        <f>SUMIFS('Cancels csv'!E:E,'Cancels csv'!A:A,'Branch View'!A66,'Cancels csv'!B:B,'Branch View'!B66,'Cancels csv'!D:D,'Branch View'!$I$1)</f>
        <v>0</v>
      </c>
      <c r="N66" s="19">
        <f>SUMIFS('Cancels csv'!F:F,'Cancels csv'!A:A,'Branch View'!A66,'Cancels csv'!B:B,'Branch View'!B66,'Cancels csv'!D:D,'Branch View'!$I$1)</f>
        <v>0</v>
      </c>
      <c r="O66" s="24" t="e">
        <f t="shared" si="4"/>
        <v>#DIV/0!</v>
      </c>
      <c r="P66" s="28" t="e">
        <f t="shared" si="5"/>
        <v>#DIV/0!</v>
      </c>
    </row>
    <row r="67" spans="1:16" ht="15" thickBot="1" x14ac:dyDescent="0.35">
      <c r="A67" s="47">
        <v>2026</v>
      </c>
      <c r="B67" s="48" t="s">
        <v>79</v>
      </c>
      <c r="C67" s="48"/>
      <c r="D67" s="49">
        <f t="shared" ref="D67:G67" si="15">SUM(D55:D66)</f>
        <v>157</v>
      </c>
      <c r="E67" s="50">
        <f t="shared" si="15"/>
        <v>161477.75</v>
      </c>
      <c r="F67" s="49">
        <f t="shared" si="15"/>
        <v>145</v>
      </c>
      <c r="G67" s="50">
        <f t="shared" si="15"/>
        <v>150613.79</v>
      </c>
      <c r="H67" s="51">
        <f t="shared" si="9"/>
        <v>1.0827586206896551</v>
      </c>
      <c r="I67" s="52">
        <f t="shared" si="10"/>
        <v>1.0721312437592865</v>
      </c>
      <c r="J67" s="57"/>
      <c r="K67" s="62">
        <f t="shared" ref="K67:N67" si="16">SUM(K55:K66)</f>
        <v>742</v>
      </c>
      <c r="L67" s="63">
        <f t="shared" si="16"/>
        <v>716570.85000000009</v>
      </c>
      <c r="M67" s="49">
        <f t="shared" si="16"/>
        <v>970</v>
      </c>
      <c r="N67" s="50">
        <f t="shared" si="16"/>
        <v>897849.13</v>
      </c>
      <c r="O67" s="51">
        <f t="shared" si="4"/>
        <v>0.76494845360824737</v>
      </c>
      <c r="P67" s="56">
        <f t="shared" si="5"/>
        <v>0.79809717028962324</v>
      </c>
    </row>
  </sheetData>
  <autoFilter ref="A2:P66" xr:uid="{3E97BE5E-622C-4FC6-B119-294203EB5C20}"/>
  <phoneticPr fontId="2" type="noConversion"/>
  <conditionalFormatting sqref="B1:C1048576">
    <cfRule type="colorScale" priority="1">
      <colorScale>
        <cfvo type="min"/>
        <cfvo type="max"/>
        <color theme="7" tint="0.79998168889431442"/>
        <color theme="5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7F7E24-318B-4BD3-8FF2-53A7B862A9EC}">
          <x14:formula1>
            <xm:f>Code!$C:$C</xm:f>
          </x14:formula1>
          <xm:sqref>I1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A259-822C-4540-8212-133F231B8E46}">
  <dimension ref="A1:W10"/>
  <sheetViews>
    <sheetView tabSelected="1" workbookViewId="0">
      <selection activeCell="K24" sqref="K24"/>
    </sheetView>
  </sheetViews>
  <sheetFormatPr defaultColWidth="13.33203125" defaultRowHeight="14.4" x14ac:dyDescent="0.3"/>
  <cols>
    <col min="1" max="1" width="9.109375" customWidth="1"/>
    <col min="2" max="2" width="13.33203125" style="76"/>
    <col min="3" max="3" width="13.33203125" style="9"/>
    <col min="4" max="4" width="13.33203125" style="7"/>
    <col min="5" max="5" width="13.33203125" style="75"/>
    <col min="6" max="6" width="13.33203125" style="1"/>
    <col min="7" max="7" width="13.33203125" style="8"/>
    <col min="8" max="8" width="13.33203125" style="1"/>
    <col min="9" max="9" width="13.33203125" style="75"/>
    <col min="10" max="10" width="13.33203125" style="3"/>
    <col min="11" max="11" width="13.33203125" style="8"/>
    <col min="12" max="12" width="25.109375" style="3" bestFit="1" customWidth="1"/>
    <col min="13" max="13" width="19.109375" style="8" customWidth="1"/>
    <col min="14" max="14" width="3" style="73" customWidth="1"/>
    <col min="15" max="15" width="13.33203125" style="10"/>
    <col min="16" max="16" width="13.33203125" style="9"/>
    <col min="17" max="17" width="14.33203125" style="1" bestFit="1" customWidth="1"/>
    <col min="18" max="18" width="14.33203125" style="8" bestFit="1" customWidth="1"/>
    <col min="19" max="19" width="13.33203125" style="2"/>
    <col min="20" max="20" width="13.33203125" style="4"/>
    <col min="21" max="21" width="13.33203125" style="2"/>
    <col min="22" max="22" width="13.33203125" style="4"/>
    <col min="23" max="23" width="3" style="72" customWidth="1"/>
  </cols>
  <sheetData>
    <row r="1" spans="1:23" ht="28.8" x14ac:dyDescent="0.3">
      <c r="A1" s="5" t="s">
        <v>67</v>
      </c>
      <c r="B1" s="88" t="s">
        <v>20</v>
      </c>
      <c r="C1" s="5" t="s">
        <v>65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89"/>
      <c r="P1" s="89"/>
      <c r="Q1" s="77"/>
      <c r="R1" s="77"/>
      <c r="S1" s="90"/>
      <c r="T1" s="90"/>
      <c r="U1" s="90"/>
      <c r="V1" s="90"/>
      <c r="W1"/>
    </row>
    <row r="2" spans="1:23" s="91" customFormat="1" ht="43.8" thickBot="1" x14ac:dyDescent="0.35">
      <c r="A2" s="95" t="s">
        <v>68</v>
      </c>
      <c r="B2" s="96" t="s">
        <v>15</v>
      </c>
      <c r="C2" s="97" t="s">
        <v>66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2"/>
      <c r="P2" s="92"/>
      <c r="Q2" s="93"/>
      <c r="R2" s="93"/>
      <c r="S2" s="94"/>
      <c r="T2" s="94"/>
      <c r="U2" s="94"/>
      <c r="V2" s="94"/>
    </row>
    <row r="3" spans="1:23" s="48" customFormat="1" ht="15" thickBot="1" x14ac:dyDescent="0.35">
      <c r="A3" s="98" t="s">
        <v>0</v>
      </c>
      <c r="B3" s="99" t="s">
        <v>4</v>
      </c>
      <c r="C3" s="100"/>
      <c r="D3" s="60" t="s">
        <v>85</v>
      </c>
      <c r="E3" s="101"/>
      <c r="F3" s="60" t="s">
        <v>75</v>
      </c>
      <c r="G3" s="102"/>
      <c r="H3" s="60"/>
      <c r="I3" s="101"/>
      <c r="J3" s="60" t="s">
        <v>86</v>
      </c>
      <c r="K3" s="102"/>
      <c r="L3" s="60" t="s">
        <v>87</v>
      </c>
      <c r="M3" s="60"/>
      <c r="N3" s="57"/>
      <c r="O3" s="103"/>
      <c r="P3" s="103"/>
      <c r="Q3" s="60"/>
      <c r="R3" s="60"/>
      <c r="S3" s="104"/>
      <c r="T3" s="104"/>
      <c r="U3" s="104"/>
      <c r="V3" s="104"/>
      <c r="W3" s="106"/>
    </row>
    <row r="4" spans="1:23" s="5" customFormat="1" ht="96.75" customHeight="1" x14ac:dyDescent="0.3">
      <c r="A4" s="6" cm="1">
        <f t="array" ref="A4:A10">_xlfn.UNIQUE('Branch View'!A:A)</f>
        <v>0</v>
      </c>
      <c r="B4" s="78" t="str">
        <f>_xlfn.CONCAT("IM Sales ",IF(ISBLANK(B1),C1,B1))</f>
        <v>IM Sales Lexington - KY</v>
      </c>
      <c r="C4" s="79" t="str">
        <f>_xlfn.CONCAT("IM Sales ",IF(ISBLANK(B2),C2,B2))</f>
        <v>IM Sales Dallas Fort Worth Northwest - TX</v>
      </c>
      <c r="D4" s="80" t="str">
        <f>_xlfn.CONCAT("Sales CV ",IF(ISBLANK(B1),C1,B1))</f>
        <v>Sales CV Lexington - KY</v>
      </c>
      <c r="E4" s="81" t="str">
        <f>_xlfn.CONCAT("Sales CV ",IF(ISBLANK(B2),C2,B2))</f>
        <v>Sales CV Dallas Fort Worth Northwest - TX</v>
      </c>
      <c r="F4" s="82" t="str">
        <f>_xlfn.CONCAT("IM Cancels ",IF(ISBLANK(B1),C1,B1))</f>
        <v>IM Cancels Lexington - KY</v>
      </c>
      <c r="G4" s="83" t="str">
        <f>_xlfn.CONCAT("IM Cancels ",IF(ISBLANK(B2),C2,B2))</f>
        <v>IM Cancels Dallas Fort Worth Northwest - TX</v>
      </c>
      <c r="H4" s="82" t="str">
        <f>_xlfn.CONCAT("IM Cancels CV ",B1)</f>
        <v>IM Cancels CV Lexington - KY</v>
      </c>
      <c r="I4" s="81" t="str">
        <f>_xlfn.CONCAT("IM Cancels CV ",B2)</f>
        <v>IM Cancels CV Dallas Fort Worth Northwest - TX</v>
      </c>
      <c r="J4" s="82" t="str">
        <f>_xlfn.CONCAT("IM Sales / IM Cancels ",B1)</f>
        <v>IM Sales / IM Cancels Lexington - KY</v>
      </c>
      <c r="K4" s="83" t="str">
        <f>_xlfn.CONCAT("IM Sales / IM Cancels ",B2)</f>
        <v>IM Sales / IM Cancels Dallas Fort Worth Northwest - TX</v>
      </c>
      <c r="L4" s="82" t="str">
        <f>_xlfn.CONCAT("IM Sales CV / IM Cancels CV ",B1)</f>
        <v>IM Sales CV / IM Cancels CV Lexington - KY</v>
      </c>
      <c r="M4" s="83" t="str">
        <f>_xlfn.CONCAT("IM Sales CV / IM Cancels CV ",B2)</f>
        <v>IM Sales CV / IM Cancels CV Dallas Fort Worth Northwest - TX</v>
      </c>
      <c r="N4" s="84"/>
      <c r="O4" s="85" t="str">
        <f>_xlfn.CONCAT("Cancels ",IF(ISBLANK(B1),C1,B1))</f>
        <v>Cancels Lexington - KY</v>
      </c>
      <c r="P4" s="79" t="str">
        <f>_xlfn.CONCAT("Cancels ",IF(ISBLANK(B2),C2,B2))</f>
        <v>Cancels Dallas Fort Worth Northwest - TX</v>
      </c>
      <c r="Q4" s="82" t="str">
        <f>_xlfn.CONCAT("Cancels CV ",IF(ISBLANK(B1),C1,B1))</f>
        <v>Cancels CV Lexington - KY</v>
      </c>
      <c r="R4" s="83" t="str">
        <f>_xlfn.CONCAT("Cancels CV ",IF(ISBLANK(B2),C2,B2))</f>
        <v>Cancels CV Dallas Fort Worth Northwest - TX</v>
      </c>
      <c r="S4" s="86" t="str">
        <f>_xlfn.CONCAT("Sales/Cancels ",IF(ISBLANK(B1),C1,B1))</f>
        <v>Sales/Cancels Lexington - KY</v>
      </c>
      <c r="T4" s="87" t="str">
        <f>_xlfn.CONCAT("Sales/Cancels ",IF(ISBLANK(B2),C2,B2))</f>
        <v>Sales/Cancels Dallas Fort Worth Northwest - TX</v>
      </c>
      <c r="U4" s="86" t="str">
        <f>_xlfn.CONCAT("Sale CV / Cancel CV ",IF(ISBLANK(B1),C1,B1))</f>
        <v>Sale CV / Cancel CV Lexington - KY</v>
      </c>
      <c r="V4" s="87" t="str">
        <f>_xlfn.CONCAT("Sale CV / Cancel CV ",IF(ISBLANK(B2),C2,B2))</f>
        <v>Sale CV / Cancel CV Dallas Fort Worth Northwest - TX</v>
      </c>
      <c r="W4" s="71"/>
    </row>
    <row r="5" spans="1:23" x14ac:dyDescent="0.3">
      <c r="A5" t="str">
        <v>Year</v>
      </c>
      <c r="F5" s="3"/>
      <c r="H5" s="3"/>
      <c r="O5" s="67"/>
      <c r="Q5" s="3"/>
      <c r="S5" s="68"/>
      <c r="U5" s="68"/>
    </row>
    <row r="6" spans="1:23" x14ac:dyDescent="0.3">
      <c r="A6">
        <v>2022</v>
      </c>
      <c r="B6" s="76">
        <f>SUMIFS('Sales csv'!E:E,'Sales csv'!A:A,'YOY 2 Branch'!A6,'Sales csv'!D:D,'YOY 2 Branch'!$B$1)</f>
        <v>1249</v>
      </c>
      <c r="C6" s="9">
        <f>SUMIFS('Sales csv'!E:E,'Sales csv'!A:A,'YOY 2 Branch'!A6,'Sales csv'!D:D,'YOY 2 Branch'!$B$2)</f>
        <v>279</v>
      </c>
      <c r="D6" s="7">
        <f>SUMIFS('Sales csv'!F:F,'Sales csv'!A:A,'YOY 2 Branch'!A6,'Sales csv'!D:D,'YOY 2 Branch'!$B$1)</f>
        <v>917063.48999999987</v>
      </c>
      <c r="E6" s="75">
        <f>SUMIFS('Sales csv'!F:F,'Sales csv'!A:A,'YOY 2 Branch'!A6,'Sales csv'!D:D,'YOY 2 Branch'!$B$2)</f>
        <v>197409.49000000002</v>
      </c>
      <c r="F6" s="67">
        <f>SUMIFS('IM Cancels csv'!E:E,'IM Cancels csv'!D:D,'YOY 2 Branch'!$B$1,'IM Cancels csv'!A:A,'YOY 2 Branch'!A6)</f>
        <v>876</v>
      </c>
      <c r="G6" s="9">
        <f>SUMIFS('IM Cancels csv'!E:E,'IM Cancels csv'!D:D,'YOY 2 Branch'!$B$2,'IM Cancels csv'!A:A,'YOY 2 Branch'!A6)</f>
        <v>106</v>
      </c>
      <c r="H6" s="3">
        <f>SUMIFS('IM Cancels csv'!F:F,'IM Cancels csv'!A:A,'YOY 2 Branch'!A6,'IM Cancels csv'!D:D,'YOY 2 Branch'!$B$1)</f>
        <v>546660.53999999992</v>
      </c>
      <c r="I6" s="75">
        <f>SUMIFS('IM Cancels csv'!F:F,'IM Cancels csv'!A:A,'YOY 2 Branch'!A6,'IM Cancels csv'!D:D,'YOY 2 Branch'!$B$2)</f>
        <v>53986.44</v>
      </c>
      <c r="J6" s="69">
        <f>B6/F6</f>
        <v>1.4257990867579908</v>
      </c>
      <c r="K6" s="70">
        <f>C6/G6</f>
        <v>2.6320754716981134</v>
      </c>
      <c r="L6" s="69">
        <f>D6/H6</f>
        <v>1.6775739657374942</v>
      </c>
      <c r="M6" s="70">
        <f>E6/I6</f>
        <v>3.6566495216206145</v>
      </c>
      <c r="N6" s="74"/>
      <c r="O6" s="67">
        <f>SUMIFS('Cancels csv'!E:E,'Cancels csv'!A:A,'YOY 2 Branch'!A6,'Cancels csv'!D:D,'YOY 2 Branch'!$B$1)</f>
        <v>2705</v>
      </c>
      <c r="P6" s="9">
        <f>SUMIFS('Cancels csv'!E:E,'Cancels csv'!A:A,'YOY 2 Branch'!A6,'Cancels csv'!D:D,'YOY 2 Branch'!$B$2)</f>
        <v>1399</v>
      </c>
      <c r="Q6" s="3">
        <f>SUMIFS('Cancels csv'!F:F,'Cancels csv'!A:A,'YOY 2 Branch'!A6,'Cancels csv'!D:D,'YOY 2 Branch'!$B$1)</f>
        <v>1546093.45</v>
      </c>
      <c r="R6" s="8">
        <f>SUMIFS('Cancels csv'!F:F,'Cancels csv'!A:A,'YOY 2 Branch'!A6,'Cancels csv'!D:D,'YOY 2 Branch'!$B$2)</f>
        <v>646125.39</v>
      </c>
      <c r="S6" s="68">
        <f t="shared" ref="S6:S9" si="0">B6/O6</f>
        <v>0.46173752310536043</v>
      </c>
      <c r="T6" s="4">
        <f t="shared" ref="T6:T9" si="1">C6/P6</f>
        <v>0.19942816297355254</v>
      </c>
      <c r="U6" s="68">
        <f t="shared" ref="U6:U9" si="2">D6/Q6</f>
        <v>0.59314880998946085</v>
      </c>
      <c r="V6" s="4">
        <f t="shared" ref="V6:V9" si="3">E6/R6</f>
        <v>0.30552814214590762</v>
      </c>
    </row>
    <row r="7" spans="1:23" x14ac:dyDescent="0.3">
      <c r="A7">
        <v>2023</v>
      </c>
      <c r="B7" s="76">
        <f>SUMIFS('Sales csv'!E:E,'Sales csv'!A:A,'YOY 2 Branch'!A7,'Sales csv'!D:D,'YOY 2 Branch'!$B$1)</f>
        <v>809</v>
      </c>
      <c r="C7" s="9">
        <f>SUMIFS('Sales csv'!E:E,'Sales csv'!A:A,'YOY 2 Branch'!A7,'Sales csv'!D:D,'YOY 2 Branch'!$B$2)</f>
        <v>313</v>
      </c>
      <c r="D7" s="7">
        <f>SUMIFS('Sales csv'!F:F,'Sales csv'!A:A,'YOY 2 Branch'!A7,'Sales csv'!D:D,'YOY 2 Branch'!$B$1)</f>
        <v>649748.71</v>
      </c>
      <c r="E7" s="75">
        <f>SUMIFS('Sales csv'!F:F,'Sales csv'!A:A,'YOY 2 Branch'!A7,'Sales csv'!D:D,'YOY 2 Branch'!$B$2)</f>
        <v>238834.49999999997</v>
      </c>
      <c r="F7" s="67">
        <f>SUMIFS('IM Cancels csv'!E:E,'IM Cancels csv'!D:D,'YOY 2 Branch'!$B$1,'IM Cancels csv'!A:A,'YOY 2 Branch'!A7)</f>
        <v>1005</v>
      </c>
      <c r="G7" s="9">
        <f>SUMIFS('IM Cancels csv'!E:E,'IM Cancels csv'!D:D,'YOY 2 Branch'!$B$2,'IM Cancels csv'!A:A,'YOY 2 Branch'!A7)</f>
        <v>170</v>
      </c>
      <c r="H7" s="3">
        <f>SUMIFS('IM Cancels csv'!F:F,'IM Cancels csv'!A:A,'YOY 2 Branch'!A7,'IM Cancels csv'!D:D,'YOY 2 Branch'!$B$1)</f>
        <v>716705.40999999992</v>
      </c>
      <c r="I7" s="75">
        <f>SUMIFS('IM Cancels csv'!F:F,'IM Cancels csv'!A:A,'YOY 2 Branch'!A7,'IM Cancels csv'!D:D,'YOY 2 Branch'!$B$2)</f>
        <v>120330.09</v>
      </c>
      <c r="J7" s="69">
        <f t="shared" ref="J7:J10" si="4">B7/F7</f>
        <v>0.80497512437810947</v>
      </c>
      <c r="K7" s="70">
        <f t="shared" ref="K7:K10" si="5">C7/G7</f>
        <v>1.8411764705882352</v>
      </c>
      <c r="L7" s="69">
        <f t="shared" ref="L7:L10" si="6">D7/H7</f>
        <v>0.90657709699721678</v>
      </c>
      <c r="M7" s="70">
        <f t="shared" ref="M7:M10" si="7">E7/I7</f>
        <v>1.9848277351076524</v>
      </c>
      <c r="N7" s="74"/>
      <c r="O7" s="67">
        <f>SUMIFS('Cancels csv'!E:E,'Cancels csv'!A:A,'YOY 2 Branch'!A7,'Cancels csv'!D:D,'YOY 2 Branch'!$B$1)</f>
        <v>2756</v>
      </c>
      <c r="P7" s="9">
        <f>SUMIFS('Cancels csv'!E:E,'Cancels csv'!A:A,'YOY 2 Branch'!A7,'Cancels csv'!D:D,'YOY 2 Branch'!$B$2)</f>
        <v>1191</v>
      </c>
      <c r="Q7" s="3">
        <f>SUMIFS('Cancels csv'!F:F,'Cancels csv'!A:A,'YOY 2 Branch'!A7,'Cancels csv'!D:D,'YOY 2 Branch'!$B$1)</f>
        <v>1819318.7200000002</v>
      </c>
      <c r="R7" s="8">
        <f>SUMIFS('Cancels csv'!F:F,'Cancels csv'!A:A,'YOY 2 Branch'!A7,'Cancels csv'!D:D,'YOY 2 Branch'!$B$2)</f>
        <v>696920.12</v>
      </c>
      <c r="S7" s="68">
        <f t="shared" si="0"/>
        <v>0.2935413642960813</v>
      </c>
      <c r="T7" s="4">
        <f t="shared" si="1"/>
        <v>0.26280436607892527</v>
      </c>
      <c r="U7" s="68">
        <f t="shared" si="2"/>
        <v>0.3571384732412361</v>
      </c>
      <c r="V7" s="4">
        <f t="shared" si="3"/>
        <v>0.34269996394995739</v>
      </c>
    </row>
    <row r="8" spans="1:23" x14ac:dyDescent="0.3">
      <c r="A8">
        <v>2024</v>
      </c>
      <c r="B8" s="76">
        <f>SUMIFS('Sales csv'!E:E,'Sales csv'!A:A,'YOY 2 Branch'!A8,'Sales csv'!D:D,'YOY 2 Branch'!$B$1)</f>
        <v>819</v>
      </c>
      <c r="C8" s="9">
        <f>SUMIFS('Sales csv'!E:E,'Sales csv'!A:A,'YOY 2 Branch'!A8,'Sales csv'!D:D,'YOY 2 Branch'!$B$2)</f>
        <v>368</v>
      </c>
      <c r="D8" s="7">
        <f>SUMIFS('Sales csv'!F:F,'Sales csv'!A:A,'YOY 2 Branch'!A8,'Sales csv'!D:D,'YOY 2 Branch'!$B$1)</f>
        <v>670620.37</v>
      </c>
      <c r="E8" s="75">
        <f>SUMIFS('Sales csv'!F:F,'Sales csv'!A:A,'YOY 2 Branch'!A8,'Sales csv'!D:D,'YOY 2 Branch'!$B$2)</f>
        <v>300951.17000000004</v>
      </c>
      <c r="F8" s="67">
        <f>SUMIFS('IM Cancels csv'!E:E,'IM Cancels csv'!D:D,'YOY 2 Branch'!$B$1,'IM Cancels csv'!A:A,'YOY 2 Branch'!A8)</f>
        <v>786</v>
      </c>
      <c r="G8" s="9">
        <f>SUMIFS('IM Cancels csv'!E:E,'IM Cancels csv'!D:D,'YOY 2 Branch'!$B$2,'IM Cancels csv'!A:A,'YOY 2 Branch'!A8)</f>
        <v>182</v>
      </c>
      <c r="H8" s="3">
        <f>SUMIFS('IM Cancels csv'!F:F,'IM Cancels csv'!A:A,'YOY 2 Branch'!A8,'IM Cancels csv'!D:D,'YOY 2 Branch'!$B$1)</f>
        <v>590823.22000000009</v>
      </c>
      <c r="I8" s="75">
        <f>SUMIFS('IM Cancels csv'!F:F,'IM Cancels csv'!A:A,'YOY 2 Branch'!A8,'IM Cancels csv'!D:D,'YOY 2 Branch'!$B$2)</f>
        <v>145835.54</v>
      </c>
      <c r="J8" s="69">
        <f t="shared" si="4"/>
        <v>1.0419847328244274</v>
      </c>
      <c r="K8" s="70">
        <f t="shared" si="5"/>
        <v>2.0219780219780219</v>
      </c>
      <c r="L8" s="69">
        <f t="shared" si="6"/>
        <v>1.1350609578276221</v>
      </c>
      <c r="M8" s="70">
        <f t="shared" si="7"/>
        <v>2.0636339399847254</v>
      </c>
      <c r="N8" s="74"/>
      <c r="O8" s="67">
        <f>SUMIFS('Cancels csv'!E:E,'Cancels csv'!A:A,'YOY 2 Branch'!A8,'Cancels csv'!D:D,'YOY 2 Branch'!$B$1)</f>
        <v>2066</v>
      </c>
      <c r="P8" s="9">
        <f>SUMIFS('Cancels csv'!E:E,'Cancels csv'!A:A,'YOY 2 Branch'!A8,'Cancels csv'!D:D,'YOY 2 Branch'!$B$2)</f>
        <v>836</v>
      </c>
      <c r="Q8" s="3">
        <f>SUMIFS('Cancels csv'!F:F,'Cancels csv'!A:A,'YOY 2 Branch'!A8,'Cancels csv'!D:D,'YOY 2 Branch'!$B$1)</f>
        <v>1476471.93</v>
      </c>
      <c r="R8" s="8">
        <f>SUMIFS('Cancels csv'!F:F,'Cancels csv'!A:A,'YOY 2 Branch'!A8,'Cancels csv'!D:D,'YOY 2 Branch'!$B$2)</f>
        <v>537697.92000000004</v>
      </c>
      <c r="S8" s="68">
        <f t="shared" si="0"/>
        <v>0.39641819941916745</v>
      </c>
      <c r="T8" s="4">
        <f t="shared" si="1"/>
        <v>0.44019138755980863</v>
      </c>
      <c r="U8" s="68">
        <f t="shared" si="2"/>
        <v>0.45420461870887041</v>
      </c>
      <c r="V8" s="4">
        <f t="shared" si="3"/>
        <v>0.55970305780613772</v>
      </c>
    </row>
    <row r="9" spans="1:23" x14ac:dyDescent="0.3">
      <c r="A9">
        <v>2025</v>
      </c>
      <c r="B9" s="76">
        <f>SUMIFS('Sales csv'!E:E,'Sales csv'!A:A,'YOY 2 Branch'!A9,'Sales csv'!D:D,'YOY 2 Branch'!$B$1)</f>
        <v>563</v>
      </c>
      <c r="C9" s="9">
        <f>SUMIFS('Sales csv'!E:E,'Sales csv'!A:A,'YOY 2 Branch'!A9,'Sales csv'!D:D,'YOY 2 Branch'!$B$2)</f>
        <v>360</v>
      </c>
      <c r="D9" s="7">
        <f>SUMIFS('Sales csv'!F:F,'Sales csv'!A:A,'YOY 2 Branch'!A9,'Sales csv'!D:D,'YOY 2 Branch'!$B$1)</f>
        <v>543317.46</v>
      </c>
      <c r="E9" s="75">
        <f>SUMIFS('Sales csv'!F:F,'Sales csv'!A:A,'YOY 2 Branch'!A9,'Sales csv'!D:D,'YOY 2 Branch'!$B$2)</f>
        <v>277597.14</v>
      </c>
      <c r="F9" s="67">
        <f>SUMIFS('IM Cancels csv'!E:E,'IM Cancels csv'!D:D,'YOY 2 Branch'!$B$1,'IM Cancels csv'!A:A,'YOY 2 Branch'!A9)</f>
        <v>689</v>
      </c>
      <c r="G9" s="9">
        <f>SUMIFS('IM Cancels csv'!E:E,'IM Cancels csv'!D:D,'YOY 2 Branch'!$B$2,'IM Cancels csv'!A:A,'YOY 2 Branch'!A9)</f>
        <v>276</v>
      </c>
      <c r="H9" s="3">
        <f>SUMIFS('IM Cancels csv'!F:F,'IM Cancels csv'!A:A,'YOY 2 Branch'!A9,'IM Cancels csv'!D:D,'YOY 2 Branch'!$B$1)</f>
        <v>604121.46</v>
      </c>
      <c r="I9" s="75">
        <f>SUMIFS('IM Cancels csv'!F:F,'IM Cancels csv'!A:A,'YOY 2 Branch'!A9,'IM Cancels csv'!D:D,'YOY 2 Branch'!$B$2)</f>
        <v>220184.61000000002</v>
      </c>
      <c r="J9" s="69">
        <f t="shared" si="4"/>
        <v>0.81712626995645865</v>
      </c>
      <c r="K9" s="70">
        <f t="shared" si="5"/>
        <v>1.3043478260869565</v>
      </c>
      <c r="L9" s="69">
        <f t="shared" si="6"/>
        <v>0.8993513655350035</v>
      </c>
      <c r="M9" s="70">
        <f t="shared" si="7"/>
        <v>1.2607472429612587</v>
      </c>
      <c r="N9" s="74"/>
      <c r="O9" s="67">
        <f>SUMIFS('Cancels csv'!E:E,'Cancels csv'!A:A,'YOY 2 Branch'!A9,'Cancels csv'!D:D,'YOY 2 Branch'!$B$1)</f>
        <v>2153</v>
      </c>
      <c r="P9" s="9">
        <f>SUMIFS('Cancels csv'!E:E,'Cancels csv'!A:A,'YOY 2 Branch'!A9,'Cancels csv'!D:D,'YOY 2 Branch'!$B$2)</f>
        <v>796</v>
      </c>
      <c r="Q9" s="3">
        <f>SUMIFS('Cancels csv'!F:F,'Cancels csv'!A:A,'YOY 2 Branch'!A9,'Cancels csv'!D:D,'YOY 2 Branch'!$B$1)</f>
        <v>1776656.88</v>
      </c>
      <c r="R9" s="8">
        <f>SUMIFS('Cancels csv'!F:F,'Cancels csv'!A:A,'YOY 2 Branch'!A9,'Cancels csv'!D:D,'YOY 2 Branch'!$B$2)</f>
        <v>574941.75999999989</v>
      </c>
      <c r="S9" s="68">
        <f t="shared" si="0"/>
        <v>0.26149558755225266</v>
      </c>
      <c r="T9" s="4">
        <f t="shared" si="1"/>
        <v>0.45226130653266333</v>
      </c>
      <c r="U9" s="68">
        <f t="shared" si="2"/>
        <v>0.30580888528121425</v>
      </c>
      <c r="V9" s="4">
        <f t="shared" si="3"/>
        <v>0.4828265388132531</v>
      </c>
    </row>
    <row r="10" spans="1:23" x14ac:dyDescent="0.3">
      <c r="A10">
        <v>2026</v>
      </c>
      <c r="B10" s="76">
        <f>SUMIFS('Sales csv'!E:E,'Sales csv'!A:A,'YOY 2 Branch'!A10,'Sales csv'!D:D,'YOY 2 Branch'!$B$1)</f>
        <v>153</v>
      </c>
      <c r="C10" s="9">
        <f>SUMIFS('Sales csv'!E:E,'Sales csv'!A:A,'YOY 2 Branch'!A10,'Sales csv'!D:D,'YOY 2 Branch'!$B$2)</f>
        <v>173</v>
      </c>
      <c r="D10" s="7">
        <f>SUMIFS('Sales csv'!F:F,'Sales csv'!A:A,'YOY 2 Branch'!A10,'Sales csv'!D:D,'YOY 2 Branch'!$B$1)</f>
        <v>151747.87</v>
      </c>
      <c r="E10" s="75">
        <f>SUMIFS('Sales csv'!F:F,'Sales csv'!A:A,'YOY 2 Branch'!A10,'Sales csv'!D:D,'YOY 2 Branch'!$B$2)</f>
        <v>120285</v>
      </c>
      <c r="F10" s="67">
        <f>SUMIFS('IM Cancels csv'!E:E,'IM Cancels csv'!D:D,'YOY 2 Branch'!$B$1,'IM Cancels csv'!A:A,'YOY 2 Branch'!A10)</f>
        <v>234</v>
      </c>
      <c r="G10" s="9">
        <f>SUMIFS('IM Cancels csv'!E:E,'IM Cancels csv'!D:D,'YOY 2 Branch'!$B$2,'IM Cancels csv'!A:A,'YOY 2 Branch'!A10)</f>
        <v>113</v>
      </c>
      <c r="H10" s="3">
        <f>SUMIFS('IM Cancels csv'!F:F,'IM Cancels csv'!A:A,'YOY 2 Branch'!A10,'IM Cancels csv'!D:D,'YOY 2 Branch'!$B$1)</f>
        <v>228824.71000000002</v>
      </c>
      <c r="I10" s="75">
        <f>SUMIFS('IM Cancels csv'!F:F,'IM Cancels csv'!A:A,'YOY 2 Branch'!A10,'IM Cancels csv'!D:D,'YOY 2 Branch'!$B$2)</f>
        <v>71474.7</v>
      </c>
      <c r="J10" s="69">
        <f t="shared" si="4"/>
        <v>0.65384615384615385</v>
      </c>
      <c r="K10" s="70">
        <f t="shared" si="5"/>
        <v>1.5309734513274336</v>
      </c>
      <c r="L10" s="69">
        <f t="shared" si="6"/>
        <v>0.66316207720748332</v>
      </c>
      <c r="M10" s="70">
        <f t="shared" si="7"/>
        <v>1.6829031811256292</v>
      </c>
      <c r="N10" s="74"/>
      <c r="O10" s="67">
        <f>SUMIFS('Cancels csv'!E:E,'Cancels csv'!A:A,'YOY 2 Branch'!A10,'Cancels csv'!D:D,'YOY 2 Branch'!$B$1)</f>
        <v>729</v>
      </c>
      <c r="P10" s="9">
        <f>SUMIFS('Cancels csv'!E:E,'Cancels csv'!A:A,'YOY 2 Branch'!A10,'Cancels csv'!D:D,'YOY 2 Branch'!$B$2)</f>
        <v>307</v>
      </c>
      <c r="Q10" s="3">
        <f>SUMIFS('Cancels csv'!F:F,'Cancels csv'!A:A,'YOY 2 Branch'!A10,'Cancels csv'!D:D,'YOY 2 Branch'!$B$1)</f>
        <v>694296.88</v>
      </c>
      <c r="R10" s="8">
        <f>SUMIFS('Cancels csv'!F:F,'Cancels csv'!A:A,'YOY 2 Branch'!A10,'Cancels csv'!D:D,'YOY 2 Branch'!$B$2)</f>
        <v>213339.04999999996</v>
      </c>
      <c r="S10" s="68">
        <f t="shared" ref="S10" si="8">B10/O10</f>
        <v>0.20987654320987653</v>
      </c>
      <c r="T10" s="4">
        <f t="shared" ref="T10" si="9">C10/P10</f>
        <v>0.56351791530944628</v>
      </c>
      <c r="U10" s="68">
        <f t="shared" ref="U10" si="10">D10/Q10</f>
        <v>0.21856337594373174</v>
      </c>
      <c r="V10" s="4">
        <f t="shared" ref="V10" si="11">E10/R10</f>
        <v>0.56382082886372664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DD37B4-1FE9-4B86-B59A-09B3365AE5B8}">
          <x14:formula1>
            <xm:f>Code!$C:$C</xm:f>
          </x14:formula1>
          <xm:sqref>B1:B2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workbookViewId="0">
      <selection activeCell="C2" sqref="C2"/>
    </sheetView>
  </sheetViews>
  <sheetFormatPr defaultRowHeight="14.4" x14ac:dyDescent="0.3"/>
  <cols>
    <col min="1" max="4" width="30.5546875" bestFit="1" customWidth="1"/>
  </cols>
  <sheetData>
    <row r="1" spans="1:3" x14ac:dyDescent="0.3">
      <c r="A1" t="str" cm="1">
        <f t="array" ref="A1:A47">_xlfn.UNIQUE('Sales csv'!D:D)</f>
        <v>Branch Name</v>
      </c>
      <c r="B1" t="str" cm="1">
        <f t="array" ref="B1:B50">_xlfn.UNIQUE('Cancels csv'!D:D)</f>
        <v>Branch Name</v>
      </c>
      <c r="C1" t="str" cm="1">
        <f t="array" ref="C1:C50">_xlfn.UNIQUE(_xlfn.TOCOL(A:B,1))</f>
        <v>Branch Name</v>
      </c>
    </row>
    <row r="2" spans="1:3" x14ac:dyDescent="0.3">
      <c r="A2" t="str">
        <v>Albany - NY</v>
      </c>
      <c r="B2" t="str">
        <v>Albany - NY</v>
      </c>
      <c r="C2" t="str">
        <v>Albany - NY</v>
      </c>
    </row>
    <row r="3" spans="1:3" x14ac:dyDescent="0.3">
      <c r="A3" t="str">
        <v>Baton Rouge - LA</v>
      </c>
      <c r="B3" t="str">
        <v>Baton Rouge - LA</v>
      </c>
      <c r="C3" t="str">
        <v>Baton Rouge - LA</v>
      </c>
    </row>
    <row r="4" spans="1:3" x14ac:dyDescent="0.3">
      <c r="A4" t="str">
        <v>Bloomington - IL</v>
      </c>
      <c r="B4" t="str">
        <v>Bloomington - IL</v>
      </c>
      <c r="C4" t="str">
        <v>Bloomington - IL</v>
      </c>
    </row>
    <row r="5" spans="1:3" x14ac:dyDescent="0.3">
      <c r="A5" t="str">
        <v>Boston - MA</v>
      </c>
      <c r="B5" t="str">
        <v>Boston - MA</v>
      </c>
      <c r="C5" t="str">
        <v>Boston - MA</v>
      </c>
    </row>
    <row r="6" spans="1:3" x14ac:dyDescent="0.3">
      <c r="A6" t="str">
        <v>Buffalo - NY</v>
      </c>
      <c r="B6" t="str">
        <v>Buffalo - NY</v>
      </c>
      <c r="C6" t="str">
        <v>Buffalo - NY</v>
      </c>
    </row>
    <row r="7" spans="1:3" x14ac:dyDescent="0.3">
      <c r="A7" t="str">
        <v>Chicago North - IL</v>
      </c>
      <c r="B7" t="str">
        <v>Chicago North - IL</v>
      </c>
      <c r="C7" t="str">
        <v>Chicago North - IL</v>
      </c>
    </row>
    <row r="8" spans="1:3" x14ac:dyDescent="0.3">
      <c r="A8" t="str">
        <v>Chicago South - IL</v>
      </c>
      <c r="B8" t="str">
        <v>Chicago South - IL</v>
      </c>
      <c r="C8" t="str">
        <v>Chicago South - IL</v>
      </c>
    </row>
    <row r="9" spans="1:3" x14ac:dyDescent="0.3">
      <c r="A9" t="str">
        <v>Corpus Christi - TX</v>
      </c>
      <c r="B9" t="str">
        <v>Corpus Christi - TX</v>
      </c>
      <c r="C9" t="str">
        <v>Corpus Christi - TX</v>
      </c>
    </row>
    <row r="10" spans="1:3" x14ac:dyDescent="0.3">
      <c r="A10" t="str">
        <v>Dallas Fort Worth Northwest - TX</v>
      </c>
      <c r="B10" t="str">
        <v>Dallas Fort Worth Northwest - TX</v>
      </c>
      <c r="C10" t="str">
        <v>Dallas Fort Worth Northwest - TX</v>
      </c>
    </row>
    <row r="11" spans="1:3" x14ac:dyDescent="0.3">
      <c r="A11" t="str">
        <v>DC West - DC</v>
      </c>
      <c r="B11" t="str">
        <v>DC West - DC</v>
      </c>
      <c r="C11" t="str">
        <v>DC West - DC</v>
      </c>
    </row>
    <row r="12" spans="1:3" x14ac:dyDescent="0.3">
      <c r="A12" t="str">
        <v>Harrisburg - PA</v>
      </c>
      <c r="B12" t="str">
        <v>Harrisburg - PA</v>
      </c>
      <c r="C12" t="str">
        <v>Harrisburg - PA</v>
      </c>
    </row>
    <row r="13" spans="1:3" x14ac:dyDescent="0.3">
      <c r="A13" t="str">
        <v>Hartford - CT</v>
      </c>
      <c r="B13" t="str">
        <v>Hartford - CT</v>
      </c>
      <c r="C13" t="str">
        <v>Hartford - CT</v>
      </c>
    </row>
    <row r="14" spans="1:3" x14ac:dyDescent="0.3">
      <c r="A14" t="str">
        <v>Lafayette - LA</v>
      </c>
      <c r="B14" t="str">
        <v>Lafayette - LA</v>
      </c>
      <c r="C14" t="str">
        <v>Lafayette - LA</v>
      </c>
    </row>
    <row r="15" spans="1:3" x14ac:dyDescent="0.3">
      <c r="A15" t="str">
        <v>Lexington - KY</v>
      </c>
      <c r="B15" t="str">
        <v>Lexington - KY</v>
      </c>
      <c r="C15" t="str">
        <v>Lexington - KY</v>
      </c>
    </row>
    <row r="16" spans="1:3" x14ac:dyDescent="0.3">
      <c r="A16" t="str">
        <v>Long Island - NY</v>
      </c>
      <c r="B16" t="str">
        <v>Long Island - NY</v>
      </c>
      <c r="C16" t="str">
        <v>Long Island - NY</v>
      </c>
    </row>
    <row r="17" spans="1:3" x14ac:dyDescent="0.3">
      <c r="A17" t="str">
        <v>Lubbock - TX</v>
      </c>
      <c r="B17" t="str">
        <v>Lubbock - TX</v>
      </c>
      <c r="C17" t="str">
        <v>Lubbock - TX</v>
      </c>
    </row>
    <row r="18" spans="1:3" x14ac:dyDescent="0.3">
      <c r="A18" t="str">
        <v>Manchester - NH</v>
      </c>
      <c r="B18" t="str">
        <v>Manchester - NH</v>
      </c>
      <c r="C18" t="str">
        <v>Manchester - NH</v>
      </c>
    </row>
    <row r="19" spans="1:3" x14ac:dyDescent="0.3">
      <c r="A19" t="str">
        <v>McAllen - TX</v>
      </c>
      <c r="B19" t="str">
        <v>McAllen - TX</v>
      </c>
      <c r="C19" t="str">
        <v>McAllen - TX</v>
      </c>
    </row>
    <row r="20" spans="1:3" x14ac:dyDescent="0.3">
      <c r="A20" t="str">
        <v>Midland - TX</v>
      </c>
      <c r="B20" t="str">
        <v>Midland - TX</v>
      </c>
      <c r="C20" t="str">
        <v>Midland - TX</v>
      </c>
    </row>
    <row r="21" spans="1:3" x14ac:dyDescent="0.3">
      <c r="A21" t="str">
        <v>New Jersey Central - NJ</v>
      </c>
      <c r="B21" t="str">
        <v>New Jersey Central - NJ</v>
      </c>
      <c r="C21" t="str">
        <v>New Jersey Central - NJ</v>
      </c>
    </row>
    <row r="22" spans="1:3" x14ac:dyDescent="0.3">
      <c r="A22" t="str">
        <v>Newport News - VA</v>
      </c>
      <c r="B22" t="str">
        <v>Newport News - VA</v>
      </c>
      <c r="C22" t="str">
        <v>Newport News - VA</v>
      </c>
    </row>
    <row r="23" spans="1:3" x14ac:dyDescent="0.3">
      <c r="A23" t="str">
        <v>Northshore - LA</v>
      </c>
      <c r="B23" t="str">
        <v>Northshore - LA</v>
      </c>
      <c r="C23" t="str">
        <v>Northshore - LA</v>
      </c>
    </row>
    <row r="24" spans="1:3" x14ac:dyDescent="0.3">
      <c r="A24" t="str">
        <v>Orchard Park - NY</v>
      </c>
      <c r="B24" t="str">
        <v>Orchard Park - NY</v>
      </c>
      <c r="C24" t="str">
        <v>Orchard Park - NY</v>
      </c>
    </row>
    <row r="25" spans="1:3" x14ac:dyDescent="0.3">
      <c r="A25" t="str">
        <v>Orlando West - FL</v>
      </c>
      <c r="B25" t="str">
        <v>Orlando West - FL</v>
      </c>
      <c r="C25" t="str">
        <v>Orlando West - FL</v>
      </c>
    </row>
    <row r="26" spans="1:3" x14ac:dyDescent="0.3">
      <c r="A26" t="str">
        <v>Oxford - CT</v>
      </c>
      <c r="B26" t="str">
        <v>Oxford - CT</v>
      </c>
      <c r="C26" t="str">
        <v>Oxford - CT</v>
      </c>
    </row>
    <row r="27" spans="1:3" x14ac:dyDescent="0.3">
      <c r="A27" t="str">
        <v>Pittsburgh - PA</v>
      </c>
      <c r="B27" t="str">
        <v>Pittsburgh - PA</v>
      </c>
      <c r="C27" t="str">
        <v>Pittsburgh - PA</v>
      </c>
    </row>
    <row r="28" spans="1:3" x14ac:dyDescent="0.3">
      <c r="A28" t="str">
        <v>Providence - RI</v>
      </c>
      <c r="B28" t="str">
        <v>Providence - RI</v>
      </c>
      <c r="C28" t="str">
        <v>Providence - RI</v>
      </c>
    </row>
    <row r="29" spans="1:3" x14ac:dyDescent="0.3">
      <c r="A29" t="str">
        <v>Rochester - NY</v>
      </c>
      <c r="B29" t="str">
        <v>Rochester - NY</v>
      </c>
      <c r="C29" t="str">
        <v>Rochester - NY</v>
      </c>
    </row>
    <row r="30" spans="1:3" x14ac:dyDescent="0.3">
      <c r="A30" t="str">
        <v>Syracuse - NY</v>
      </c>
      <c r="B30" t="str">
        <v>Syracuse - NY</v>
      </c>
      <c r="C30" t="str">
        <v>Syracuse - NY</v>
      </c>
    </row>
    <row r="31" spans="1:3" x14ac:dyDescent="0.3">
      <c r="A31" t="str">
        <v>Virginia Beach - VA</v>
      </c>
      <c r="B31" t="str">
        <v>Virginia Beach - VA</v>
      </c>
      <c r="C31" t="str">
        <v>Virginia Beach - VA</v>
      </c>
    </row>
    <row r="32" spans="1:3" x14ac:dyDescent="0.3">
      <c r="A32" t="str">
        <v>Westchester - NY</v>
      </c>
      <c r="B32" t="str">
        <v>Westchester - NY</v>
      </c>
      <c r="C32" t="str">
        <v>Westchester - NY</v>
      </c>
    </row>
    <row r="33" spans="1:3" x14ac:dyDescent="0.3">
      <c r="A33" t="str">
        <v>Spokane - WA</v>
      </c>
      <c r="B33" t="str">
        <v>Spokane - WA</v>
      </c>
      <c r="C33" t="str">
        <v>Spokane - WA</v>
      </c>
    </row>
    <row r="34" spans="1:3" x14ac:dyDescent="0.3">
      <c r="A34" t="str">
        <v>Iowa City - IA</v>
      </c>
      <c r="B34" t="str">
        <v>Iowa City - IA</v>
      </c>
      <c r="C34" t="str">
        <v>Iowa City - IA</v>
      </c>
    </row>
    <row r="35" spans="1:3" x14ac:dyDescent="0.3">
      <c r="A35" t="str">
        <v>Pensacola - FL</v>
      </c>
      <c r="B35" t="str">
        <v>Pensacola - FL</v>
      </c>
      <c r="C35" t="str">
        <v>Pensacola - FL</v>
      </c>
    </row>
    <row r="36" spans="1:3" x14ac:dyDescent="0.3">
      <c r="A36" t="str">
        <v>Portland - ME</v>
      </c>
      <c r="B36" t="str">
        <v>Portland - ME</v>
      </c>
      <c r="C36" t="str">
        <v>Portland - ME</v>
      </c>
    </row>
    <row r="37" spans="1:3" x14ac:dyDescent="0.3">
      <c r="A37" t="str">
        <v>Springfield - MA</v>
      </c>
      <c r="B37" t="str">
        <v>Springfield - MA</v>
      </c>
      <c r="C37" t="str">
        <v>Springfield - MA</v>
      </c>
    </row>
    <row r="38" spans="1:3" x14ac:dyDescent="0.3">
      <c r="A38" t="str">
        <v>Evansville - IN</v>
      </c>
      <c r="B38" t="str">
        <v>Evansville - IN</v>
      </c>
      <c r="C38" t="str">
        <v>Evansville - IN</v>
      </c>
    </row>
    <row r="39" spans="1:3" x14ac:dyDescent="0.3">
      <c r="A39" t="str">
        <v>Kennewick - WA</v>
      </c>
      <c r="B39" t="str">
        <v>Kennewick - WA</v>
      </c>
      <c r="C39" t="str">
        <v>Kennewick - WA</v>
      </c>
    </row>
    <row r="40" spans="1:3" x14ac:dyDescent="0.3">
      <c r="A40" t="str">
        <v>Sioux Falls - SD</v>
      </c>
      <c r="B40" t="str">
        <v>Sioux Falls - SD</v>
      </c>
      <c r="C40" t="str">
        <v>Sioux Falls - SD</v>
      </c>
    </row>
    <row r="41" spans="1:3" x14ac:dyDescent="0.3">
      <c r="A41" t="str">
        <v>South Bend - IN</v>
      </c>
      <c r="B41" t="str">
        <v>South Bend - IN</v>
      </c>
      <c r="C41" t="str">
        <v>South Bend - IN</v>
      </c>
    </row>
    <row r="42" spans="1:3" x14ac:dyDescent="0.3">
      <c r="A42" t="str">
        <v>Reno - NV</v>
      </c>
      <c r="B42" t="str">
        <v>Reno - NV</v>
      </c>
      <c r="C42" t="str">
        <v>Reno - NV</v>
      </c>
    </row>
    <row r="43" spans="1:3" x14ac:dyDescent="0.3">
      <c r="A43" t="str">
        <v>Burlington - VT</v>
      </c>
      <c r="B43" t="str">
        <v>Burlington - VT</v>
      </c>
      <c r="C43" t="str">
        <v>Burlington - VT</v>
      </c>
    </row>
    <row r="44" spans="1:3" x14ac:dyDescent="0.3">
      <c r="A44" t="str">
        <v>Appleton - WI</v>
      </c>
      <c r="B44" t="str">
        <v>Des Moines - IA</v>
      </c>
      <c r="C44" t="str">
        <v>Appleton - WI</v>
      </c>
    </row>
    <row r="45" spans="1:3" x14ac:dyDescent="0.3">
      <c r="A45" t="str">
        <v>Knoxville - TN</v>
      </c>
      <c r="B45" t="str">
        <v>Fort Wayne - IN</v>
      </c>
      <c r="C45" t="str">
        <v>Des Moines - IA</v>
      </c>
    </row>
    <row r="46" spans="1:3" x14ac:dyDescent="0.3">
      <c r="A46" t="str">
        <v>Wichita - KS</v>
      </c>
      <c r="B46" t="str">
        <v>Knoxville - TN</v>
      </c>
      <c r="C46" t="str">
        <v>Knoxville - TN</v>
      </c>
    </row>
    <row r="47" spans="1:3" x14ac:dyDescent="0.3">
      <c r="A47">
        <v>0</v>
      </c>
      <c r="B47" t="str">
        <v>Willamette Valley - OR</v>
      </c>
      <c r="C47" t="str">
        <v>Fort Wayne - IN</v>
      </c>
    </row>
    <row r="48" spans="1:3" x14ac:dyDescent="0.3">
      <c r="B48" t="str">
        <v>Appleton - WI</v>
      </c>
      <c r="C48" t="str">
        <v>Wichita - KS</v>
      </c>
    </row>
    <row r="49" spans="2:3" x14ac:dyDescent="0.3">
      <c r="B49" t="str">
        <v>Wichita - KS</v>
      </c>
      <c r="C49">
        <v>0</v>
      </c>
    </row>
    <row r="50" spans="2:3" x14ac:dyDescent="0.3">
      <c r="B50">
        <v>0</v>
      </c>
      <c r="C50" t="str">
        <v>Willamette Valley -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1BEA-0637-4633-9D9F-C6F565D554E0}">
  <dimension ref="A1:F1882"/>
  <sheetViews>
    <sheetView workbookViewId="0"/>
  </sheetViews>
  <sheetFormatPr defaultRowHeight="14.4" x14ac:dyDescent="0.3"/>
  <cols>
    <col min="1" max="1" width="6.88671875" bestFit="1" customWidth="1"/>
    <col min="2" max="2" width="13.109375" bestFit="1" customWidth="1"/>
    <col min="3" max="3" width="9.77734375" bestFit="1" customWidth="1"/>
    <col min="4" max="4" width="28.44140625" bestFit="1" customWidth="1"/>
    <col min="5" max="5" width="7.44140625" bestFit="1" customWidth="1"/>
    <col min="6" max="6" width="15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2022</v>
      </c>
      <c r="B2">
        <v>1</v>
      </c>
      <c r="C2" t="s">
        <v>6</v>
      </c>
      <c r="D2" t="s">
        <v>7</v>
      </c>
      <c r="E2">
        <v>31</v>
      </c>
      <c r="F2">
        <v>20247.7</v>
      </c>
    </row>
    <row r="3" spans="1:6" x14ac:dyDescent="0.3">
      <c r="A3">
        <v>2022</v>
      </c>
      <c r="B3">
        <v>1</v>
      </c>
      <c r="C3" t="s">
        <v>6</v>
      </c>
      <c r="D3" t="s">
        <v>8</v>
      </c>
      <c r="E3">
        <v>80</v>
      </c>
      <c r="F3">
        <v>52667.99</v>
      </c>
    </row>
    <row r="4" spans="1:6" x14ac:dyDescent="0.3">
      <c r="A4">
        <v>2022</v>
      </c>
      <c r="B4">
        <v>1</v>
      </c>
      <c r="C4" t="s">
        <v>6</v>
      </c>
      <c r="D4" t="s">
        <v>9</v>
      </c>
      <c r="E4">
        <v>16</v>
      </c>
      <c r="F4">
        <v>10654.86</v>
      </c>
    </row>
    <row r="5" spans="1:6" x14ac:dyDescent="0.3">
      <c r="A5">
        <v>2022</v>
      </c>
      <c r="B5">
        <v>1</v>
      </c>
      <c r="C5" t="s">
        <v>6</v>
      </c>
      <c r="D5" t="s">
        <v>10</v>
      </c>
      <c r="E5">
        <v>52</v>
      </c>
      <c r="F5">
        <v>43455.59</v>
      </c>
    </row>
    <row r="6" spans="1:6" x14ac:dyDescent="0.3">
      <c r="A6">
        <v>2022</v>
      </c>
      <c r="B6">
        <v>1</v>
      </c>
      <c r="C6" t="s">
        <v>6</v>
      </c>
      <c r="D6" t="s">
        <v>11</v>
      </c>
      <c r="E6">
        <v>55</v>
      </c>
      <c r="F6">
        <v>41217.33</v>
      </c>
    </row>
    <row r="7" spans="1:6" x14ac:dyDescent="0.3">
      <c r="A7">
        <v>2022</v>
      </c>
      <c r="B7">
        <v>1</v>
      </c>
      <c r="C7" t="s">
        <v>6</v>
      </c>
      <c r="D7" t="s">
        <v>12</v>
      </c>
      <c r="E7">
        <v>61</v>
      </c>
      <c r="F7">
        <v>46463.48</v>
      </c>
    </row>
    <row r="8" spans="1:6" x14ac:dyDescent="0.3">
      <c r="A8">
        <v>2022</v>
      </c>
      <c r="B8">
        <v>1</v>
      </c>
      <c r="C8" t="s">
        <v>6</v>
      </c>
      <c r="D8" t="s">
        <v>13</v>
      </c>
      <c r="E8">
        <v>115</v>
      </c>
      <c r="F8">
        <v>93507.56</v>
      </c>
    </row>
    <row r="9" spans="1:6" x14ac:dyDescent="0.3">
      <c r="A9">
        <v>2022</v>
      </c>
      <c r="B9">
        <v>1</v>
      </c>
      <c r="C9" t="s">
        <v>6</v>
      </c>
      <c r="D9" t="s">
        <v>14</v>
      </c>
      <c r="E9">
        <v>154</v>
      </c>
      <c r="F9">
        <v>97198.18</v>
      </c>
    </row>
    <row r="10" spans="1:6" x14ac:dyDescent="0.3">
      <c r="A10">
        <v>2022</v>
      </c>
      <c r="B10">
        <v>1</v>
      </c>
      <c r="C10" t="s">
        <v>6</v>
      </c>
      <c r="D10" t="s">
        <v>15</v>
      </c>
      <c r="E10">
        <v>27</v>
      </c>
      <c r="F10">
        <v>15520.07</v>
      </c>
    </row>
    <row r="11" spans="1:6" x14ac:dyDescent="0.3">
      <c r="A11">
        <v>2022</v>
      </c>
      <c r="B11">
        <v>1</v>
      </c>
      <c r="C11" t="s">
        <v>6</v>
      </c>
      <c r="D11" t="s">
        <v>16</v>
      </c>
      <c r="E11">
        <v>11</v>
      </c>
      <c r="F11">
        <v>7194.06</v>
      </c>
    </row>
    <row r="12" spans="1:6" x14ac:dyDescent="0.3">
      <c r="A12">
        <v>2022</v>
      </c>
      <c r="B12">
        <v>1</v>
      </c>
      <c r="C12" t="s">
        <v>6</v>
      </c>
      <c r="D12" t="s">
        <v>17</v>
      </c>
      <c r="E12">
        <v>36</v>
      </c>
      <c r="F12">
        <v>24997.79</v>
      </c>
    </row>
    <row r="13" spans="1:6" x14ac:dyDescent="0.3">
      <c r="A13">
        <v>2022</v>
      </c>
      <c r="B13">
        <v>1</v>
      </c>
      <c r="C13" t="s">
        <v>6</v>
      </c>
      <c r="D13" t="s">
        <v>18</v>
      </c>
      <c r="E13">
        <v>112</v>
      </c>
      <c r="F13">
        <v>94744.41</v>
      </c>
    </row>
    <row r="14" spans="1:6" x14ac:dyDescent="0.3">
      <c r="A14">
        <v>2022</v>
      </c>
      <c r="B14">
        <v>1</v>
      </c>
      <c r="C14" t="s">
        <v>6</v>
      </c>
      <c r="D14" t="s">
        <v>19</v>
      </c>
      <c r="E14">
        <v>45</v>
      </c>
      <c r="F14">
        <v>34713.370000000003</v>
      </c>
    </row>
    <row r="15" spans="1:6" x14ac:dyDescent="0.3">
      <c r="A15">
        <v>2022</v>
      </c>
      <c r="B15">
        <v>1</v>
      </c>
      <c r="C15" t="s">
        <v>6</v>
      </c>
      <c r="D15" t="s">
        <v>20</v>
      </c>
      <c r="E15">
        <v>96</v>
      </c>
      <c r="F15">
        <v>81920.23</v>
      </c>
    </row>
    <row r="16" spans="1:6" x14ac:dyDescent="0.3">
      <c r="A16">
        <v>2022</v>
      </c>
      <c r="B16">
        <v>1</v>
      </c>
      <c r="C16" t="s">
        <v>6</v>
      </c>
      <c r="D16" t="s">
        <v>21</v>
      </c>
      <c r="E16">
        <v>104</v>
      </c>
      <c r="F16">
        <v>77247.81</v>
      </c>
    </row>
    <row r="17" spans="1:6" x14ac:dyDescent="0.3">
      <c r="A17">
        <v>2022</v>
      </c>
      <c r="B17">
        <v>1</v>
      </c>
      <c r="C17" t="s">
        <v>6</v>
      </c>
      <c r="D17" t="s">
        <v>22</v>
      </c>
      <c r="E17">
        <v>32</v>
      </c>
      <c r="F17">
        <v>19069.63</v>
      </c>
    </row>
    <row r="18" spans="1:6" x14ac:dyDescent="0.3">
      <c r="A18">
        <v>2022</v>
      </c>
      <c r="B18">
        <v>1</v>
      </c>
      <c r="C18" t="s">
        <v>6</v>
      </c>
      <c r="D18" t="s">
        <v>23</v>
      </c>
      <c r="E18">
        <v>21</v>
      </c>
      <c r="F18">
        <v>16932.23</v>
      </c>
    </row>
    <row r="19" spans="1:6" x14ac:dyDescent="0.3">
      <c r="A19">
        <v>2022</v>
      </c>
      <c r="B19">
        <v>1</v>
      </c>
      <c r="C19" t="s">
        <v>6</v>
      </c>
      <c r="D19" t="s">
        <v>24</v>
      </c>
      <c r="E19">
        <v>155</v>
      </c>
      <c r="F19">
        <v>111722.79</v>
      </c>
    </row>
    <row r="20" spans="1:6" x14ac:dyDescent="0.3">
      <c r="A20">
        <v>2022</v>
      </c>
      <c r="B20">
        <v>1</v>
      </c>
      <c r="C20" t="s">
        <v>6</v>
      </c>
      <c r="D20" t="s">
        <v>25</v>
      </c>
      <c r="E20">
        <v>101</v>
      </c>
      <c r="F20">
        <v>84653.759999999995</v>
      </c>
    </row>
    <row r="21" spans="1:6" x14ac:dyDescent="0.3">
      <c r="A21">
        <v>2022</v>
      </c>
      <c r="B21">
        <v>1</v>
      </c>
      <c r="C21" t="s">
        <v>6</v>
      </c>
      <c r="D21" t="s">
        <v>26</v>
      </c>
      <c r="E21">
        <v>14</v>
      </c>
      <c r="F21">
        <v>10755.13</v>
      </c>
    </row>
    <row r="22" spans="1:6" x14ac:dyDescent="0.3">
      <c r="A22">
        <v>2022</v>
      </c>
      <c r="B22">
        <v>1</v>
      </c>
      <c r="C22" t="s">
        <v>6</v>
      </c>
      <c r="D22" t="s">
        <v>27</v>
      </c>
      <c r="E22">
        <v>93</v>
      </c>
      <c r="F22">
        <v>68922.23</v>
      </c>
    </row>
    <row r="23" spans="1:6" x14ac:dyDescent="0.3">
      <c r="A23">
        <v>2022</v>
      </c>
      <c r="B23">
        <v>1</v>
      </c>
      <c r="C23" t="s">
        <v>6</v>
      </c>
      <c r="D23" t="s">
        <v>28</v>
      </c>
      <c r="E23">
        <v>27</v>
      </c>
      <c r="F23">
        <v>23836.02</v>
      </c>
    </row>
    <row r="24" spans="1:6" x14ac:dyDescent="0.3">
      <c r="A24">
        <v>2022</v>
      </c>
      <c r="B24">
        <v>1</v>
      </c>
      <c r="C24" t="s">
        <v>6</v>
      </c>
      <c r="D24" t="s">
        <v>29</v>
      </c>
      <c r="E24">
        <v>84</v>
      </c>
      <c r="F24">
        <v>66352.460000000006</v>
      </c>
    </row>
    <row r="25" spans="1:6" x14ac:dyDescent="0.3">
      <c r="A25">
        <v>2022</v>
      </c>
      <c r="B25">
        <v>1</v>
      </c>
      <c r="C25" t="s">
        <v>6</v>
      </c>
      <c r="D25" t="s">
        <v>30</v>
      </c>
      <c r="E25">
        <v>55</v>
      </c>
      <c r="F25">
        <v>40030.75</v>
      </c>
    </row>
    <row r="26" spans="1:6" x14ac:dyDescent="0.3">
      <c r="A26">
        <v>2022</v>
      </c>
      <c r="B26">
        <v>1</v>
      </c>
      <c r="C26" t="s">
        <v>6</v>
      </c>
      <c r="D26" t="s">
        <v>31</v>
      </c>
      <c r="E26">
        <v>128</v>
      </c>
      <c r="F26">
        <v>111574.99</v>
      </c>
    </row>
    <row r="27" spans="1:6" x14ac:dyDescent="0.3">
      <c r="A27">
        <v>2022</v>
      </c>
      <c r="B27">
        <v>1</v>
      </c>
      <c r="C27" t="s">
        <v>6</v>
      </c>
      <c r="D27" t="s">
        <v>32</v>
      </c>
      <c r="E27">
        <v>13</v>
      </c>
      <c r="F27">
        <v>11527.73</v>
      </c>
    </row>
    <row r="28" spans="1:6" x14ac:dyDescent="0.3">
      <c r="A28">
        <v>2022</v>
      </c>
      <c r="B28">
        <v>1</v>
      </c>
      <c r="C28" t="s">
        <v>6</v>
      </c>
      <c r="D28" t="s">
        <v>33</v>
      </c>
      <c r="E28">
        <v>159</v>
      </c>
      <c r="F28">
        <v>148787.51999999999</v>
      </c>
    </row>
    <row r="29" spans="1:6" x14ac:dyDescent="0.3">
      <c r="A29">
        <v>2022</v>
      </c>
      <c r="B29">
        <v>1</v>
      </c>
      <c r="C29" t="s">
        <v>6</v>
      </c>
      <c r="D29" t="s">
        <v>34</v>
      </c>
      <c r="E29">
        <v>80</v>
      </c>
      <c r="F29">
        <v>62713.25</v>
      </c>
    </row>
    <row r="30" spans="1:6" x14ac:dyDescent="0.3">
      <c r="A30">
        <v>2022</v>
      </c>
      <c r="B30">
        <v>1</v>
      </c>
      <c r="C30" t="s">
        <v>6</v>
      </c>
      <c r="D30" t="s">
        <v>35</v>
      </c>
      <c r="E30">
        <v>21</v>
      </c>
      <c r="F30">
        <v>16069.51</v>
      </c>
    </row>
    <row r="31" spans="1:6" x14ac:dyDescent="0.3">
      <c r="A31">
        <v>2022</v>
      </c>
      <c r="B31">
        <v>1</v>
      </c>
      <c r="C31" t="s">
        <v>6</v>
      </c>
      <c r="D31" t="s">
        <v>36</v>
      </c>
      <c r="E31">
        <v>118</v>
      </c>
      <c r="F31">
        <v>86572.96</v>
      </c>
    </row>
    <row r="32" spans="1:6" x14ac:dyDescent="0.3">
      <c r="A32">
        <v>2022</v>
      </c>
      <c r="B32">
        <v>1</v>
      </c>
      <c r="C32" t="s">
        <v>6</v>
      </c>
      <c r="D32" t="s">
        <v>37</v>
      </c>
      <c r="E32">
        <v>62</v>
      </c>
      <c r="F32">
        <v>58051.29</v>
      </c>
    </row>
    <row r="33" spans="1:6" x14ac:dyDescent="0.3">
      <c r="A33">
        <v>2022</v>
      </c>
      <c r="B33">
        <v>2</v>
      </c>
      <c r="C33" t="s">
        <v>38</v>
      </c>
      <c r="D33" t="s">
        <v>7</v>
      </c>
      <c r="E33">
        <v>38</v>
      </c>
      <c r="F33">
        <v>29719.03</v>
      </c>
    </row>
    <row r="34" spans="1:6" x14ac:dyDescent="0.3">
      <c r="A34">
        <v>2022</v>
      </c>
      <c r="B34">
        <v>2</v>
      </c>
      <c r="C34" t="s">
        <v>38</v>
      </c>
      <c r="D34" t="s">
        <v>8</v>
      </c>
      <c r="E34">
        <v>113</v>
      </c>
      <c r="F34">
        <v>61758.63</v>
      </c>
    </row>
    <row r="35" spans="1:6" x14ac:dyDescent="0.3">
      <c r="A35">
        <v>2022</v>
      </c>
      <c r="B35">
        <v>2</v>
      </c>
      <c r="C35" t="s">
        <v>38</v>
      </c>
      <c r="D35" t="s">
        <v>9</v>
      </c>
      <c r="E35">
        <v>10</v>
      </c>
      <c r="F35">
        <v>10701.26</v>
      </c>
    </row>
    <row r="36" spans="1:6" x14ac:dyDescent="0.3">
      <c r="A36">
        <v>2022</v>
      </c>
      <c r="B36">
        <v>2</v>
      </c>
      <c r="C36" t="s">
        <v>38</v>
      </c>
      <c r="D36" t="s">
        <v>10</v>
      </c>
      <c r="E36">
        <v>49</v>
      </c>
      <c r="F36">
        <v>44662.96</v>
      </c>
    </row>
    <row r="37" spans="1:6" x14ac:dyDescent="0.3">
      <c r="A37">
        <v>2022</v>
      </c>
      <c r="B37">
        <v>2</v>
      </c>
      <c r="C37" t="s">
        <v>38</v>
      </c>
      <c r="D37" t="s">
        <v>11</v>
      </c>
      <c r="E37">
        <v>78</v>
      </c>
      <c r="F37">
        <v>53205.52</v>
      </c>
    </row>
    <row r="38" spans="1:6" x14ac:dyDescent="0.3">
      <c r="A38">
        <v>2022</v>
      </c>
      <c r="B38">
        <v>2</v>
      </c>
      <c r="C38" t="s">
        <v>38</v>
      </c>
      <c r="D38" t="s">
        <v>12</v>
      </c>
      <c r="E38">
        <v>50</v>
      </c>
      <c r="F38">
        <v>39493.480000000003</v>
      </c>
    </row>
    <row r="39" spans="1:6" x14ac:dyDescent="0.3">
      <c r="A39">
        <v>2022</v>
      </c>
      <c r="B39">
        <v>2</v>
      </c>
      <c r="C39" t="s">
        <v>38</v>
      </c>
      <c r="D39" t="s">
        <v>13</v>
      </c>
      <c r="E39">
        <v>167</v>
      </c>
      <c r="F39">
        <v>111207.67999999999</v>
      </c>
    </row>
    <row r="40" spans="1:6" x14ac:dyDescent="0.3">
      <c r="A40">
        <v>2022</v>
      </c>
      <c r="B40">
        <v>2</v>
      </c>
      <c r="C40" t="s">
        <v>38</v>
      </c>
      <c r="D40" t="s">
        <v>14</v>
      </c>
      <c r="E40">
        <v>132</v>
      </c>
      <c r="F40">
        <v>95192.78</v>
      </c>
    </row>
    <row r="41" spans="1:6" x14ac:dyDescent="0.3">
      <c r="A41">
        <v>2022</v>
      </c>
      <c r="B41">
        <v>2</v>
      </c>
      <c r="C41" t="s">
        <v>38</v>
      </c>
      <c r="D41" t="s">
        <v>15</v>
      </c>
      <c r="E41">
        <v>16</v>
      </c>
      <c r="F41">
        <v>10917.03</v>
      </c>
    </row>
    <row r="42" spans="1:6" x14ac:dyDescent="0.3">
      <c r="A42">
        <v>2022</v>
      </c>
      <c r="B42">
        <v>2</v>
      </c>
      <c r="C42" t="s">
        <v>38</v>
      </c>
      <c r="D42" t="s">
        <v>16</v>
      </c>
      <c r="E42">
        <v>20</v>
      </c>
      <c r="F42">
        <v>14482.88</v>
      </c>
    </row>
    <row r="43" spans="1:6" x14ac:dyDescent="0.3">
      <c r="A43">
        <v>2022</v>
      </c>
      <c r="B43">
        <v>2</v>
      </c>
      <c r="C43" t="s">
        <v>38</v>
      </c>
      <c r="D43" t="s">
        <v>17</v>
      </c>
      <c r="E43">
        <v>38</v>
      </c>
      <c r="F43">
        <v>29230.49</v>
      </c>
    </row>
    <row r="44" spans="1:6" x14ac:dyDescent="0.3">
      <c r="A44">
        <v>2022</v>
      </c>
      <c r="B44">
        <v>2</v>
      </c>
      <c r="C44" t="s">
        <v>38</v>
      </c>
      <c r="D44" t="s">
        <v>18</v>
      </c>
      <c r="E44">
        <v>98</v>
      </c>
      <c r="F44">
        <v>98039.77</v>
      </c>
    </row>
    <row r="45" spans="1:6" x14ac:dyDescent="0.3">
      <c r="A45">
        <v>2022</v>
      </c>
      <c r="B45">
        <v>2</v>
      </c>
      <c r="C45" t="s">
        <v>38</v>
      </c>
      <c r="D45" t="s">
        <v>19</v>
      </c>
      <c r="E45">
        <v>81</v>
      </c>
      <c r="F45">
        <v>52005.8</v>
      </c>
    </row>
    <row r="46" spans="1:6" x14ac:dyDescent="0.3">
      <c r="A46">
        <v>2022</v>
      </c>
      <c r="B46">
        <v>2</v>
      </c>
      <c r="C46" t="s">
        <v>38</v>
      </c>
      <c r="D46" t="s">
        <v>20</v>
      </c>
      <c r="E46">
        <v>124</v>
      </c>
      <c r="F46">
        <v>81055.19</v>
      </c>
    </row>
    <row r="47" spans="1:6" x14ac:dyDescent="0.3">
      <c r="A47">
        <v>2022</v>
      </c>
      <c r="B47">
        <v>2</v>
      </c>
      <c r="C47" t="s">
        <v>38</v>
      </c>
      <c r="D47" t="s">
        <v>21</v>
      </c>
      <c r="E47">
        <v>152</v>
      </c>
      <c r="F47">
        <v>135831.85999999999</v>
      </c>
    </row>
    <row r="48" spans="1:6" x14ac:dyDescent="0.3">
      <c r="A48">
        <v>2022</v>
      </c>
      <c r="B48">
        <v>2</v>
      </c>
      <c r="C48" t="s">
        <v>38</v>
      </c>
      <c r="D48" t="s">
        <v>22</v>
      </c>
      <c r="E48">
        <v>127</v>
      </c>
      <c r="F48">
        <v>73952.31</v>
      </c>
    </row>
    <row r="49" spans="1:6" x14ac:dyDescent="0.3">
      <c r="A49">
        <v>2022</v>
      </c>
      <c r="B49">
        <v>2</v>
      </c>
      <c r="C49" t="s">
        <v>38</v>
      </c>
      <c r="D49" t="s">
        <v>23</v>
      </c>
      <c r="E49">
        <v>27</v>
      </c>
      <c r="F49">
        <v>25708.97</v>
      </c>
    </row>
    <row r="50" spans="1:6" x14ac:dyDescent="0.3">
      <c r="A50">
        <v>2022</v>
      </c>
      <c r="B50">
        <v>2</v>
      </c>
      <c r="C50" t="s">
        <v>38</v>
      </c>
      <c r="D50" t="s">
        <v>24</v>
      </c>
      <c r="E50">
        <v>432</v>
      </c>
      <c r="F50">
        <v>273191.32</v>
      </c>
    </row>
    <row r="51" spans="1:6" x14ac:dyDescent="0.3">
      <c r="A51">
        <v>2022</v>
      </c>
      <c r="B51">
        <v>2</v>
      </c>
      <c r="C51" t="s">
        <v>38</v>
      </c>
      <c r="D51" t="s">
        <v>25</v>
      </c>
      <c r="E51">
        <v>169</v>
      </c>
      <c r="F51">
        <v>124469.75</v>
      </c>
    </row>
    <row r="52" spans="1:6" x14ac:dyDescent="0.3">
      <c r="A52">
        <v>2022</v>
      </c>
      <c r="B52">
        <v>2</v>
      </c>
      <c r="C52" t="s">
        <v>38</v>
      </c>
      <c r="D52" t="s">
        <v>26</v>
      </c>
      <c r="E52">
        <v>13</v>
      </c>
      <c r="F52">
        <v>10862.28</v>
      </c>
    </row>
    <row r="53" spans="1:6" x14ac:dyDescent="0.3">
      <c r="A53">
        <v>2022</v>
      </c>
      <c r="B53">
        <v>2</v>
      </c>
      <c r="C53" t="s">
        <v>38</v>
      </c>
      <c r="D53" t="s">
        <v>27</v>
      </c>
      <c r="E53">
        <v>121</v>
      </c>
      <c r="F53">
        <v>102262.29</v>
      </c>
    </row>
    <row r="54" spans="1:6" x14ac:dyDescent="0.3">
      <c r="A54">
        <v>2022</v>
      </c>
      <c r="B54">
        <v>2</v>
      </c>
      <c r="C54" t="s">
        <v>38</v>
      </c>
      <c r="D54" t="s">
        <v>28</v>
      </c>
      <c r="E54">
        <v>85</v>
      </c>
      <c r="F54">
        <v>47577.73</v>
      </c>
    </row>
    <row r="55" spans="1:6" x14ac:dyDescent="0.3">
      <c r="A55">
        <v>2022</v>
      </c>
      <c r="B55">
        <v>2</v>
      </c>
      <c r="C55" t="s">
        <v>38</v>
      </c>
      <c r="D55" t="s">
        <v>29</v>
      </c>
      <c r="E55">
        <v>83</v>
      </c>
      <c r="F55">
        <v>59449.04</v>
      </c>
    </row>
    <row r="56" spans="1:6" x14ac:dyDescent="0.3">
      <c r="A56">
        <v>2022</v>
      </c>
      <c r="B56">
        <v>2</v>
      </c>
      <c r="C56" t="s">
        <v>38</v>
      </c>
      <c r="D56" t="s">
        <v>30</v>
      </c>
      <c r="E56">
        <v>34</v>
      </c>
      <c r="F56">
        <v>24554.34</v>
      </c>
    </row>
    <row r="57" spans="1:6" x14ac:dyDescent="0.3">
      <c r="A57">
        <v>2022</v>
      </c>
      <c r="B57">
        <v>2</v>
      </c>
      <c r="C57" t="s">
        <v>38</v>
      </c>
      <c r="D57" t="s">
        <v>31</v>
      </c>
      <c r="E57">
        <v>121</v>
      </c>
      <c r="F57">
        <v>102323.73</v>
      </c>
    </row>
    <row r="58" spans="1:6" x14ac:dyDescent="0.3">
      <c r="A58">
        <v>2022</v>
      </c>
      <c r="B58">
        <v>2</v>
      </c>
      <c r="C58" t="s">
        <v>38</v>
      </c>
      <c r="D58" t="s">
        <v>32</v>
      </c>
      <c r="E58">
        <v>14</v>
      </c>
      <c r="F58">
        <v>12084.04</v>
      </c>
    </row>
    <row r="59" spans="1:6" x14ac:dyDescent="0.3">
      <c r="A59">
        <v>2022</v>
      </c>
      <c r="B59">
        <v>2</v>
      </c>
      <c r="C59" t="s">
        <v>38</v>
      </c>
      <c r="D59" t="s">
        <v>33</v>
      </c>
      <c r="E59">
        <v>139</v>
      </c>
      <c r="F59">
        <v>127449.51</v>
      </c>
    </row>
    <row r="60" spans="1:6" x14ac:dyDescent="0.3">
      <c r="A60">
        <v>2022</v>
      </c>
      <c r="B60">
        <v>2</v>
      </c>
      <c r="C60" t="s">
        <v>38</v>
      </c>
      <c r="D60" t="s">
        <v>34</v>
      </c>
      <c r="E60">
        <v>163</v>
      </c>
      <c r="F60">
        <v>118558.41</v>
      </c>
    </row>
    <row r="61" spans="1:6" x14ac:dyDescent="0.3">
      <c r="A61">
        <v>2022</v>
      </c>
      <c r="B61">
        <v>2</v>
      </c>
      <c r="C61" t="s">
        <v>38</v>
      </c>
      <c r="D61" t="s">
        <v>35</v>
      </c>
      <c r="E61">
        <v>84</v>
      </c>
      <c r="F61">
        <v>56601.440000000002</v>
      </c>
    </row>
    <row r="62" spans="1:6" x14ac:dyDescent="0.3">
      <c r="A62">
        <v>2022</v>
      </c>
      <c r="B62">
        <v>2</v>
      </c>
      <c r="C62" t="s">
        <v>38</v>
      </c>
      <c r="D62" t="s">
        <v>36</v>
      </c>
      <c r="E62">
        <v>175</v>
      </c>
      <c r="F62">
        <v>128255.1</v>
      </c>
    </row>
    <row r="63" spans="1:6" x14ac:dyDescent="0.3">
      <c r="A63">
        <v>2022</v>
      </c>
      <c r="B63">
        <v>2</v>
      </c>
      <c r="C63" t="s">
        <v>38</v>
      </c>
      <c r="D63" t="s">
        <v>37</v>
      </c>
      <c r="E63">
        <v>59</v>
      </c>
      <c r="F63">
        <v>48902.29</v>
      </c>
    </row>
    <row r="64" spans="1:6" x14ac:dyDescent="0.3">
      <c r="A64">
        <v>2022</v>
      </c>
      <c r="B64">
        <v>3</v>
      </c>
      <c r="C64" t="s">
        <v>39</v>
      </c>
      <c r="D64" t="s">
        <v>7</v>
      </c>
      <c r="E64">
        <v>53</v>
      </c>
      <c r="F64">
        <v>36927.339999999997</v>
      </c>
    </row>
    <row r="65" spans="1:6" x14ac:dyDescent="0.3">
      <c r="A65">
        <v>2022</v>
      </c>
      <c r="B65">
        <v>3</v>
      </c>
      <c r="C65" t="s">
        <v>39</v>
      </c>
      <c r="D65" t="s">
        <v>8</v>
      </c>
      <c r="E65">
        <v>198</v>
      </c>
      <c r="F65">
        <v>142089.57</v>
      </c>
    </row>
    <row r="66" spans="1:6" x14ac:dyDescent="0.3">
      <c r="A66">
        <v>2022</v>
      </c>
      <c r="B66">
        <v>3</v>
      </c>
      <c r="C66" t="s">
        <v>39</v>
      </c>
      <c r="D66" t="s">
        <v>9</v>
      </c>
      <c r="E66">
        <v>17</v>
      </c>
      <c r="F66">
        <v>12283.06</v>
      </c>
    </row>
    <row r="67" spans="1:6" x14ac:dyDescent="0.3">
      <c r="A67">
        <v>2022</v>
      </c>
      <c r="B67">
        <v>3</v>
      </c>
      <c r="C67" t="s">
        <v>39</v>
      </c>
      <c r="D67" t="s">
        <v>10</v>
      </c>
      <c r="E67">
        <v>73</v>
      </c>
      <c r="F67">
        <v>65716.09</v>
      </c>
    </row>
    <row r="68" spans="1:6" x14ac:dyDescent="0.3">
      <c r="A68">
        <v>2022</v>
      </c>
      <c r="B68">
        <v>3</v>
      </c>
      <c r="C68" t="s">
        <v>39</v>
      </c>
      <c r="D68" t="s">
        <v>11</v>
      </c>
      <c r="E68">
        <v>114</v>
      </c>
      <c r="F68">
        <v>80678.350000000006</v>
      </c>
    </row>
    <row r="69" spans="1:6" x14ac:dyDescent="0.3">
      <c r="A69">
        <v>2022</v>
      </c>
      <c r="B69">
        <v>3</v>
      </c>
      <c r="C69" t="s">
        <v>39</v>
      </c>
      <c r="D69" t="s">
        <v>12</v>
      </c>
      <c r="E69">
        <v>56</v>
      </c>
      <c r="F69">
        <v>43087.81</v>
      </c>
    </row>
    <row r="70" spans="1:6" x14ac:dyDescent="0.3">
      <c r="A70">
        <v>2022</v>
      </c>
      <c r="B70">
        <v>3</v>
      </c>
      <c r="C70" t="s">
        <v>39</v>
      </c>
      <c r="D70" t="s">
        <v>13</v>
      </c>
      <c r="E70">
        <v>124</v>
      </c>
      <c r="F70">
        <v>87579.42</v>
      </c>
    </row>
    <row r="71" spans="1:6" x14ac:dyDescent="0.3">
      <c r="A71">
        <v>2022</v>
      </c>
      <c r="B71">
        <v>3</v>
      </c>
      <c r="C71" t="s">
        <v>39</v>
      </c>
      <c r="D71" t="s">
        <v>14</v>
      </c>
      <c r="E71">
        <v>95</v>
      </c>
      <c r="F71">
        <v>58861.32</v>
      </c>
    </row>
    <row r="72" spans="1:6" x14ac:dyDescent="0.3">
      <c r="A72">
        <v>2022</v>
      </c>
      <c r="B72">
        <v>3</v>
      </c>
      <c r="C72" t="s">
        <v>39</v>
      </c>
      <c r="D72" t="s">
        <v>15</v>
      </c>
      <c r="E72">
        <v>40</v>
      </c>
      <c r="F72">
        <v>26996.9</v>
      </c>
    </row>
    <row r="73" spans="1:6" x14ac:dyDescent="0.3">
      <c r="A73">
        <v>2022</v>
      </c>
      <c r="B73">
        <v>3</v>
      </c>
      <c r="C73" t="s">
        <v>39</v>
      </c>
      <c r="D73" t="s">
        <v>16</v>
      </c>
      <c r="E73">
        <v>41</v>
      </c>
      <c r="F73">
        <v>30478.44</v>
      </c>
    </row>
    <row r="74" spans="1:6" x14ac:dyDescent="0.3">
      <c r="A74">
        <v>2022</v>
      </c>
      <c r="B74">
        <v>3</v>
      </c>
      <c r="C74" t="s">
        <v>39</v>
      </c>
      <c r="D74" t="s">
        <v>17</v>
      </c>
      <c r="E74">
        <v>154</v>
      </c>
      <c r="F74">
        <v>139848.98000000001</v>
      </c>
    </row>
    <row r="75" spans="1:6" x14ac:dyDescent="0.3">
      <c r="A75">
        <v>2022</v>
      </c>
      <c r="B75">
        <v>3</v>
      </c>
      <c r="C75" t="s">
        <v>39</v>
      </c>
      <c r="D75" t="s">
        <v>18</v>
      </c>
      <c r="E75">
        <v>140</v>
      </c>
      <c r="F75">
        <v>119244.16</v>
      </c>
    </row>
    <row r="76" spans="1:6" x14ac:dyDescent="0.3">
      <c r="A76">
        <v>2022</v>
      </c>
      <c r="B76">
        <v>3</v>
      </c>
      <c r="C76" t="s">
        <v>39</v>
      </c>
      <c r="D76" t="s">
        <v>19</v>
      </c>
      <c r="E76">
        <v>174</v>
      </c>
      <c r="F76">
        <v>102965.32</v>
      </c>
    </row>
    <row r="77" spans="1:6" x14ac:dyDescent="0.3">
      <c r="A77">
        <v>2022</v>
      </c>
      <c r="B77">
        <v>3</v>
      </c>
      <c r="C77" t="s">
        <v>39</v>
      </c>
      <c r="D77" t="s">
        <v>20</v>
      </c>
      <c r="E77">
        <v>163</v>
      </c>
      <c r="F77">
        <v>116366.19</v>
      </c>
    </row>
    <row r="78" spans="1:6" x14ac:dyDescent="0.3">
      <c r="A78">
        <v>2022</v>
      </c>
      <c r="B78">
        <v>3</v>
      </c>
      <c r="C78" t="s">
        <v>39</v>
      </c>
      <c r="D78" t="s">
        <v>21</v>
      </c>
      <c r="E78">
        <v>184</v>
      </c>
      <c r="F78">
        <v>137171.14000000001</v>
      </c>
    </row>
    <row r="79" spans="1:6" x14ac:dyDescent="0.3">
      <c r="A79">
        <v>2022</v>
      </c>
      <c r="B79">
        <v>3</v>
      </c>
      <c r="C79" t="s">
        <v>39</v>
      </c>
      <c r="D79" t="s">
        <v>22</v>
      </c>
      <c r="E79">
        <v>72</v>
      </c>
      <c r="F79">
        <v>42815.87</v>
      </c>
    </row>
    <row r="80" spans="1:6" x14ac:dyDescent="0.3">
      <c r="A80">
        <v>2022</v>
      </c>
      <c r="B80">
        <v>3</v>
      </c>
      <c r="C80" t="s">
        <v>39</v>
      </c>
      <c r="D80" t="s">
        <v>23</v>
      </c>
      <c r="E80">
        <v>41</v>
      </c>
      <c r="F80">
        <v>36572.230000000003</v>
      </c>
    </row>
    <row r="81" spans="1:6" x14ac:dyDescent="0.3">
      <c r="A81">
        <v>2022</v>
      </c>
      <c r="B81">
        <v>3</v>
      </c>
      <c r="C81" t="s">
        <v>39</v>
      </c>
      <c r="D81" t="s">
        <v>24</v>
      </c>
      <c r="E81">
        <v>142</v>
      </c>
      <c r="F81">
        <v>92910.38</v>
      </c>
    </row>
    <row r="82" spans="1:6" x14ac:dyDescent="0.3">
      <c r="A82">
        <v>2022</v>
      </c>
      <c r="B82">
        <v>3</v>
      </c>
      <c r="C82" t="s">
        <v>39</v>
      </c>
      <c r="D82" t="s">
        <v>25</v>
      </c>
      <c r="E82">
        <v>184</v>
      </c>
      <c r="F82">
        <v>139441.18</v>
      </c>
    </row>
    <row r="83" spans="1:6" x14ac:dyDescent="0.3">
      <c r="A83">
        <v>2022</v>
      </c>
      <c r="B83">
        <v>3</v>
      </c>
      <c r="C83" t="s">
        <v>39</v>
      </c>
      <c r="D83" t="s">
        <v>26</v>
      </c>
      <c r="E83">
        <v>39</v>
      </c>
      <c r="F83">
        <v>32871.870000000003</v>
      </c>
    </row>
    <row r="84" spans="1:6" x14ac:dyDescent="0.3">
      <c r="A84">
        <v>2022</v>
      </c>
      <c r="B84">
        <v>3</v>
      </c>
      <c r="C84" t="s">
        <v>39</v>
      </c>
      <c r="D84" t="s">
        <v>27</v>
      </c>
      <c r="E84">
        <v>150</v>
      </c>
      <c r="F84">
        <v>117388.39</v>
      </c>
    </row>
    <row r="85" spans="1:6" x14ac:dyDescent="0.3">
      <c r="A85">
        <v>2022</v>
      </c>
      <c r="B85">
        <v>3</v>
      </c>
      <c r="C85" t="s">
        <v>39</v>
      </c>
      <c r="D85" t="s">
        <v>28</v>
      </c>
      <c r="E85">
        <v>62</v>
      </c>
      <c r="F85">
        <v>47602.81</v>
      </c>
    </row>
    <row r="86" spans="1:6" x14ac:dyDescent="0.3">
      <c r="A86">
        <v>2022</v>
      </c>
      <c r="B86">
        <v>3</v>
      </c>
      <c r="C86" t="s">
        <v>39</v>
      </c>
      <c r="D86" t="s">
        <v>29</v>
      </c>
      <c r="E86">
        <v>112</v>
      </c>
      <c r="F86">
        <v>82310.31</v>
      </c>
    </row>
    <row r="87" spans="1:6" x14ac:dyDescent="0.3">
      <c r="A87">
        <v>2022</v>
      </c>
      <c r="B87">
        <v>3</v>
      </c>
      <c r="C87" t="s">
        <v>39</v>
      </c>
      <c r="D87" t="s">
        <v>30</v>
      </c>
      <c r="E87">
        <v>95</v>
      </c>
      <c r="F87">
        <v>59443.360000000001</v>
      </c>
    </row>
    <row r="88" spans="1:6" x14ac:dyDescent="0.3">
      <c r="A88">
        <v>2022</v>
      </c>
      <c r="B88">
        <v>3</v>
      </c>
      <c r="C88" t="s">
        <v>39</v>
      </c>
      <c r="D88" t="s">
        <v>31</v>
      </c>
      <c r="E88">
        <v>190</v>
      </c>
      <c r="F88">
        <v>160436.54999999999</v>
      </c>
    </row>
    <row r="89" spans="1:6" x14ac:dyDescent="0.3">
      <c r="A89">
        <v>2022</v>
      </c>
      <c r="B89">
        <v>3</v>
      </c>
      <c r="C89" t="s">
        <v>39</v>
      </c>
      <c r="D89" t="s">
        <v>32</v>
      </c>
      <c r="E89">
        <v>30</v>
      </c>
      <c r="F89">
        <v>21224.2</v>
      </c>
    </row>
    <row r="90" spans="1:6" x14ac:dyDescent="0.3">
      <c r="A90">
        <v>2022</v>
      </c>
      <c r="B90">
        <v>3</v>
      </c>
      <c r="C90" t="s">
        <v>39</v>
      </c>
      <c r="D90" t="s">
        <v>33</v>
      </c>
      <c r="E90">
        <v>210</v>
      </c>
      <c r="F90">
        <v>186221.69</v>
      </c>
    </row>
    <row r="91" spans="1:6" x14ac:dyDescent="0.3">
      <c r="A91">
        <v>2022</v>
      </c>
      <c r="B91">
        <v>3</v>
      </c>
      <c r="C91" t="s">
        <v>39</v>
      </c>
      <c r="D91" t="s">
        <v>34</v>
      </c>
      <c r="E91">
        <v>139</v>
      </c>
      <c r="F91">
        <v>100960.4</v>
      </c>
    </row>
    <row r="92" spans="1:6" x14ac:dyDescent="0.3">
      <c r="A92">
        <v>2022</v>
      </c>
      <c r="B92">
        <v>3</v>
      </c>
      <c r="C92" t="s">
        <v>39</v>
      </c>
      <c r="D92" t="s">
        <v>35</v>
      </c>
      <c r="E92">
        <v>56</v>
      </c>
      <c r="F92">
        <v>40157.75</v>
      </c>
    </row>
    <row r="93" spans="1:6" x14ac:dyDescent="0.3">
      <c r="A93">
        <v>2022</v>
      </c>
      <c r="B93">
        <v>3</v>
      </c>
      <c r="C93" t="s">
        <v>39</v>
      </c>
      <c r="D93" t="s">
        <v>36</v>
      </c>
      <c r="E93">
        <v>156</v>
      </c>
      <c r="F93">
        <v>126554.39</v>
      </c>
    </row>
    <row r="94" spans="1:6" x14ac:dyDescent="0.3">
      <c r="A94">
        <v>2022</v>
      </c>
      <c r="B94">
        <v>3</v>
      </c>
      <c r="C94" t="s">
        <v>39</v>
      </c>
      <c r="D94" t="s">
        <v>37</v>
      </c>
      <c r="E94">
        <v>117</v>
      </c>
      <c r="F94">
        <v>95911.09</v>
      </c>
    </row>
    <row r="95" spans="1:6" x14ac:dyDescent="0.3">
      <c r="A95">
        <v>2022</v>
      </c>
      <c r="B95">
        <v>4</v>
      </c>
      <c r="C95" t="s">
        <v>40</v>
      </c>
      <c r="D95" t="s">
        <v>7</v>
      </c>
      <c r="E95">
        <v>98</v>
      </c>
      <c r="F95">
        <v>76270.02</v>
      </c>
    </row>
    <row r="96" spans="1:6" x14ac:dyDescent="0.3">
      <c r="A96">
        <v>2022</v>
      </c>
      <c r="B96">
        <v>4</v>
      </c>
      <c r="C96" t="s">
        <v>40</v>
      </c>
      <c r="D96" t="s">
        <v>8</v>
      </c>
      <c r="E96">
        <v>220</v>
      </c>
      <c r="F96">
        <v>149101.54</v>
      </c>
    </row>
    <row r="97" spans="1:6" x14ac:dyDescent="0.3">
      <c r="A97">
        <v>2022</v>
      </c>
      <c r="B97">
        <v>4</v>
      </c>
      <c r="C97" t="s">
        <v>40</v>
      </c>
      <c r="D97" t="s">
        <v>9</v>
      </c>
      <c r="E97">
        <v>35</v>
      </c>
      <c r="F97">
        <v>28066.66</v>
      </c>
    </row>
    <row r="98" spans="1:6" x14ac:dyDescent="0.3">
      <c r="A98">
        <v>2022</v>
      </c>
      <c r="B98">
        <v>4</v>
      </c>
      <c r="C98" t="s">
        <v>40</v>
      </c>
      <c r="D98" t="s">
        <v>10</v>
      </c>
      <c r="E98">
        <v>267</v>
      </c>
      <c r="F98">
        <v>237585.96</v>
      </c>
    </row>
    <row r="99" spans="1:6" x14ac:dyDescent="0.3">
      <c r="A99">
        <v>2022</v>
      </c>
      <c r="B99">
        <v>4</v>
      </c>
      <c r="C99" t="s">
        <v>40</v>
      </c>
      <c r="D99" t="s">
        <v>11</v>
      </c>
      <c r="E99">
        <v>153</v>
      </c>
      <c r="F99">
        <v>114195.87</v>
      </c>
    </row>
    <row r="100" spans="1:6" x14ac:dyDescent="0.3">
      <c r="A100">
        <v>2022</v>
      </c>
      <c r="B100">
        <v>4</v>
      </c>
      <c r="C100" t="s">
        <v>40</v>
      </c>
      <c r="D100" t="s">
        <v>12</v>
      </c>
      <c r="E100">
        <v>96</v>
      </c>
      <c r="F100">
        <v>66599.19</v>
      </c>
    </row>
    <row r="101" spans="1:6" x14ac:dyDescent="0.3">
      <c r="A101">
        <v>2022</v>
      </c>
      <c r="B101">
        <v>4</v>
      </c>
      <c r="C101" t="s">
        <v>40</v>
      </c>
      <c r="D101" t="s">
        <v>13</v>
      </c>
      <c r="E101">
        <v>183</v>
      </c>
      <c r="F101">
        <v>126474.46</v>
      </c>
    </row>
    <row r="102" spans="1:6" x14ac:dyDescent="0.3">
      <c r="A102">
        <v>2022</v>
      </c>
      <c r="B102">
        <v>4</v>
      </c>
      <c r="C102" t="s">
        <v>40</v>
      </c>
      <c r="D102" t="s">
        <v>14</v>
      </c>
      <c r="E102">
        <v>163</v>
      </c>
      <c r="F102">
        <v>113078.83</v>
      </c>
    </row>
    <row r="103" spans="1:6" x14ac:dyDescent="0.3">
      <c r="A103">
        <v>2022</v>
      </c>
      <c r="B103">
        <v>4</v>
      </c>
      <c r="C103" t="s">
        <v>40</v>
      </c>
      <c r="D103" t="s">
        <v>15</v>
      </c>
      <c r="E103">
        <v>75</v>
      </c>
      <c r="F103">
        <v>56804.2</v>
      </c>
    </row>
    <row r="104" spans="1:6" x14ac:dyDescent="0.3">
      <c r="A104">
        <v>2022</v>
      </c>
      <c r="B104">
        <v>4</v>
      </c>
      <c r="C104" t="s">
        <v>40</v>
      </c>
      <c r="D104" t="s">
        <v>16</v>
      </c>
      <c r="E104">
        <v>28</v>
      </c>
      <c r="F104">
        <v>23172.55</v>
      </c>
    </row>
    <row r="105" spans="1:6" x14ac:dyDescent="0.3">
      <c r="A105">
        <v>2022</v>
      </c>
      <c r="B105">
        <v>4</v>
      </c>
      <c r="C105" t="s">
        <v>40</v>
      </c>
      <c r="D105" t="s">
        <v>17</v>
      </c>
      <c r="E105">
        <v>245</v>
      </c>
      <c r="F105">
        <v>223419.84</v>
      </c>
    </row>
    <row r="106" spans="1:6" x14ac:dyDescent="0.3">
      <c r="A106">
        <v>2022</v>
      </c>
      <c r="B106">
        <v>4</v>
      </c>
      <c r="C106" t="s">
        <v>40</v>
      </c>
      <c r="D106" t="s">
        <v>18</v>
      </c>
      <c r="E106">
        <v>272</v>
      </c>
      <c r="F106">
        <v>224954.25</v>
      </c>
    </row>
    <row r="107" spans="1:6" x14ac:dyDescent="0.3">
      <c r="A107">
        <v>2022</v>
      </c>
      <c r="B107">
        <v>4</v>
      </c>
      <c r="C107" t="s">
        <v>40</v>
      </c>
      <c r="D107" t="s">
        <v>19</v>
      </c>
      <c r="E107">
        <v>261</v>
      </c>
      <c r="F107">
        <v>160744.43</v>
      </c>
    </row>
    <row r="108" spans="1:6" x14ac:dyDescent="0.3">
      <c r="A108">
        <v>2022</v>
      </c>
      <c r="B108">
        <v>4</v>
      </c>
      <c r="C108" t="s">
        <v>40</v>
      </c>
      <c r="D108" t="s">
        <v>20</v>
      </c>
      <c r="E108">
        <v>341</v>
      </c>
      <c r="F108">
        <v>232249.17</v>
      </c>
    </row>
    <row r="109" spans="1:6" x14ac:dyDescent="0.3">
      <c r="A109">
        <v>2022</v>
      </c>
      <c r="B109">
        <v>4</v>
      </c>
      <c r="C109" t="s">
        <v>40</v>
      </c>
      <c r="D109" t="s">
        <v>21</v>
      </c>
      <c r="E109">
        <v>353</v>
      </c>
      <c r="F109">
        <v>311670.68</v>
      </c>
    </row>
    <row r="110" spans="1:6" x14ac:dyDescent="0.3">
      <c r="A110">
        <v>2022</v>
      </c>
      <c r="B110">
        <v>4</v>
      </c>
      <c r="C110" t="s">
        <v>40</v>
      </c>
      <c r="D110" t="s">
        <v>22</v>
      </c>
      <c r="E110">
        <v>158</v>
      </c>
      <c r="F110">
        <v>96395.4</v>
      </c>
    </row>
    <row r="111" spans="1:6" x14ac:dyDescent="0.3">
      <c r="A111">
        <v>2022</v>
      </c>
      <c r="B111">
        <v>4</v>
      </c>
      <c r="C111" t="s">
        <v>40</v>
      </c>
      <c r="D111" t="s">
        <v>23</v>
      </c>
      <c r="E111">
        <v>100</v>
      </c>
      <c r="F111">
        <v>89789.97</v>
      </c>
    </row>
    <row r="112" spans="1:6" x14ac:dyDescent="0.3">
      <c r="A112">
        <v>2022</v>
      </c>
      <c r="B112">
        <v>4</v>
      </c>
      <c r="C112" t="s">
        <v>40</v>
      </c>
      <c r="D112" t="s">
        <v>24</v>
      </c>
      <c r="E112">
        <v>260</v>
      </c>
      <c r="F112">
        <v>165176.57999999999</v>
      </c>
    </row>
    <row r="113" spans="1:6" x14ac:dyDescent="0.3">
      <c r="A113">
        <v>2022</v>
      </c>
      <c r="B113">
        <v>4</v>
      </c>
      <c r="C113" t="s">
        <v>40</v>
      </c>
      <c r="D113" t="s">
        <v>25</v>
      </c>
      <c r="E113">
        <v>340</v>
      </c>
      <c r="F113">
        <v>243410.02</v>
      </c>
    </row>
    <row r="114" spans="1:6" x14ac:dyDescent="0.3">
      <c r="A114">
        <v>2022</v>
      </c>
      <c r="B114">
        <v>4</v>
      </c>
      <c r="C114" t="s">
        <v>40</v>
      </c>
      <c r="D114" t="s">
        <v>26</v>
      </c>
      <c r="E114">
        <v>54</v>
      </c>
      <c r="F114">
        <v>42016.15</v>
      </c>
    </row>
    <row r="115" spans="1:6" x14ac:dyDescent="0.3">
      <c r="A115">
        <v>2022</v>
      </c>
      <c r="B115">
        <v>4</v>
      </c>
      <c r="C115" t="s">
        <v>40</v>
      </c>
      <c r="D115" t="s">
        <v>27</v>
      </c>
      <c r="E115">
        <v>253</v>
      </c>
      <c r="F115">
        <v>194767.64</v>
      </c>
    </row>
    <row r="116" spans="1:6" x14ac:dyDescent="0.3">
      <c r="A116">
        <v>2022</v>
      </c>
      <c r="B116">
        <v>4</v>
      </c>
      <c r="C116" t="s">
        <v>40</v>
      </c>
      <c r="D116" t="s">
        <v>28</v>
      </c>
      <c r="E116">
        <v>221</v>
      </c>
      <c r="F116">
        <v>146063.48000000001</v>
      </c>
    </row>
    <row r="117" spans="1:6" x14ac:dyDescent="0.3">
      <c r="A117">
        <v>2022</v>
      </c>
      <c r="B117">
        <v>4</v>
      </c>
      <c r="C117" t="s">
        <v>40</v>
      </c>
      <c r="D117" t="s">
        <v>29</v>
      </c>
      <c r="E117">
        <v>132</v>
      </c>
      <c r="F117">
        <v>97508.64</v>
      </c>
    </row>
    <row r="118" spans="1:6" x14ac:dyDescent="0.3">
      <c r="A118">
        <v>2022</v>
      </c>
      <c r="B118">
        <v>4</v>
      </c>
      <c r="C118" t="s">
        <v>40</v>
      </c>
      <c r="D118" t="s">
        <v>30</v>
      </c>
      <c r="E118">
        <v>162</v>
      </c>
      <c r="F118">
        <v>102674.88</v>
      </c>
    </row>
    <row r="119" spans="1:6" x14ac:dyDescent="0.3">
      <c r="A119">
        <v>2022</v>
      </c>
      <c r="B119">
        <v>4</v>
      </c>
      <c r="C119" t="s">
        <v>40</v>
      </c>
      <c r="D119" t="s">
        <v>31</v>
      </c>
      <c r="E119">
        <v>435</v>
      </c>
      <c r="F119">
        <v>375172.91</v>
      </c>
    </row>
    <row r="120" spans="1:6" x14ac:dyDescent="0.3">
      <c r="A120">
        <v>2022</v>
      </c>
      <c r="B120">
        <v>4</v>
      </c>
      <c r="C120" t="s">
        <v>40</v>
      </c>
      <c r="D120" t="s">
        <v>32</v>
      </c>
      <c r="E120">
        <v>192</v>
      </c>
      <c r="F120">
        <v>154413.20000000001</v>
      </c>
    </row>
    <row r="121" spans="1:6" x14ac:dyDescent="0.3">
      <c r="A121">
        <v>2022</v>
      </c>
      <c r="B121">
        <v>4</v>
      </c>
      <c r="C121" t="s">
        <v>40</v>
      </c>
      <c r="D121" t="s">
        <v>33</v>
      </c>
      <c r="E121">
        <v>307</v>
      </c>
      <c r="F121">
        <v>257494.96</v>
      </c>
    </row>
    <row r="122" spans="1:6" x14ac:dyDescent="0.3">
      <c r="A122">
        <v>2022</v>
      </c>
      <c r="B122">
        <v>4</v>
      </c>
      <c r="C122" t="s">
        <v>40</v>
      </c>
      <c r="D122" t="s">
        <v>34</v>
      </c>
      <c r="E122">
        <v>375</v>
      </c>
      <c r="F122">
        <v>256906.22</v>
      </c>
    </row>
    <row r="123" spans="1:6" x14ac:dyDescent="0.3">
      <c r="A123">
        <v>2022</v>
      </c>
      <c r="B123">
        <v>4</v>
      </c>
      <c r="C123" t="s">
        <v>40</v>
      </c>
      <c r="D123" t="s">
        <v>35</v>
      </c>
      <c r="E123">
        <v>90</v>
      </c>
      <c r="F123">
        <v>62366.92</v>
      </c>
    </row>
    <row r="124" spans="1:6" x14ac:dyDescent="0.3">
      <c r="A124">
        <v>2022</v>
      </c>
      <c r="B124">
        <v>4</v>
      </c>
      <c r="C124" t="s">
        <v>40</v>
      </c>
      <c r="D124" t="s">
        <v>36</v>
      </c>
      <c r="E124">
        <v>209</v>
      </c>
      <c r="F124">
        <v>175365.29</v>
      </c>
    </row>
    <row r="125" spans="1:6" x14ac:dyDescent="0.3">
      <c r="A125">
        <v>2022</v>
      </c>
      <c r="B125">
        <v>4</v>
      </c>
      <c r="C125" t="s">
        <v>40</v>
      </c>
      <c r="D125" t="s">
        <v>37</v>
      </c>
      <c r="E125">
        <v>155</v>
      </c>
      <c r="F125">
        <v>137555.72</v>
      </c>
    </row>
    <row r="126" spans="1:6" x14ac:dyDescent="0.3">
      <c r="A126">
        <v>2022</v>
      </c>
      <c r="B126">
        <v>5</v>
      </c>
      <c r="C126" t="s">
        <v>41</v>
      </c>
      <c r="D126" t="s">
        <v>7</v>
      </c>
      <c r="E126">
        <v>567</v>
      </c>
      <c r="F126">
        <v>518551.06</v>
      </c>
    </row>
    <row r="127" spans="1:6" x14ac:dyDescent="0.3">
      <c r="A127">
        <v>2022</v>
      </c>
      <c r="B127">
        <v>5</v>
      </c>
      <c r="C127" t="s">
        <v>41</v>
      </c>
      <c r="D127" t="s">
        <v>8</v>
      </c>
      <c r="E127">
        <v>1086</v>
      </c>
      <c r="F127">
        <v>698491.47</v>
      </c>
    </row>
    <row r="128" spans="1:6" x14ac:dyDescent="0.3">
      <c r="A128">
        <v>2022</v>
      </c>
      <c r="B128">
        <v>5</v>
      </c>
      <c r="C128" t="s">
        <v>41</v>
      </c>
      <c r="D128" t="s">
        <v>9</v>
      </c>
      <c r="E128">
        <v>61</v>
      </c>
      <c r="F128">
        <v>47781.87</v>
      </c>
    </row>
    <row r="129" spans="1:6" x14ac:dyDescent="0.3">
      <c r="A129">
        <v>2022</v>
      </c>
      <c r="B129">
        <v>5</v>
      </c>
      <c r="C129" t="s">
        <v>41</v>
      </c>
      <c r="D129" t="s">
        <v>10</v>
      </c>
      <c r="E129">
        <v>1223</v>
      </c>
      <c r="F129">
        <v>1088847.97</v>
      </c>
    </row>
    <row r="130" spans="1:6" x14ac:dyDescent="0.3">
      <c r="A130">
        <v>2022</v>
      </c>
      <c r="B130">
        <v>5</v>
      </c>
      <c r="C130" t="s">
        <v>41</v>
      </c>
      <c r="D130" t="s">
        <v>11</v>
      </c>
      <c r="E130">
        <v>904</v>
      </c>
      <c r="F130">
        <v>699620.24</v>
      </c>
    </row>
    <row r="131" spans="1:6" x14ac:dyDescent="0.3">
      <c r="A131">
        <v>2022</v>
      </c>
      <c r="B131">
        <v>5</v>
      </c>
      <c r="C131" t="s">
        <v>41</v>
      </c>
      <c r="D131" t="s">
        <v>12</v>
      </c>
      <c r="E131">
        <v>204</v>
      </c>
      <c r="F131">
        <v>141385.39000000001</v>
      </c>
    </row>
    <row r="132" spans="1:6" x14ac:dyDescent="0.3">
      <c r="A132">
        <v>2022</v>
      </c>
      <c r="B132">
        <v>5</v>
      </c>
      <c r="C132" t="s">
        <v>41</v>
      </c>
      <c r="D132" t="s">
        <v>13</v>
      </c>
      <c r="E132">
        <v>287</v>
      </c>
      <c r="F132">
        <v>193577.04</v>
      </c>
    </row>
    <row r="133" spans="1:6" x14ac:dyDescent="0.3">
      <c r="A133">
        <v>2022</v>
      </c>
      <c r="B133">
        <v>5</v>
      </c>
      <c r="C133" t="s">
        <v>41</v>
      </c>
      <c r="D133" t="s">
        <v>14</v>
      </c>
      <c r="E133">
        <v>432</v>
      </c>
      <c r="F133">
        <v>269234.09000000003</v>
      </c>
    </row>
    <row r="134" spans="1:6" x14ac:dyDescent="0.3">
      <c r="A134">
        <v>2022</v>
      </c>
      <c r="B134">
        <v>5</v>
      </c>
      <c r="C134" t="s">
        <v>41</v>
      </c>
      <c r="D134" t="s">
        <v>15</v>
      </c>
      <c r="E134">
        <v>314</v>
      </c>
      <c r="F134">
        <v>205666.23</v>
      </c>
    </row>
    <row r="135" spans="1:6" x14ac:dyDescent="0.3">
      <c r="A135">
        <v>2022</v>
      </c>
      <c r="B135">
        <v>5</v>
      </c>
      <c r="C135" t="s">
        <v>41</v>
      </c>
      <c r="D135" t="s">
        <v>16</v>
      </c>
      <c r="E135">
        <v>503</v>
      </c>
      <c r="F135">
        <v>493388.59</v>
      </c>
    </row>
    <row r="136" spans="1:6" x14ac:dyDescent="0.3">
      <c r="A136">
        <v>2022</v>
      </c>
      <c r="B136">
        <v>5</v>
      </c>
      <c r="C136" t="s">
        <v>41</v>
      </c>
      <c r="D136" t="s">
        <v>17</v>
      </c>
      <c r="E136">
        <v>788</v>
      </c>
      <c r="F136">
        <v>679536.03</v>
      </c>
    </row>
    <row r="137" spans="1:6" x14ac:dyDescent="0.3">
      <c r="A137">
        <v>2022</v>
      </c>
      <c r="B137">
        <v>5</v>
      </c>
      <c r="C137" t="s">
        <v>41</v>
      </c>
      <c r="D137" t="s">
        <v>18</v>
      </c>
      <c r="E137">
        <v>613</v>
      </c>
      <c r="F137">
        <v>504528.76</v>
      </c>
    </row>
    <row r="138" spans="1:6" x14ac:dyDescent="0.3">
      <c r="A138">
        <v>2022</v>
      </c>
      <c r="B138">
        <v>5</v>
      </c>
      <c r="C138" t="s">
        <v>41</v>
      </c>
      <c r="D138" t="s">
        <v>19</v>
      </c>
      <c r="E138">
        <v>432</v>
      </c>
      <c r="F138">
        <v>275222.92</v>
      </c>
    </row>
    <row r="139" spans="1:6" x14ac:dyDescent="0.3">
      <c r="A139">
        <v>2022</v>
      </c>
      <c r="B139">
        <v>5</v>
      </c>
      <c r="C139" t="s">
        <v>41</v>
      </c>
      <c r="D139" t="s">
        <v>20</v>
      </c>
      <c r="E139">
        <v>467</v>
      </c>
      <c r="F139">
        <v>316601.42</v>
      </c>
    </row>
    <row r="140" spans="1:6" x14ac:dyDescent="0.3">
      <c r="A140">
        <v>2022</v>
      </c>
      <c r="B140">
        <v>5</v>
      </c>
      <c r="C140" t="s">
        <v>41</v>
      </c>
      <c r="D140" t="s">
        <v>21</v>
      </c>
      <c r="E140">
        <v>776</v>
      </c>
      <c r="F140">
        <v>687925.02</v>
      </c>
    </row>
    <row r="141" spans="1:6" x14ac:dyDescent="0.3">
      <c r="A141">
        <v>2022</v>
      </c>
      <c r="B141">
        <v>5</v>
      </c>
      <c r="C141" t="s">
        <v>41</v>
      </c>
      <c r="D141" t="s">
        <v>22</v>
      </c>
      <c r="E141">
        <v>115</v>
      </c>
      <c r="F141">
        <v>73792.73</v>
      </c>
    </row>
    <row r="142" spans="1:6" x14ac:dyDescent="0.3">
      <c r="A142">
        <v>2022</v>
      </c>
      <c r="B142">
        <v>5</v>
      </c>
      <c r="C142" t="s">
        <v>41</v>
      </c>
      <c r="D142" t="s">
        <v>23</v>
      </c>
      <c r="E142">
        <v>619</v>
      </c>
      <c r="F142">
        <v>555345.07999999996</v>
      </c>
    </row>
    <row r="143" spans="1:6" x14ac:dyDescent="0.3">
      <c r="A143">
        <v>2022</v>
      </c>
      <c r="B143">
        <v>5</v>
      </c>
      <c r="C143" t="s">
        <v>41</v>
      </c>
      <c r="D143" t="s">
        <v>24</v>
      </c>
      <c r="E143">
        <v>535</v>
      </c>
      <c r="F143">
        <v>356843.5</v>
      </c>
    </row>
    <row r="144" spans="1:6" x14ac:dyDescent="0.3">
      <c r="A144">
        <v>2022</v>
      </c>
      <c r="B144">
        <v>5</v>
      </c>
      <c r="C144" t="s">
        <v>41</v>
      </c>
      <c r="D144" t="s">
        <v>25</v>
      </c>
      <c r="E144">
        <v>416</v>
      </c>
      <c r="F144">
        <v>329773.86</v>
      </c>
    </row>
    <row r="145" spans="1:6" x14ac:dyDescent="0.3">
      <c r="A145">
        <v>2022</v>
      </c>
      <c r="B145">
        <v>5</v>
      </c>
      <c r="C145" t="s">
        <v>41</v>
      </c>
      <c r="D145" t="s">
        <v>26</v>
      </c>
      <c r="E145">
        <v>717</v>
      </c>
      <c r="F145">
        <v>606697.74</v>
      </c>
    </row>
    <row r="146" spans="1:6" x14ac:dyDescent="0.3">
      <c r="A146">
        <v>2022</v>
      </c>
      <c r="B146">
        <v>5</v>
      </c>
      <c r="C146" t="s">
        <v>41</v>
      </c>
      <c r="D146" t="s">
        <v>27</v>
      </c>
      <c r="E146">
        <v>497</v>
      </c>
      <c r="F146">
        <v>430525.98</v>
      </c>
    </row>
    <row r="147" spans="1:6" x14ac:dyDescent="0.3">
      <c r="A147">
        <v>2022</v>
      </c>
      <c r="B147">
        <v>5</v>
      </c>
      <c r="C147" t="s">
        <v>41</v>
      </c>
      <c r="D147" t="s">
        <v>28</v>
      </c>
      <c r="E147">
        <v>534</v>
      </c>
      <c r="F147">
        <v>361704.26</v>
      </c>
    </row>
    <row r="148" spans="1:6" x14ac:dyDescent="0.3">
      <c r="A148">
        <v>2022</v>
      </c>
      <c r="B148">
        <v>5</v>
      </c>
      <c r="C148" t="s">
        <v>41</v>
      </c>
      <c r="D148" t="s">
        <v>29</v>
      </c>
      <c r="E148">
        <v>321</v>
      </c>
      <c r="F148">
        <v>214035.49</v>
      </c>
    </row>
    <row r="149" spans="1:6" x14ac:dyDescent="0.3">
      <c r="A149">
        <v>2022</v>
      </c>
      <c r="B149">
        <v>5</v>
      </c>
      <c r="C149" t="s">
        <v>41</v>
      </c>
      <c r="D149" t="s">
        <v>30</v>
      </c>
      <c r="E149">
        <v>478</v>
      </c>
      <c r="F149">
        <v>306398.99</v>
      </c>
    </row>
    <row r="150" spans="1:6" x14ac:dyDescent="0.3">
      <c r="A150">
        <v>2022</v>
      </c>
      <c r="B150">
        <v>5</v>
      </c>
      <c r="C150" t="s">
        <v>41</v>
      </c>
      <c r="D150" t="s">
        <v>31</v>
      </c>
      <c r="E150">
        <v>891</v>
      </c>
      <c r="F150">
        <v>771147.97</v>
      </c>
    </row>
    <row r="151" spans="1:6" x14ac:dyDescent="0.3">
      <c r="A151">
        <v>2022</v>
      </c>
      <c r="B151">
        <v>5</v>
      </c>
      <c r="C151" t="s">
        <v>41</v>
      </c>
      <c r="D151" t="s">
        <v>32</v>
      </c>
      <c r="E151">
        <v>659</v>
      </c>
      <c r="F151">
        <v>527784.66</v>
      </c>
    </row>
    <row r="152" spans="1:6" x14ac:dyDescent="0.3">
      <c r="A152">
        <v>2022</v>
      </c>
      <c r="B152">
        <v>5</v>
      </c>
      <c r="C152" t="s">
        <v>41</v>
      </c>
      <c r="D152" t="s">
        <v>33</v>
      </c>
      <c r="E152">
        <v>655</v>
      </c>
      <c r="F152">
        <v>527418.34</v>
      </c>
    </row>
    <row r="153" spans="1:6" x14ac:dyDescent="0.3">
      <c r="A153">
        <v>2022</v>
      </c>
      <c r="B153">
        <v>5</v>
      </c>
      <c r="C153" t="s">
        <v>41</v>
      </c>
      <c r="D153" t="s">
        <v>34</v>
      </c>
      <c r="E153">
        <v>437</v>
      </c>
      <c r="F153">
        <v>318240.34000000003</v>
      </c>
    </row>
    <row r="154" spans="1:6" x14ac:dyDescent="0.3">
      <c r="A154">
        <v>2022</v>
      </c>
      <c r="B154">
        <v>5</v>
      </c>
      <c r="C154" t="s">
        <v>41</v>
      </c>
      <c r="D154" t="s">
        <v>35</v>
      </c>
      <c r="E154">
        <v>187</v>
      </c>
      <c r="F154">
        <v>130676.04</v>
      </c>
    </row>
    <row r="155" spans="1:6" x14ac:dyDescent="0.3">
      <c r="A155">
        <v>2022</v>
      </c>
      <c r="B155">
        <v>5</v>
      </c>
      <c r="C155" t="s">
        <v>41</v>
      </c>
      <c r="D155" t="s">
        <v>36</v>
      </c>
      <c r="E155">
        <v>175</v>
      </c>
      <c r="F155">
        <v>140373.54</v>
      </c>
    </row>
    <row r="156" spans="1:6" x14ac:dyDescent="0.3">
      <c r="A156">
        <v>2022</v>
      </c>
      <c r="B156">
        <v>5</v>
      </c>
      <c r="C156" t="s">
        <v>41</v>
      </c>
      <c r="D156" t="s">
        <v>37</v>
      </c>
      <c r="E156">
        <v>242</v>
      </c>
      <c r="F156">
        <v>200754.55</v>
      </c>
    </row>
    <row r="157" spans="1:6" x14ac:dyDescent="0.3">
      <c r="A157">
        <v>2022</v>
      </c>
      <c r="B157">
        <v>6</v>
      </c>
      <c r="C157" t="s">
        <v>42</v>
      </c>
      <c r="D157" t="s">
        <v>7</v>
      </c>
      <c r="E157">
        <v>411</v>
      </c>
      <c r="F157">
        <v>381825.46</v>
      </c>
    </row>
    <row r="158" spans="1:6" x14ac:dyDescent="0.3">
      <c r="A158">
        <v>2022</v>
      </c>
      <c r="B158">
        <v>6</v>
      </c>
      <c r="C158" t="s">
        <v>42</v>
      </c>
      <c r="D158" t="s">
        <v>8</v>
      </c>
      <c r="E158">
        <v>1069</v>
      </c>
      <c r="F158">
        <v>669443.01</v>
      </c>
    </row>
    <row r="159" spans="1:6" x14ac:dyDescent="0.3">
      <c r="A159">
        <v>2022</v>
      </c>
      <c r="B159">
        <v>6</v>
      </c>
      <c r="C159" t="s">
        <v>42</v>
      </c>
      <c r="D159" t="s">
        <v>9</v>
      </c>
      <c r="E159">
        <v>52</v>
      </c>
      <c r="F159">
        <v>36579.910000000003</v>
      </c>
    </row>
    <row r="160" spans="1:6" x14ac:dyDescent="0.3">
      <c r="A160">
        <v>2022</v>
      </c>
      <c r="B160">
        <v>6</v>
      </c>
      <c r="C160" t="s">
        <v>42</v>
      </c>
      <c r="D160" t="s">
        <v>10</v>
      </c>
      <c r="E160">
        <v>1219</v>
      </c>
      <c r="F160">
        <v>1105858.77</v>
      </c>
    </row>
    <row r="161" spans="1:6" x14ac:dyDescent="0.3">
      <c r="A161">
        <v>2022</v>
      </c>
      <c r="B161">
        <v>6</v>
      </c>
      <c r="C161" t="s">
        <v>42</v>
      </c>
      <c r="D161" t="s">
        <v>11</v>
      </c>
      <c r="E161">
        <v>221</v>
      </c>
      <c r="F161">
        <v>160936.69</v>
      </c>
    </row>
    <row r="162" spans="1:6" x14ac:dyDescent="0.3">
      <c r="A162">
        <v>2022</v>
      </c>
      <c r="B162">
        <v>6</v>
      </c>
      <c r="C162" t="s">
        <v>42</v>
      </c>
      <c r="D162" t="s">
        <v>12</v>
      </c>
      <c r="E162">
        <v>176</v>
      </c>
      <c r="F162">
        <v>121650.17</v>
      </c>
    </row>
    <row r="163" spans="1:6" x14ac:dyDescent="0.3">
      <c r="A163">
        <v>2022</v>
      </c>
      <c r="B163">
        <v>6</v>
      </c>
      <c r="C163" t="s">
        <v>42</v>
      </c>
      <c r="D163" t="s">
        <v>13</v>
      </c>
      <c r="E163">
        <v>216</v>
      </c>
      <c r="F163">
        <v>146531.48000000001</v>
      </c>
    </row>
    <row r="164" spans="1:6" x14ac:dyDescent="0.3">
      <c r="A164">
        <v>2022</v>
      </c>
      <c r="B164">
        <v>6</v>
      </c>
      <c r="C164" t="s">
        <v>42</v>
      </c>
      <c r="D164" t="s">
        <v>14</v>
      </c>
      <c r="E164">
        <v>627</v>
      </c>
      <c r="F164">
        <v>375464.09</v>
      </c>
    </row>
    <row r="165" spans="1:6" x14ac:dyDescent="0.3">
      <c r="A165">
        <v>2022</v>
      </c>
      <c r="B165">
        <v>6</v>
      </c>
      <c r="C165" t="s">
        <v>42</v>
      </c>
      <c r="D165" t="s">
        <v>15</v>
      </c>
      <c r="E165">
        <v>415</v>
      </c>
      <c r="F165">
        <v>250475.16</v>
      </c>
    </row>
    <row r="166" spans="1:6" x14ac:dyDescent="0.3">
      <c r="A166">
        <v>2022</v>
      </c>
      <c r="B166">
        <v>6</v>
      </c>
      <c r="C166" t="s">
        <v>42</v>
      </c>
      <c r="D166" t="s">
        <v>16</v>
      </c>
      <c r="E166">
        <v>651</v>
      </c>
      <c r="F166">
        <v>600213.94999999995</v>
      </c>
    </row>
    <row r="167" spans="1:6" x14ac:dyDescent="0.3">
      <c r="A167">
        <v>2022</v>
      </c>
      <c r="B167">
        <v>6</v>
      </c>
      <c r="C167" t="s">
        <v>42</v>
      </c>
      <c r="D167" t="s">
        <v>17</v>
      </c>
      <c r="E167">
        <v>859</v>
      </c>
      <c r="F167">
        <v>776556.89</v>
      </c>
    </row>
    <row r="168" spans="1:6" x14ac:dyDescent="0.3">
      <c r="A168">
        <v>2022</v>
      </c>
      <c r="B168">
        <v>6</v>
      </c>
      <c r="C168" t="s">
        <v>42</v>
      </c>
      <c r="D168" t="s">
        <v>18</v>
      </c>
      <c r="E168">
        <v>593</v>
      </c>
      <c r="F168">
        <v>488347.81</v>
      </c>
    </row>
    <row r="169" spans="1:6" x14ac:dyDescent="0.3">
      <c r="A169">
        <v>2022</v>
      </c>
      <c r="B169">
        <v>6</v>
      </c>
      <c r="C169" t="s">
        <v>42</v>
      </c>
      <c r="D169" t="s">
        <v>19</v>
      </c>
      <c r="E169">
        <v>471</v>
      </c>
      <c r="F169">
        <v>294250.36</v>
      </c>
    </row>
    <row r="170" spans="1:6" x14ac:dyDescent="0.3">
      <c r="A170">
        <v>2022</v>
      </c>
      <c r="B170">
        <v>6</v>
      </c>
      <c r="C170" t="s">
        <v>42</v>
      </c>
      <c r="D170" t="s">
        <v>20</v>
      </c>
      <c r="E170">
        <v>466</v>
      </c>
      <c r="F170">
        <v>315790.65999999997</v>
      </c>
    </row>
    <row r="171" spans="1:6" x14ac:dyDescent="0.3">
      <c r="A171">
        <v>2022</v>
      </c>
      <c r="B171">
        <v>6</v>
      </c>
      <c r="C171" t="s">
        <v>42</v>
      </c>
      <c r="D171" t="s">
        <v>21</v>
      </c>
      <c r="E171">
        <v>941</v>
      </c>
      <c r="F171">
        <v>796093.67</v>
      </c>
    </row>
    <row r="172" spans="1:6" x14ac:dyDescent="0.3">
      <c r="A172">
        <v>2022</v>
      </c>
      <c r="B172">
        <v>6</v>
      </c>
      <c r="C172" t="s">
        <v>42</v>
      </c>
      <c r="D172" t="s">
        <v>22</v>
      </c>
      <c r="E172">
        <v>136</v>
      </c>
      <c r="F172">
        <v>90548.75</v>
      </c>
    </row>
    <row r="173" spans="1:6" x14ac:dyDescent="0.3">
      <c r="A173">
        <v>2022</v>
      </c>
      <c r="B173">
        <v>6</v>
      </c>
      <c r="C173" t="s">
        <v>42</v>
      </c>
      <c r="D173" t="s">
        <v>23</v>
      </c>
      <c r="E173">
        <v>667</v>
      </c>
      <c r="F173">
        <v>613856.98</v>
      </c>
    </row>
    <row r="174" spans="1:6" x14ac:dyDescent="0.3">
      <c r="A174">
        <v>2022</v>
      </c>
      <c r="B174">
        <v>6</v>
      </c>
      <c r="C174" t="s">
        <v>42</v>
      </c>
      <c r="D174" t="s">
        <v>24</v>
      </c>
      <c r="E174">
        <v>433</v>
      </c>
      <c r="F174">
        <v>287378.57</v>
      </c>
    </row>
    <row r="175" spans="1:6" x14ac:dyDescent="0.3">
      <c r="A175">
        <v>2022</v>
      </c>
      <c r="B175">
        <v>6</v>
      </c>
      <c r="C175" t="s">
        <v>42</v>
      </c>
      <c r="D175" t="s">
        <v>25</v>
      </c>
      <c r="E175">
        <v>365</v>
      </c>
      <c r="F175">
        <v>283205.26</v>
      </c>
    </row>
    <row r="176" spans="1:6" x14ac:dyDescent="0.3">
      <c r="A176">
        <v>2022</v>
      </c>
      <c r="B176">
        <v>6</v>
      </c>
      <c r="C176" t="s">
        <v>42</v>
      </c>
      <c r="D176" t="s">
        <v>26</v>
      </c>
      <c r="E176">
        <v>771</v>
      </c>
      <c r="F176">
        <v>630269.04</v>
      </c>
    </row>
    <row r="177" spans="1:6" x14ac:dyDescent="0.3">
      <c r="A177">
        <v>2022</v>
      </c>
      <c r="B177">
        <v>6</v>
      </c>
      <c r="C177" t="s">
        <v>42</v>
      </c>
      <c r="D177" t="s">
        <v>27</v>
      </c>
      <c r="E177">
        <v>273</v>
      </c>
      <c r="F177">
        <v>231448.26</v>
      </c>
    </row>
    <row r="178" spans="1:6" x14ac:dyDescent="0.3">
      <c r="A178">
        <v>2022</v>
      </c>
      <c r="B178">
        <v>6</v>
      </c>
      <c r="C178" t="s">
        <v>42</v>
      </c>
      <c r="D178" t="s">
        <v>28</v>
      </c>
      <c r="E178">
        <v>503</v>
      </c>
      <c r="F178">
        <v>344231.05</v>
      </c>
    </row>
    <row r="179" spans="1:6" x14ac:dyDescent="0.3">
      <c r="A179">
        <v>2022</v>
      </c>
      <c r="B179">
        <v>6</v>
      </c>
      <c r="C179" t="s">
        <v>42</v>
      </c>
      <c r="D179" t="s">
        <v>29</v>
      </c>
      <c r="E179">
        <v>814</v>
      </c>
      <c r="F179">
        <v>629816.31999999995</v>
      </c>
    </row>
    <row r="180" spans="1:6" x14ac:dyDescent="0.3">
      <c r="A180">
        <v>2022</v>
      </c>
      <c r="B180">
        <v>6</v>
      </c>
      <c r="C180" t="s">
        <v>42</v>
      </c>
      <c r="D180" t="s">
        <v>30</v>
      </c>
      <c r="E180">
        <v>437</v>
      </c>
      <c r="F180">
        <v>286068.36</v>
      </c>
    </row>
    <row r="181" spans="1:6" x14ac:dyDescent="0.3">
      <c r="A181">
        <v>2022</v>
      </c>
      <c r="B181">
        <v>6</v>
      </c>
      <c r="C181" t="s">
        <v>42</v>
      </c>
      <c r="D181" t="s">
        <v>31</v>
      </c>
      <c r="E181">
        <v>890</v>
      </c>
      <c r="F181">
        <v>742945.63</v>
      </c>
    </row>
    <row r="182" spans="1:6" x14ac:dyDescent="0.3">
      <c r="A182">
        <v>2022</v>
      </c>
      <c r="B182">
        <v>6</v>
      </c>
      <c r="C182" t="s">
        <v>42</v>
      </c>
      <c r="D182" t="s">
        <v>32</v>
      </c>
      <c r="E182">
        <v>677</v>
      </c>
      <c r="F182">
        <v>541395.9</v>
      </c>
    </row>
    <row r="183" spans="1:6" x14ac:dyDescent="0.3">
      <c r="A183">
        <v>2022</v>
      </c>
      <c r="B183">
        <v>6</v>
      </c>
      <c r="C183" t="s">
        <v>42</v>
      </c>
      <c r="D183" t="s">
        <v>33</v>
      </c>
      <c r="E183">
        <v>609</v>
      </c>
      <c r="F183">
        <v>492327.41</v>
      </c>
    </row>
    <row r="184" spans="1:6" x14ac:dyDescent="0.3">
      <c r="A184">
        <v>2022</v>
      </c>
      <c r="B184">
        <v>6</v>
      </c>
      <c r="C184" t="s">
        <v>42</v>
      </c>
      <c r="D184" t="s">
        <v>34</v>
      </c>
      <c r="E184">
        <v>282</v>
      </c>
      <c r="F184">
        <v>196497.57</v>
      </c>
    </row>
    <row r="185" spans="1:6" x14ac:dyDescent="0.3">
      <c r="A185">
        <v>2022</v>
      </c>
      <c r="B185">
        <v>6</v>
      </c>
      <c r="C185" t="s">
        <v>42</v>
      </c>
      <c r="D185" t="s">
        <v>35</v>
      </c>
      <c r="E185">
        <v>152</v>
      </c>
      <c r="F185">
        <v>112500.38</v>
      </c>
    </row>
    <row r="186" spans="1:6" x14ac:dyDescent="0.3">
      <c r="A186">
        <v>2022</v>
      </c>
      <c r="B186">
        <v>6</v>
      </c>
      <c r="C186" t="s">
        <v>42</v>
      </c>
      <c r="D186" t="s">
        <v>36</v>
      </c>
      <c r="E186">
        <v>440</v>
      </c>
      <c r="F186">
        <v>356884.55</v>
      </c>
    </row>
    <row r="187" spans="1:6" x14ac:dyDescent="0.3">
      <c r="A187">
        <v>2022</v>
      </c>
      <c r="B187">
        <v>6</v>
      </c>
      <c r="C187" t="s">
        <v>42</v>
      </c>
      <c r="D187" t="s">
        <v>37</v>
      </c>
      <c r="E187">
        <v>356</v>
      </c>
      <c r="F187">
        <v>289743.88</v>
      </c>
    </row>
    <row r="188" spans="1:6" x14ac:dyDescent="0.3">
      <c r="A188">
        <v>2022</v>
      </c>
      <c r="B188">
        <v>7</v>
      </c>
      <c r="C188" t="s">
        <v>43</v>
      </c>
      <c r="D188" t="s">
        <v>7</v>
      </c>
      <c r="E188">
        <v>470</v>
      </c>
      <c r="F188">
        <v>434063.28</v>
      </c>
    </row>
    <row r="189" spans="1:6" x14ac:dyDescent="0.3">
      <c r="A189">
        <v>2022</v>
      </c>
      <c r="B189">
        <v>7</v>
      </c>
      <c r="C189" t="s">
        <v>43</v>
      </c>
      <c r="D189" t="s">
        <v>8</v>
      </c>
      <c r="E189">
        <v>734</v>
      </c>
      <c r="F189">
        <v>458942.29</v>
      </c>
    </row>
    <row r="190" spans="1:6" x14ac:dyDescent="0.3">
      <c r="A190">
        <v>2022</v>
      </c>
      <c r="B190">
        <v>7</v>
      </c>
      <c r="C190" t="s">
        <v>43</v>
      </c>
      <c r="D190" t="s">
        <v>9</v>
      </c>
      <c r="E190">
        <v>129</v>
      </c>
      <c r="F190">
        <v>97142.6</v>
      </c>
    </row>
    <row r="191" spans="1:6" x14ac:dyDescent="0.3">
      <c r="A191">
        <v>2022</v>
      </c>
      <c r="B191">
        <v>7</v>
      </c>
      <c r="C191" t="s">
        <v>43</v>
      </c>
      <c r="D191" t="s">
        <v>10</v>
      </c>
      <c r="E191">
        <v>852</v>
      </c>
      <c r="F191">
        <v>730379.34</v>
      </c>
    </row>
    <row r="192" spans="1:6" x14ac:dyDescent="0.3">
      <c r="A192">
        <v>2022</v>
      </c>
      <c r="B192">
        <v>7</v>
      </c>
      <c r="C192" t="s">
        <v>43</v>
      </c>
      <c r="D192" t="s">
        <v>11</v>
      </c>
      <c r="E192">
        <v>324</v>
      </c>
      <c r="F192">
        <v>232544.84</v>
      </c>
    </row>
    <row r="193" spans="1:6" x14ac:dyDescent="0.3">
      <c r="A193">
        <v>2022</v>
      </c>
      <c r="B193">
        <v>7</v>
      </c>
      <c r="C193" t="s">
        <v>43</v>
      </c>
      <c r="D193" t="s">
        <v>12</v>
      </c>
      <c r="E193">
        <v>135</v>
      </c>
      <c r="F193">
        <v>79438.95</v>
      </c>
    </row>
    <row r="194" spans="1:6" x14ac:dyDescent="0.3">
      <c r="A194">
        <v>2022</v>
      </c>
      <c r="B194">
        <v>7</v>
      </c>
      <c r="C194" t="s">
        <v>43</v>
      </c>
      <c r="D194" t="s">
        <v>13</v>
      </c>
      <c r="E194">
        <v>199</v>
      </c>
      <c r="F194">
        <v>117692.59</v>
      </c>
    </row>
    <row r="195" spans="1:6" x14ac:dyDescent="0.3">
      <c r="A195">
        <v>2022</v>
      </c>
      <c r="B195">
        <v>7</v>
      </c>
      <c r="C195" t="s">
        <v>43</v>
      </c>
      <c r="D195" t="s">
        <v>14</v>
      </c>
      <c r="E195">
        <v>503</v>
      </c>
      <c r="F195">
        <v>310784.77</v>
      </c>
    </row>
    <row r="196" spans="1:6" x14ac:dyDescent="0.3">
      <c r="A196">
        <v>2022</v>
      </c>
      <c r="B196">
        <v>7</v>
      </c>
      <c r="C196" t="s">
        <v>43</v>
      </c>
      <c r="D196" t="s">
        <v>15</v>
      </c>
      <c r="E196">
        <v>377</v>
      </c>
      <c r="F196">
        <v>232881.8</v>
      </c>
    </row>
    <row r="197" spans="1:6" x14ac:dyDescent="0.3">
      <c r="A197">
        <v>2022</v>
      </c>
      <c r="B197">
        <v>7</v>
      </c>
      <c r="C197" t="s">
        <v>43</v>
      </c>
      <c r="D197" t="s">
        <v>16</v>
      </c>
      <c r="E197">
        <v>632</v>
      </c>
      <c r="F197">
        <v>587012.30000000005</v>
      </c>
    </row>
    <row r="198" spans="1:6" x14ac:dyDescent="0.3">
      <c r="A198">
        <v>2022</v>
      </c>
      <c r="B198">
        <v>7</v>
      </c>
      <c r="C198" t="s">
        <v>43</v>
      </c>
      <c r="D198" t="s">
        <v>17</v>
      </c>
      <c r="E198">
        <v>703</v>
      </c>
      <c r="F198">
        <v>592810.78</v>
      </c>
    </row>
    <row r="199" spans="1:6" x14ac:dyDescent="0.3">
      <c r="A199">
        <v>2022</v>
      </c>
      <c r="B199">
        <v>7</v>
      </c>
      <c r="C199" t="s">
        <v>43</v>
      </c>
      <c r="D199" t="s">
        <v>18</v>
      </c>
      <c r="E199">
        <v>675</v>
      </c>
      <c r="F199">
        <v>542315.4</v>
      </c>
    </row>
    <row r="200" spans="1:6" x14ac:dyDescent="0.3">
      <c r="A200">
        <v>2022</v>
      </c>
      <c r="B200">
        <v>7</v>
      </c>
      <c r="C200" t="s">
        <v>43</v>
      </c>
      <c r="D200" t="s">
        <v>19</v>
      </c>
      <c r="E200">
        <v>652</v>
      </c>
      <c r="F200">
        <v>426785.52</v>
      </c>
    </row>
    <row r="201" spans="1:6" x14ac:dyDescent="0.3">
      <c r="A201">
        <v>2022</v>
      </c>
      <c r="B201">
        <v>7</v>
      </c>
      <c r="C201" t="s">
        <v>43</v>
      </c>
      <c r="D201" t="s">
        <v>20</v>
      </c>
      <c r="E201">
        <v>330</v>
      </c>
      <c r="F201">
        <v>237257.92</v>
      </c>
    </row>
    <row r="202" spans="1:6" x14ac:dyDescent="0.3">
      <c r="A202">
        <v>2022</v>
      </c>
      <c r="B202">
        <v>7</v>
      </c>
      <c r="C202" t="s">
        <v>43</v>
      </c>
      <c r="D202" t="s">
        <v>21</v>
      </c>
      <c r="E202">
        <v>824</v>
      </c>
      <c r="F202">
        <v>666026.78</v>
      </c>
    </row>
    <row r="203" spans="1:6" x14ac:dyDescent="0.3">
      <c r="A203">
        <v>2022</v>
      </c>
      <c r="B203">
        <v>7</v>
      </c>
      <c r="C203" t="s">
        <v>43</v>
      </c>
      <c r="D203" t="s">
        <v>22</v>
      </c>
      <c r="E203">
        <v>91</v>
      </c>
      <c r="F203">
        <v>64518.41</v>
      </c>
    </row>
    <row r="204" spans="1:6" x14ac:dyDescent="0.3">
      <c r="A204">
        <v>2022</v>
      </c>
      <c r="B204">
        <v>7</v>
      </c>
      <c r="C204" t="s">
        <v>43</v>
      </c>
      <c r="D204" t="s">
        <v>23</v>
      </c>
      <c r="E204">
        <v>536</v>
      </c>
      <c r="F204">
        <v>485046.97</v>
      </c>
    </row>
    <row r="205" spans="1:6" x14ac:dyDescent="0.3">
      <c r="A205">
        <v>2022</v>
      </c>
      <c r="B205">
        <v>7</v>
      </c>
      <c r="C205" t="s">
        <v>43</v>
      </c>
      <c r="D205" t="s">
        <v>24</v>
      </c>
      <c r="E205">
        <v>335</v>
      </c>
      <c r="F205">
        <v>220816.76</v>
      </c>
    </row>
    <row r="206" spans="1:6" x14ac:dyDescent="0.3">
      <c r="A206">
        <v>2022</v>
      </c>
      <c r="B206">
        <v>7</v>
      </c>
      <c r="C206" t="s">
        <v>43</v>
      </c>
      <c r="D206" t="s">
        <v>25</v>
      </c>
      <c r="E206">
        <v>343</v>
      </c>
      <c r="F206">
        <v>266308.76</v>
      </c>
    </row>
    <row r="207" spans="1:6" x14ac:dyDescent="0.3">
      <c r="A207">
        <v>2022</v>
      </c>
      <c r="B207">
        <v>7</v>
      </c>
      <c r="C207" t="s">
        <v>43</v>
      </c>
      <c r="D207" t="s">
        <v>26</v>
      </c>
      <c r="E207">
        <v>756</v>
      </c>
      <c r="F207">
        <v>602495.07999999996</v>
      </c>
    </row>
    <row r="208" spans="1:6" x14ac:dyDescent="0.3">
      <c r="A208">
        <v>2022</v>
      </c>
      <c r="B208">
        <v>7</v>
      </c>
      <c r="C208" t="s">
        <v>43</v>
      </c>
      <c r="D208" t="s">
        <v>27</v>
      </c>
      <c r="E208">
        <v>400</v>
      </c>
      <c r="F208">
        <v>336127</v>
      </c>
    </row>
    <row r="209" spans="1:6" x14ac:dyDescent="0.3">
      <c r="A209">
        <v>2022</v>
      </c>
      <c r="B209">
        <v>7</v>
      </c>
      <c r="C209" t="s">
        <v>43</v>
      </c>
      <c r="D209" t="s">
        <v>28</v>
      </c>
      <c r="E209">
        <v>360</v>
      </c>
      <c r="F209">
        <v>233771.7</v>
      </c>
    </row>
    <row r="210" spans="1:6" x14ac:dyDescent="0.3">
      <c r="A210">
        <v>2022</v>
      </c>
      <c r="B210">
        <v>7</v>
      </c>
      <c r="C210" t="s">
        <v>43</v>
      </c>
      <c r="D210" t="s">
        <v>29</v>
      </c>
      <c r="E210">
        <v>628</v>
      </c>
      <c r="F210">
        <v>463414.69</v>
      </c>
    </row>
    <row r="211" spans="1:6" x14ac:dyDescent="0.3">
      <c r="A211">
        <v>2022</v>
      </c>
      <c r="B211">
        <v>7</v>
      </c>
      <c r="C211" t="s">
        <v>43</v>
      </c>
      <c r="D211" t="s">
        <v>30</v>
      </c>
      <c r="E211">
        <v>360</v>
      </c>
      <c r="F211">
        <v>240056.29</v>
      </c>
    </row>
    <row r="212" spans="1:6" x14ac:dyDescent="0.3">
      <c r="A212">
        <v>2022</v>
      </c>
      <c r="B212">
        <v>7</v>
      </c>
      <c r="C212" t="s">
        <v>43</v>
      </c>
      <c r="D212" t="s">
        <v>31</v>
      </c>
      <c r="E212">
        <v>827</v>
      </c>
      <c r="F212">
        <v>664926.07999999996</v>
      </c>
    </row>
    <row r="213" spans="1:6" x14ac:dyDescent="0.3">
      <c r="A213">
        <v>2022</v>
      </c>
      <c r="B213">
        <v>7</v>
      </c>
      <c r="C213" t="s">
        <v>43</v>
      </c>
      <c r="D213" t="s">
        <v>32</v>
      </c>
      <c r="E213">
        <v>460</v>
      </c>
      <c r="F213">
        <v>361004.48</v>
      </c>
    </row>
    <row r="214" spans="1:6" x14ac:dyDescent="0.3">
      <c r="A214">
        <v>2022</v>
      </c>
      <c r="B214">
        <v>7</v>
      </c>
      <c r="C214" t="s">
        <v>43</v>
      </c>
      <c r="D214" t="s">
        <v>33</v>
      </c>
      <c r="E214">
        <v>488</v>
      </c>
      <c r="F214">
        <v>381872.81</v>
      </c>
    </row>
    <row r="215" spans="1:6" x14ac:dyDescent="0.3">
      <c r="A215">
        <v>2022</v>
      </c>
      <c r="B215">
        <v>7</v>
      </c>
      <c r="C215" t="s">
        <v>43</v>
      </c>
      <c r="D215" t="s">
        <v>34</v>
      </c>
      <c r="E215">
        <v>297</v>
      </c>
      <c r="F215">
        <v>206966.1</v>
      </c>
    </row>
    <row r="216" spans="1:6" x14ac:dyDescent="0.3">
      <c r="A216">
        <v>2022</v>
      </c>
      <c r="B216">
        <v>7</v>
      </c>
      <c r="C216" t="s">
        <v>43</v>
      </c>
      <c r="D216" t="s">
        <v>35</v>
      </c>
      <c r="E216">
        <v>154</v>
      </c>
      <c r="F216">
        <v>98499.69</v>
      </c>
    </row>
    <row r="217" spans="1:6" x14ac:dyDescent="0.3">
      <c r="A217">
        <v>2022</v>
      </c>
      <c r="B217">
        <v>7</v>
      </c>
      <c r="C217" t="s">
        <v>43</v>
      </c>
      <c r="D217" t="s">
        <v>36</v>
      </c>
      <c r="E217">
        <v>260</v>
      </c>
      <c r="F217">
        <v>206502.39999999999</v>
      </c>
    </row>
    <row r="218" spans="1:6" x14ac:dyDescent="0.3">
      <c r="A218">
        <v>2022</v>
      </c>
      <c r="B218">
        <v>7</v>
      </c>
      <c r="C218" t="s">
        <v>43</v>
      </c>
      <c r="D218" t="s">
        <v>37</v>
      </c>
      <c r="E218">
        <v>329</v>
      </c>
      <c r="F218">
        <v>253359.95</v>
      </c>
    </row>
    <row r="219" spans="1:6" x14ac:dyDescent="0.3">
      <c r="A219">
        <v>2022</v>
      </c>
      <c r="B219">
        <v>8</v>
      </c>
      <c r="C219" t="s">
        <v>44</v>
      </c>
      <c r="D219" t="s">
        <v>7</v>
      </c>
      <c r="E219">
        <v>282</v>
      </c>
      <c r="F219">
        <v>235680.3</v>
      </c>
    </row>
    <row r="220" spans="1:6" x14ac:dyDescent="0.3">
      <c r="A220">
        <v>2022</v>
      </c>
      <c r="B220">
        <v>8</v>
      </c>
      <c r="C220" t="s">
        <v>44</v>
      </c>
      <c r="D220" t="s">
        <v>8</v>
      </c>
      <c r="E220">
        <v>272</v>
      </c>
      <c r="F220">
        <v>181821.18</v>
      </c>
    </row>
    <row r="221" spans="1:6" x14ac:dyDescent="0.3">
      <c r="A221">
        <v>2022</v>
      </c>
      <c r="B221">
        <v>8</v>
      </c>
      <c r="C221" t="s">
        <v>44</v>
      </c>
      <c r="D221" t="s">
        <v>9</v>
      </c>
      <c r="E221">
        <v>99</v>
      </c>
      <c r="F221">
        <v>71416.789999999994</v>
      </c>
    </row>
    <row r="222" spans="1:6" x14ac:dyDescent="0.3">
      <c r="A222">
        <v>2022</v>
      </c>
      <c r="B222">
        <v>8</v>
      </c>
      <c r="C222" t="s">
        <v>44</v>
      </c>
      <c r="D222" t="s">
        <v>10</v>
      </c>
      <c r="E222">
        <v>379</v>
      </c>
      <c r="F222">
        <v>341509.54</v>
      </c>
    </row>
    <row r="223" spans="1:6" x14ac:dyDescent="0.3">
      <c r="A223">
        <v>2022</v>
      </c>
      <c r="B223">
        <v>8</v>
      </c>
      <c r="C223" t="s">
        <v>44</v>
      </c>
      <c r="D223" t="s">
        <v>11</v>
      </c>
      <c r="E223">
        <v>429</v>
      </c>
      <c r="F223">
        <v>311400.13</v>
      </c>
    </row>
    <row r="224" spans="1:6" x14ac:dyDescent="0.3">
      <c r="A224">
        <v>2022</v>
      </c>
      <c r="B224">
        <v>8</v>
      </c>
      <c r="C224" t="s">
        <v>44</v>
      </c>
      <c r="D224" t="s">
        <v>12</v>
      </c>
      <c r="E224">
        <v>186</v>
      </c>
      <c r="F224">
        <v>120042.12</v>
      </c>
    </row>
    <row r="225" spans="1:6" x14ac:dyDescent="0.3">
      <c r="A225">
        <v>2022</v>
      </c>
      <c r="B225">
        <v>8</v>
      </c>
      <c r="C225" t="s">
        <v>44</v>
      </c>
      <c r="D225" t="s">
        <v>13</v>
      </c>
      <c r="E225">
        <v>268</v>
      </c>
      <c r="F225">
        <v>155385.75</v>
      </c>
    </row>
    <row r="226" spans="1:6" x14ac:dyDescent="0.3">
      <c r="A226">
        <v>2022</v>
      </c>
      <c r="B226">
        <v>8</v>
      </c>
      <c r="C226" t="s">
        <v>44</v>
      </c>
      <c r="D226" t="s">
        <v>14</v>
      </c>
      <c r="E226">
        <v>270</v>
      </c>
      <c r="F226">
        <v>170129.81</v>
      </c>
    </row>
    <row r="227" spans="1:6" x14ac:dyDescent="0.3">
      <c r="A227">
        <v>2022</v>
      </c>
      <c r="B227">
        <v>8</v>
      </c>
      <c r="C227" t="s">
        <v>44</v>
      </c>
      <c r="D227" t="s">
        <v>15</v>
      </c>
      <c r="E227">
        <v>192</v>
      </c>
      <c r="F227">
        <v>125470.54</v>
      </c>
    </row>
    <row r="228" spans="1:6" x14ac:dyDescent="0.3">
      <c r="A228">
        <v>2022</v>
      </c>
      <c r="B228">
        <v>8</v>
      </c>
      <c r="C228" t="s">
        <v>44</v>
      </c>
      <c r="D228" t="s">
        <v>16</v>
      </c>
      <c r="E228">
        <v>407</v>
      </c>
      <c r="F228">
        <v>420414.71</v>
      </c>
    </row>
    <row r="229" spans="1:6" x14ac:dyDescent="0.3">
      <c r="A229">
        <v>2022</v>
      </c>
      <c r="B229">
        <v>8</v>
      </c>
      <c r="C229" t="s">
        <v>44</v>
      </c>
      <c r="D229" t="s">
        <v>17</v>
      </c>
      <c r="E229">
        <v>769</v>
      </c>
      <c r="F229">
        <v>577925.51</v>
      </c>
    </row>
    <row r="230" spans="1:6" x14ac:dyDescent="0.3">
      <c r="A230">
        <v>2022</v>
      </c>
      <c r="B230">
        <v>8</v>
      </c>
      <c r="C230" t="s">
        <v>44</v>
      </c>
      <c r="D230" t="s">
        <v>18</v>
      </c>
      <c r="E230">
        <v>494</v>
      </c>
      <c r="F230">
        <v>402357.26</v>
      </c>
    </row>
    <row r="231" spans="1:6" x14ac:dyDescent="0.3">
      <c r="A231">
        <v>2022</v>
      </c>
      <c r="B231">
        <v>8</v>
      </c>
      <c r="C231" t="s">
        <v>44</v>
      </c>
      <c r="D231" t="s">
        <v>19</v>
      </c>
      <c r="E231">
        <v>302</v>
      </c>
      <c r="F231">
        <v>204921.56</v>
      </c>
    </row>
    <row r="232" spans="1:6" x14ac:dyDescent="0.3">
      <c r="A232">
        <v>2022</v>
      </c>
      <c r="B232">
        <v>8</v>
      </c>
      <c r="C232" t="s">
        <v>44</v>
      </c>
      <c r="D232" t="s">
        <v>20</v>
      </c>
      <c r="E232">
        <v>300</v>
      </c>
      <c r="F232">
        <v>213213.24</v>
      </c>
    </row>
    <row r="233" spans="1:6" x14ac:dyDescent="0.3">
      <c r="A233">
        <v>2022</v>
      </c>
      <c r="B233">
        <v>8</v>
      </c>
      <c r="C233" t="s">
        <v>44</v>
      </c>
      <c r="D233" t="s">
        <v>21</v>
      </c>
      <c r="E233">
        <v>495</v>
      </c>
      <c r="F233">
        <v>407567.82</v>
      </c>
    </row>
    <row r="234" spans="1:6" x14ac:dyDescent="0.3">
      <c r="A234">
        <v>2022</v>
      </c>
      <c r="B234">
        <v>8</v>
      </c>
      <c r="C234" t="s">
        <v>44</v>
      </c>
      <c r="D234" t="s">
        <v>22</v>
      </c>
      <c r="E234">
        <v>101</v>
      </c>
      <c r="F234">
        <v>69484.240000000005</v>
      </c>
    </row>
    <row r="235" spans="1:6" x14ac:dyDescent="0.3">
      <c r="A235">
        <v>2022</v>
      </c>
      <c r="B235">
        <v>8</v>
      </c>
      <c r="C235" t="s">
        <v>44</v>
      </c>
      <c r="D235" t="s">
        <v>23</v>
      </c>
      <c r="E235">
        <v>243</v>
      </c>
      <c r="F235">
        <v>226048.63</v>
      </c>
    </row>
    <row r="236" spans="1:6" x14ac:dyDescent="0.3">
      <c r="A236">
        <v>2022</v>
      </c>
      <c r="B236">
        <v>8</v>
      </c>
      <c r="C236" t="s">
        <v>44</v>
      </c>
      <c r="D236" t="s">
        <v>24</v>
      </c>
      <c r="E236">
        <v>216</v>
      </c>
      <c r="F236">
        <v>161999.14000000001</v>
      </c>
    </row>
    <row r="237" spans="1:6" x14ac:dyDescent="0.3">
      <c r="A237">
        <v>2022</v>
      </c>
      <c r="B237">
        <v>8</v>
      </c>
      <c r="C237" t="s">
        <v>44</v>
      </c>
      <c r="D237" t="s">
        <v>25</v>
      </c>
      <c r="E237">
        <v>334</v>
      </c>
      <c r="F237">
        <v>267270.2</v>
      </c>
    </row>
    <row r="238" spans="1:6" x14ac:dyDescent="0.3">
      <c r="A238">
        <v>2022</v>
      </c>
      <c r="B238">
        <v>8</v>
      </c>
      <c r="C238" t="s">
        <v>44</v>
      </c>
      <c r="D238" t="s">
        <v>26</v>
      </c>
      <c r="E238">
        <v>381</v>
      </c>
      <c r="F238">
        <v>286215.59000000003</v>
      </c>
    </row>
    <row r="239" spans="1:6" x14ac:dyDescent="0.3">
      <c r="A239">
        <v>2022</v>
      </c>
      <c r="B239">
        <v>8</v>
      </c>
      <c r="C239" t="s">
        <v>44</v>
      </c>
      <c r="D239" t="s">
        <v>27</v>
      </c>
      <c r="E239">
        <v>199</v>
      </c>
      <c r="F239">
        <v>152303.45000000001</v>
      </c>
    </row>
    <row r="240" spans="1:6" x14ac:dyDescent="0.3">
      <c r="A240">
        <v>2022</v>
      </c>
      <c r="B240">
        <v>8</v>
      </c>
      <c r="C240" t="s">
        <v>44</v>
      </c>
      <c r="D240" t="s">
        <v>28</v>
      </c>
      <c r="E240">
        <v>125</v>
      </c>
      <c r="F240">
        <v>96026.76</v>
      </c>
    </row>
    <row r="241" spans="1:6" x14ac:dyDescent="0.3">
      <c r="A241">
        <v>2022</v>
      </c>
      <c r="B241">
        <v>8</v>
      </c>
      <c r="C241" t="s">
        <v>44</v>
      </c>
      <c r="D241" t="s">
        <v>29</v>
      </c>
      <c r="E241">
        <v>537</v>
      </c>
      <c r="F241">
        <v>384634.25</v>
      </c>
    </row>
    <row r="242" spans="1:6" x14ac:dyDescent="0.3">
      <c r="A242">
        <v>2022</v>
      </c>
      <c r="B242">
        <v>8</v>
      </c>
      <c r="C242" t="s">
        <v>44</v>
      </c>
      <c r="D242" t="s">
        <v>30</v>
      </c>
      <c r="E242">
        <v>246</v>
      </c>
      <c r="F242">
        <v>162591.39000000001</v>
      </c>
    </row>
    <row r="243" spans="1:6" x14ac:dyDescent="0.3">
      <c r="A243">
        <v>2022</v>
      </c>
      <c r="B243">
        <v>8</v>
      </c>
      <c r="C243" t="s">
        <v>44</v>
      </c>
      <c r="D243" t="s">
        <v>31</v>
      </c>
      <c r="E243">
        <v>632</v>
      </c>
      <c r="F243">
        <v>515596.99</v>
      </c>
    </row>
    <row r="244" spans="1:6" x14ac:dyDescent="0.3">
      <c r="A244">
        <v>2022</v>
      </c>
      <c r="B244">
        <v>8</v>
      </c>
      <c r="C244" t="s">
        <v>44</v>
      </c>
      <c r="D244" t="s">
        <v>32</v>
      </c>
      <c r="E244">
        <v>282</v>
      </c>
      <c r="F244">
        <v>210445.66</v>
      </c>
    </row>
    <row r="245" spans="1:6" x14ac:dyDescent="0.3">
      <c r="A245">
        <v>2022</v>
      </c>
      <c r="B245">
        <v>8</v>
      </c>
      <c r="C245" t="s">
        <v>44</v>
      </c>
      <c r="D245" t="s">
        <v>33</v>
      </c>
      <c r="E245">
        <v>474</v>
      </c>
      <c r="F245">
        <v>400275.7</v>
      </c>
    </row>
    <row r="246" spans="1:6" x14ac:dyDescent="0.3">
      <c r="A246">
        <v>2022</v>
      </c>
      <c r="B246">
        <v>8</v>
      </c>
      <c r="C246" t="s">
        <v>44</v>
      </c>
      <c r="D246" t="s">
        <v>34</v>
      </c>
      <c r="E246">
        <v>421</v>
      </c>
      <c r="F246">
        <v>289276.03000000003</v>
      </c>
    </row>
    <row r="247" spans="1:6" x14ac:dyDescent="0.3">
      <c r="A247">
        <v>2022</v>
      </c>
      <c r="B247">
        <v>8</v>
      </c>
      <c r="C247" t="s">
        <v>44</v>
      </c>
      <c r="D247" t="s">
        <v>35</v>
      </c>
      <c r="E247">
        <v>238</v>
      </c>
      <c r="F247">
        <v>166358.44</v>
      </c>
    </row>
    <row r="248" spans="1:6" x14ac:dyDescent="0.3">
      <c r="A248">
        <v>2022</v>
      </c>
      <c r="B248">
        <v>8</v>
      </c>
      <c r="C248" t="s">
        <v>44</v>
      </c>
      <c r="D248" t="s">
        <v>36</v>
      </c>
      <c r="E248">
        <v>310</v>
      </c>
      <c r="F248">
        <v>245396.14</v>
      </c>
    </row>
    <row r="249" spans="1:6" x14ac:dyDescent="0.3">
      <c r="A249">
        <v>2022</v>
      </c>
      <c r="B249">
        <v>8</v>
      </c>
      <c r="C249" t="s">
        <v>44</v>
      </c>
      <c r="D249" t="s">
        <v>37</v>
      </c>
      <c r="E249">
        <v>363</v>
      </c>
      <c r="F249">
        <v>292617.34000000003</v>
      </c>
    </row>
    <row r="250" spans="1:6" x14ac:dyDescent="0.3">
      <c r="A250">
        <v>2022</v>
      </c>
      <c r="B250">
        <v>9</v>
      </c>
      <c r="C250" t="s">
        <v>45</v>
      </c>
      <c r="D250" t="s">
        <v>7</v>
      </c>
      <c r="E250">
        <v>86</v>
      </c>
      <c r="F250">
        <v>67300.12</v>
      </c>
    </row>
    <row r="251" spans="1:6" x14ac:dyDescent="0.3">
      <c r="A251">
        <v>2022</v>
      </c>
      <c r="B251">
        <v>9</v>
      </c>
      <c r="C251" t="s">
        <v>45</v>
      </c>
      <c r="D251" t="s">
        <v>8</v>
      </c>
      <c r="E251">
        <v>121</v>
      </c>
      <c r="F251">
        <v>85325.64</v>
      </c>
    </row>
    <row r="252" spans="1:6" x14ac:dyDescent="0.3">
      <c r="A252">
        <v>2022</v>
      </c>
      <c r="B252">
        <v>9</v>
      </c>
      <c r="C252" t="s">
        <v>45</v>
      </c>
      <c r="D252" t="s">
        <v>9</v>
      </c>
      <c r="E252">
        <v>46</v>
      </c>
      <c r="F252">
        <v>34360.32</v>
      </c>
    </row>
    <row r="253" spans="1:6" x14ac:dyDescent="0.3">
      <c r="A253">
        <v>2022</v>
      </c>
      <c r="B253">
        <v>9</v>
      </c>
      <c r="C253" t="s">
        <v>45</v>
      </c>
      <c r="D253" t="s">
        <v>10</v>
      </c>
      <c r="E253">
        <v>217</v>
      </c>
      <c r="F253">
        <v>182942.81</v>
      </c>
    </row>
    <row r="254" spans="1:6" x14ac:dyDescent="0.3">
      <c r="A254">
        <v>2022</v>
      </c>
      <c r="B254">
        <v>9</v>
      </c>
      <c r="C254" t="s">
        <v>45</v>
      </c>
      <c r="D254" t="s">
        <v>11</v>
      </c>
      <c r="E254">
        <v>160</v>
      </c>
      <c r="F254">
        <v>104703.86</v>
      </c>
    </row>
    <row r="255" spans="1:6" x14ac:dyDescent="0.3">
      <c r="A255">
        <v>2022</v>
      </c>
      <c r="B255">
        <v>9</v>
      </c>
      <c r="C255" t="s">
        <v>45</v>
      </c>
      <c r="D255" t="s">
        <v>12</v>
      </c>
      <c r="E255">
        <v>149</v>
      </c>
      <c r="F255">
        <v>92637.4</v>
      </c>
    </row>
    <row r="256" spans="1:6" x14ac:dyDescent="0.3">
      <c r="A256">
        <v>2022</v>
      </c>
      <c r="B256">
        <v>9</v>
      </c>
      <c r="C256" t="s">
        <v>45</v>
      </c>
      <c r="D256" t="s">
        <v>13</v>
      </c>
      <c r="E256">
        <v>231</v>
      </c>
      <c r="F256">
        <v>157877.62</v>
      </c>
    </row>
    <row r="257" spans="1:6" x14ac:dyDescent="0.3">
      <c r="A257">
        <v>2022</v>
      </c>
      <c r="B257">
        <v>9</v>
      </c>
      <c r="C257" t="s">
        <v>45</v>
      </c>
      <c r="D257" t="s">
        <v>14</v>
      </c>
      <c r="E257">
        <v>166</v>
      </c>
      <c r="F257">
        <v>107289.06</v>
      </c>
    </row>
    <row r="258" spans="1:6" x14ac:dyDescent="0.3">
      <c r="A258">
        <v>2022</v>
      </c>
      <c r="B258">
        <v>9</v>
      </c>
      <c r="C258" t="s">
        <v>45</v>
      </c>
      <c r="D258" t="s">
        <v>15</v>
      </c>
      <c r="E258">
        <v>105</v>
      </c>
      <c r="F258">
        <v>61454.62</v>
      </c>
    </row>
    <row r="259" spans="1:6" x14ac:dyDescent="0.3">
      <c r="A259">
        <v>2022</v>
      </c>
      <c r="B259">
        <v>9</v>
      </c>
      <c r="C259" t="s">
        <v>45</v>
      </c>
      <c r="D259" t="s">
        <v>16</v>
      </c>
      <c r="E259">
        <v>62</v>
      </c>
      <c r="F259">
        <v>55765.56</v>
      </c>
    </row>
    <row r="260" spans="1:6" x14ac:dyDescent="0.3">
      <c r="A260">
        <v>2022</v>
      </c>
      <c r="B260">
        <v>9</v>
      </c>
      <c r="C260" t="s">
        <v>45</v>
      </c>
      <c r="D260" t="s">
        <v>17</v>
      </c>
      <c r="E260">
        <v>527</v>
      </c>
      <c r="F260">
        <v>390955.61</v>
      </c>
    </row>
    <row r="261" spans="1:6" x14ac:dyDescent="0.3">
      <c r="A261">
        <v>2022</v>
      </c>
      <c r="B261">
        <v>9</v>
      </c>
      <c r="C261" t="s">
        <v>45</v>
      </c>
      <c r="D261" t="s">
        <v>18</v>
      </c>
      <c r="E261">
        <v>435</v>
      </c>
      <c r="F261">
        <v>353686.05</v>
      </c>
    </row>
    <row r="262" spans="1:6" x14ac:dyDescent="0.3">
      <c r="A262">
        <v>2022</v>
      </c>
      <c r="B262">
        <v>9</v>
      </c>
      <c r="C262" t="s">
        <v>45</v>
      </c>
      <c r="D262" t="s">
        <v>19</v>
      </c>
      <c r="E262">
        <v>108</v>
      </c>
      <c r="F262">
        <v>77795.73</v>
      </c>
    </row>
    <row r="263" spans="1:6" x14ac:dyDescent="0.3">
      <c r="A263">
        <v>2022</v>
      </c>
      <c r="B263">
        <v>9</v>
      </c>
      <c r="C263" t="s">
        <v>45</v>
      </c>
      <c r="D263" t="s">
        <v>20</v>
      </c>
      <c r="E263">
        <v>157</v>
      </c>
      <c r="F263">
        <v>113703.63</v>
      </c>
    </row>
    <row r="264" spans="1:6" x14ac:dyDescent="0.3">
      <c r="A264">
        <v>2022</v>
      </c>
      <c r="B264">
        <v>9</v>
      </c>
      <c r="C264" t="s">
        <v>45</v>
      </c>
      <c r="D264" t="s">
        <v>21</v>
      </c>
      <c r="E264">
        <v>285</v>
      </c>
      <c r="F264">
        <v>250394.13</v>
      </c>
    </row>
    <row r="265" spans="1:6" x14ac:dyDescent="0.3">
      <c r="A265">
        <v>2022</v>
      </c>
      <c r="B265">
        <v>9</v>
      </c>
      <c r="C265" t="s">
        <v>45</v>
      </c>
      <c r="D265" t="s">
        <v>22</v>
      </c>
      <c r="E265">
        <v>120</v>
      </c>
      <c r="F265">
        <v>79860.649999999994</v>
      </c>
    </row>
    <row r="266" spans="1:6" x14ac:dyDescent="0.3">
      <c r="A266">
        <v>2022</v>
      </c>
      <c r="B266">
        <v>9</v>
      </c>
      <c r="C266" t="s">
        <v>45</v>
      </c>
      <c r="D266" t="s">
        <v>23</v>
      </c>
      <c r="E266">
        <v>71</v>
      </c>
      <c r="F266">
        <v>72343.11</v>
      </c>
    </row>
    <row r="267" spans="1:6" x14ac:dyDescent="0.3">
      <c r="A267">
        <v>2022</v>
      </c>
      <c r="B267">
        <v>9</v>
      </c>
      <c r="C267" t="s">
        <v>45</v>
      </c>
      <c r="D267" t="s">
        <v>24</v>
      </c>
      <c r="E267">
        <v>132</v>
      </c>
      <c r="F267">
        <v>90714.35</v>
      </c>
    </row>
    <row r="268" spans="1:6" x14ac:dyDescent="0.3">
      <c r="A268">
        <v>2022</v>
      </c>
      <c r="B268">
        <v>9</v>
      </c>
      <c r="C268" t="s">
        <v>45</v>
      </c>
      <c r="D268" t="s">
        <v>25</v>
      </c>
      <c r="E268">
        <v>262</v>
      </c>
      <c r="F268">
        <v>201994.66</v>
      </c>
    </row>
    <row r="269" spans="1:6" x14ac:dyDescent="0.3">
      <c r="A269">
        <v>2022</v>
      </c>
      <c r="B269">
        <v>9</v>
      </c>
      <c r="C269" t="s">
        <v>45</v>
      </c>
      <c r="D269" t="s">
        <v>26</v>
      </c>
      <c r="E269">
        <v>141</v>
      </c>
      <c r="F269">
        <v>102658.02</v>
      </c>
    </row>
    <row r="270" spans="1:6" x14ac:dyDescent="0.3">
      <c r="A270">
        <v>2022</v>
      </c>
      <c r="B270">
        <v>9</v>
      </c>
      <c r="C270" t="s">
        <v>45</v>
      </c>
      <c r="D270" t="s">
        <v>27</v>
      </c>
      <c r="E270">
        <v>142</v>
      </c>
      <c r="F270">
        <v>117861.53</v>
      </c>
    </row>
    <row r="271" spans="1:6" x14ac:dyDescent="0.3">
      <c r="A271">
        <v>2022</v>
      </c>
      <c r="B271">
        <v>9</v>
      </c>
      <c r="C271" t="s">
        <v>45</v>
      </c>
      <c r="D271" t="s">
        <v>28</v>
      </c>
      <c r="E271">
        <v>63</v>
      </c>
      <c r="F271">
        <v>43707.82</v>
      </c>
    </row>
    <row r="272" spans="1:6" x14ac:dyDescent="0.3">
      <c r="A272">
        <v>2022</v>
      </c>
      <c r="B272">
        <v>9</v>
      </c>
      <c r="C272" t="s">
        <v>45</v>
      </c>
      <c r="D272" t="s">
        <v>29</v>
      </c>
      <c r="E272">
        <v>202</v>
      </c>
      <c r="F272">
        <v>151594.07999999999</v>
      </c>
    </row>
    <row r="273" spans="1:6" x14ac:dyDescent="0.3">
      <c r="A273">
        <v>2022</v>
      </c>
      <c r="B273">
        <v>9</v>
      </c>
      <c r="C273" t="s">
        <v>45</v>
      </c>
      <c r="D273" t="s">
        <v>30</v>
      </c>
      <c r="E273">
        <v>53</v>
      </c>
      <c r="F273">
        <v>39571.730000000003</v>
      </c>
    </row>
    <row r="274" spans="1:6" x14ac:dyDescent="0.3">
      <c r="A274">
        <v>2022</v>
      </c>
      <c r="B274">
        <v>9</v>
      </c>
      <c r="C274" t="s">
        <v>45</v>
      </c>
      <c r="D274" t="s">
        <v>31</v>
      </c>
      <c r="E274">
        <v>436</v>
      </c>
      <c r="F274">
        <v>346006.42</v>
      </c>
    </row>
    <row r="275" spans="1:6" x14ac:dyDescent="0.3">
      <c r="A275">
        <v>2022</v>
      </c>
      <c r="B275">
        <v>9</v>
      </c>
      <c r="C275" t="s">
        <v>45</v>
      </c>
      <c r="D275" t="s">
        <v>32</v>
      </c>
      <c r="E275">
        <v>93</v>
      </c>
      <c r="F275">
        <v>73601.61</v>
      </c>
    </row>
    <row r="276" spans="1:6" x14ac:dyDescent="0.3">
      <c r="A276">
        <v>2022</v>
      </c>
      <c r="B276">
        <v>9</v>
      </c>
      <c r="C276" t="s">
        <v>45</v>
      </c>
      <c r="D276" t="s">
        <v>33</v>
      </c>
      <c r="E276">
        <v>335</v>
      </c>
      <c r="F276">
        <v>290297.44</v>
      </c>
    </row>
    <row r="277" spans="1:6" x14ac:dyDescent="0.3">
      <c r="A277">
        <v>2022</v>
      </c>
      <c r="B277">
        <v>9</v>
      </c>
      <c r="C277" t="s">
        <v>45</v>
      </c>
      <c r="D277" t="s">
        <v>34</v>
      </c>
      <c r="E277">
        <v>304</v>
      </c>
      <c r="F277">
        <v>216366.63</v>
      </c>
    </row>
    <row r="278" spans="1:6" x14ac:dyDescent="0.3">
      <c r="A278">
        <v>2022</v>
      </c>
      <c r="B278">
        <v>9</v>
      </c>
      <c r="C278" t="s">
        <v>45</v>
      </c>
      <c r="D278" t="s">
        <v>35</v>
      </c>
      <c r="E278">
        <v>122</v>
      </c>
      <c r="F278">
        <v>93111.66</v>
      </c>
    </row>
    <row r="279" spans="1:6" x14ac:dyDescent="0.3">
      <c r="A279">
        <v>2022</v>
      </c>
      <c r="B279">
        <v>9</v>
      </c>
      <c r="C279" t="s">
        <v>45</v>
      </c>
      <c r="D279" t="s">
        <v>36</v>
      </c>
      <c r="E279">
        <v>165</v>
      </c>
      <c r="F279">
        <v>132152.84</v>
      </c>
    </row>
    <row r="280" spans="1:6" x14ac:dyDescent="0.3">
      <c r="A280">
        <v>2022</v>
      </c>
      <c r="B280">
        <v>9</v>
      </c>
      <c r="C280" t="s">
        <v>45</v>
      </c>
      <c r="D280" t="s">
        <v>37</v>
      </c>
      <c r="E280">
        <v>215</v>
      </c>
      <c r="F280">
        <v>176824.82</v>
      </c>
    </row>
    <row r="281" spans="1:6" x14ac:dyDescent="0.3">
      <c r="A281">
        <v>2022</v>
      </c>
      <c r="B281">
        <v>10</v>
      </c>
      <c r="C281" t="s">
        <v>46</v>
      </c>
      <c r="D281" t="s">
        <v>7</v>
      </c>
      <c r="E281">
        <v>101</v>
      </c>
      <c r="F281">
        <v>82877.679999999993</v>
      </c>
    </row>
    <row r="282" spans="1:6" x14ac:dyDescent="0.3">
      <c r="A282">
        <v>2022</v>
      </c>
      <c r="B282">
        <v>10</v>
      </c>
      <c r="C282" t="s">
        <v>46</v>
      </c>
      <c r="D282" t="s">
        <v>8</v>
      </c>
      <c r="E282">
        <v>90</v>
      </c>
      <c r="F282">
        <v>66799.289999999994</v>
      </c>
    </row>
    <row r="283" spans="1:6" x14ac:dyDescent="0.3">
      <c r="A283">
        <v>2022</v>
      </c>
      <c r="B283">
        <v>10</v>
      </c>
      <c r="C283" t="s">
        <v>46</v>
      </c>
      <c r="D283" t="s">
        <v>9</v>
      </c>
      <c r="E283">
        <v>26</v>
      </c>
      <c r="F283">
        <v>24574.41</v>
      </c>
    </row>
    <row r="284" spans="1:6" x14ac:dyDescent="0.3">
      <c r="A284">
        <v>2022</v>
      </c>
      <c r="B284">
        <v>10</v>
      </c>
      <c r="C284" t="s">
        <v>46</v>
      </c>
      <c r="D284" t="s">
        <v>10</v>
      </c>
      <c r="E284">
        <v>168</v>
      </c>
      <c r="F284">
        <v>162102.26</v>
      </c>
    </row>
    <row r="285" spans="1:6" x14ac:dyDescent="0.3">
      <c r="A285">
        <v>2022</v>
      </c>
      <c r="B285">
        <v>10</v>
      </c>
      <c r="C285" t="s">
        <v>46</v>
      </c>
      <c r="D285" t="s">
        <v>11</v>
      </c>
      <c r="E285">
        <v>101</v>
      </c>
      <c r="F285">
        <v>82296.58</v>
      </c>
    </row>
    <row r="286" spans="1:6" x14ac:dyDescent="0.3">
      <c r="A286">
        <v>2022</v>
      </c>
      <c r="B286">
        <v>10</v>
      </c>
      <c r="C286" t="s">
        <v>46</v>
      </c>
      <c r="D286" t="s">
        <v>12</v>
      </c>
      <c r="E286">
        <v>174</v>
      </c>
      <c r="F286">
        <v>131622.01</v>
      </c>
    </row>
    <row r="287" spans="1:6" x14ac:dyDescent="0.3">
      <c r="A287">
        <v>2022</v>
      </c>
      <c r="B287">
        <v>10</v>
      </c>
      <c r="C287" t="s">
        <v>46</v>
      </c>
      <c r="D287" t="s">
        <v>13</v>
      </c>
      <c r="E287">
        <v>175</v>
      </c>
      <c r="F287">
        <v>127237.64</v>
      </c>
    </row>
    <row r="288" spans="1:6" x14ac:dyDescent="0.3">
      <c r="A288">
        <v>2022</v>
      </c>
      <c r="B288">
        <v>10</v>
      </c>
      <c r="C288" t="s">
        <v>46</v>
      </c>
      <c r="D288" t="s">
        <v>14</v>
      </c>
      <c r="E288">
        <v>96</v>
      </c>
      <c r="F288">
        <v>65175.46</v>
      </c>
    </row>
    <row r="289" spans="1:6" x14ac:dyDescent="0.3">
      <c r="A289">
        <v>2022</v>
      </c>
      <c r="B289">
        <v>10</v>
      </c>
      <c r="C289" t="s">
        <v>46</v>
      </c>
      <c r="D289" t="s">
        <v>15</v>
      </c>
      <c r="E289">
        <v>77</v>
      </c>
      <c r="F289">
        <v>53581.88</v>
      </c>
    </row>
    <row r="290" spans="1:6" x14ac:dyDescent="0.3">
      <c r="A290">
        <v>2022</v>
      </c>
      <c r="B290">
        <v>10</v>
      </c>
      <c r="C290" t="s">
        <v>46</v>
      </c>
      <c r="D290" t="s">
        <v>16</v>
      </c>
      <c r="E290">
        <v>51</v>
      </c>
      <c r="F290">
        <v>37419.699999999997</v>
      </c>
    </row>
    <row r="291" spans="1:6" x14ac:dyDescent="0.3">
      <c r="A291">
        <v>2022</v>
      </c>
      <c r="B291">
        <v>10</v>
      </c>
      <c r="C291" t="s">
        <v>46</v>
      </c>
      <c r="D291" t="s">
        <v>17</v>
      </c>
      <c r="E291">
        <v>337</v>
      </c>
      <c r="F291">
        <v>289235.55</v>
      </c>
    </row>
    <row r="292" spans="1:6" x14ac:dyDescent="0.3">
      <c r="A292">
        <v>2022</v>
      </c>
      <c r="B292">
        <v>10</v>
      </c>
      <c r="C292" t="s">
        <v>46</v>
      </c>
      <c r="D292" t="s">
        <v>18</v>
      </c>
      <c r="E292">
        <v>222</v>
      </c>
      <c r="F292">
        <v>185611.17</v>
      </c>
    </row>
    <row r="293" spans="1:6" x14ac:dyDescent="0.3">
      <c r="A293">
        <v>2022</v>
      </c>
      <c r="B293">
        <v>10</v>
      </c>
      <c r="C293" t="s">
        <v>46</v>
      </c>
      <c r="D293" t="s">
        <v>19</v>
      </c>
      <c r="E293">
        <v>83</v>
      </c>
      <c r="F293">
        <v>57732.01</v>
      </c>
    </row>
    <row r="294" spans="1:6" x14ac:dyDescent="0.3">
      <c r="A294">
        <v>2022</v>
      </c>
      <c r="B294">
        <v>10</v>
      </c>
      <c r="C294" t="s">
        <v>46</v>
      </c>
      <c r="D294" t="s">
        <v>20</v>
      </c>
      <c r="E294">
        <v>128</v>
      </c>
      <c r="F294">
        <v>93587.45</v>
      </c>
    </row>
    <row r="295" spans="1:6" x14ac:dyDescent="0.3">
      <c r="A295">
        <v>2022</v>
      </c>
      <c r="B295">
        <v>10</v>
      </c>
      <c r="C295" t="s">
        <v>46</v>
      </c>
      <c r="D295" t="s">
        <v>21</v>
      </c>
      <c r="E295">
        <v>186</v>
      </c>
      <c r="F295">
        <v>169049.18</v>
      </c>
    </row>
    <row r="296" spans="1:6" x14ac:dyDescent="0.3">
      <c r="A296">
        <v>2022</v>
      </c>
      <c r="B296">
        <v>10</v>
      </c>
      <c r="C296" t="s">
        <v>46</v>
      </c>
      <c r="D296" t="s">
        <v>22</v>
      </c>
      <c r="E296">
        <v>73</v>
      </c>
      <c r="F296">
        <v>52178.35</v>
      </c>
    </row>
    <row r="297" spans="1:6" x14ac:dyDescent="0.3">
      <c r="A297">
        <v>2022</v>
      </c>
      <c r="B297">
        <v>10</v>
      </c>
      <c r="C297" t="s">
        <v>46</v>
      </c>
      <c r="D297" t="s">
        <v>23</v>
      </c>
      <c r="E297">
        <v>71</v>
      </c>
      <c r="F297">
        <v>68991.960000000006</v>
      </c>
    </row>
    <row r="298" spans="1:6" x14ac:dyDescent="0.3">
      <c r="A298">
        <v>2022</v>
      </c>
      <c r="B298">
        <v>10</v>
      </c>
      <c r="C298" t="s">
        <v>46</v>
      </c>
      <c r="D298" t="s">
        <v>24</v>
      </c>
      <c r="E298">
        <v>114</v>
      </c>
      <c r="F298">
        <v>77945.14</v>
      </c>
    </row>
    <row r="299" spans="1:6" x14ac:dyDescent="0.3">
      <c r="A299">
        <v>2022</v>
      </c>
      <c r="B299">
        <v>10</v>
      </c>
      <c r="C299" t="s">
        <v>46</v>
      </c>
      <c r="D299" t="s">
        <v>25</v>
      </c>
      <c r="E299">
        <v>174</v>
      </c>
      <c r="F299">
        <v>154757.59</v>
      </c>
    </row>
    <row r="300" spans="1:6" x14ac:dyDescent="0.3">
      <c r="A300">
        <v>2022</v>
      </c>
      <c r="B300">
        <v>10</v>
      </c>
      <c r="C300" t="s">
        <v>46</v>
      </c>
      <c r="D300" t="s">
        <v>26</v>
      </c>
      <c r="E300">
        <v>105</v>
      </c>
      <c r="F300">
        <v>109313.71</v>
      </c>
    </row>
    <row r="301" spans="1:6" x14ac:dyDescent="0.3">
      <c r="A301">
        <v>2022</v>
      </c>
      <c r="B301">
        <v>10</v>
      </c>
      <c r="C301" t="s">
        <v>46</v>
      </c>
      <c r="D301" t="s">
        <v>27</v>
      </c>
      <c r="E301">
        <v>153</v>
      </c>
      <c r="F301">
        <v>145014.39000000001</v>
      </c>
    </row>
    <row r="302" spans="1:6" x14ac:dyDescent="0.3">
      <c r="A302">
        <v>2022</v>
      </c>
      <c r="B302">
        <v>10</v>
      </c>
      <c r="C302" t="s">
        <v>46</v>
      </c>
      <c r="D302" t="s">
        <v>28</v>
      </c>
      <c r="E302">
        <v>59</v>
      </c>
      <c r="F302">
        <v>45873.65</v>
      </c>
    </row>
    <row r="303" spans="1:6" x14ac:dyDescent="0.3">
      <c r="A303">
        <v>2022</v>
      </c>
      <c r="B303">
        <v>10</v>
      </c>
      <c r="C303" t="s">
        <v>46</v>
      </c>
      <c r="D303" t="s">
        <v>29</v>
      </c>
      <c r="E303">
        <v>129</v>
      </c>
      <c r="F303">
        <v>104567.2</v>
      </c>
    </row>
    <row r="304" spans="1:6" x14ac:dyDescent="0.3">
      <c r="A304">
        <v>2022</v>
      </c>
      <c r="B304">
        <v>10</v>
      </c>
      <c r="C304" t="s">
        <v>46</v>
      </c>
      <c r="D304" t="s">
        <v>30</v>
      </c>
      <c r="E304">
        <v>32</v>
      </c>
      <c r="F304">
        <v>27506.720000000001</v>
      </c>
    </row>
    <row r="305" spans="1:6" x14ac:dyDescent="0.3">
      <c r="A305">
        <v>2022</v>
      </c>
      <c r="B305">
        <v>10</v>
      </c>
      <c r="C305" t="s">
        <v>46</v>
      </c>
      <c r="D305" t="s">
        <v>31</v>
      </c>
      <c r="E305">
        <v>325</v>
      </c>
      <c r="F305">
        <v>275627.34999999998</v>
      </c>
    </row>
    <row r="306" spans="1:6" x14ac:dyDescent="0.3">
      <c r="A306">
        <v>2022</v>
      </c>
      <c r="B306">
        <v>10</v>
      </c>
      <c r="C306" t="s">
        <v>46</v>
      </c>
      <c r="D306" t="s">
        <v>32</v>
      </c>
      <c r="E306">
        <v>80</v>
      </c>
      <c r="F306">
        <v>65667.850000000006</v>
      </c>
    </row>
    <row r="307" spans="1:6" x14ac:dyDescent="0.3">
      <c r="A307">
        <v>2022</v>
      </c>
      <c r="B307">
        <v>10</v>
      </c>
      <c r="C307" t="s">
        <v>46</v>
      </c>
      <c r="D307" t="s">
        <v>33</v>
      </c>
      <c r="E307">
        <v>323</v>
      </c>
      <c r="F307">
        <v>291424.99</v>
      </c>
    </row>
    <row r="308" spans="1:6" x14ac:dyDescent="0.3">
      <c r="A308">
        <v>2022</v>
      </c>
      <c r="B308">
        <v>10</v>
      </c>
      <c r="C308" t="s">
        <v>46</v>
      </c>
      <c r="D308" t="s">
        <v>34</v>
      </c>
      <c r="E308">
        <v>186</v>
      </c>
      <c r="F308">
        <v>147498.84</v>
      </c>
    </row>
    <row r="309" spans="1:6" x14ac:dyDescent="0.3">
      <c r="A309">
        <v>2022</v>
      </c>
      <c r="B309">
        <v>10</v>
      </c>
      <c r="C309" t="s">
        <v>46</v>
      </c>
      <c r="D309" t="s">
        <v>35</v>
      </c>
      <c r="E309">
        <v>108</v>
      </c>
      <c r="F309">
        <v>92766.06</v>
      </c>
    </row>
    <row r="310" spans="1:6" x14ac:dyDescent="0.3">
      <c r="A310">
        <v>2022</v>
      </c>
      <c r="B310">
        <v>10</v>
      </c>
      <c r="C310" t="s">
        <v>46</v>
      </c>
      <c r="D310" t="s">
        <v>36</v>
      </c>
      <c r="E310">
        <v>147</v>
      </c>
      <c r="F310">
        <v>126709.59</v>
      </c>
    </row>
    <row r="311" spans="1:6" x14ac:dyDescent="0.3">
      <c r="A311">
        <v>2022</v>
      </c>
      <c r="B311">
        <v>10</v>
      </c>
      <c r="C311" t="s">
        <v>46</v>
      </c>
      <c r="D311" t="s">
        <v>37</v>
      </c>
      <c r="E311">
        <v>169</v>
      </c>
      <c r="F311">
        <v>137142.84</v>
      </c>
    </row>
    <row r="312" spans="1:6" x14ac:dyDescent="0.3">
      <c r="A312">
        <v>2022</v>
      </c>
      <c r="B312">
        <v>11</v>
      </c>
      <c r="C312" t="s">
        <v>47</v>
      </c>
      <c r="D312" t="s">
        <v>7</v>
      </c>
      <c r="E312">
        <v>46</v>
      </c>
      <c r="F312">
        <v>40985.050000000003</v>
      </c>
    </row>
    <row r="313" spans="1:6" x14ac:dyDescent="0.3">
      <c r="A313">
        <v>2022</v>
      </c>
      <c r="B313">
        <v>11</v>
      </c>
      <c r="C313" t="s">
        <v>47</v>
      </c>
      <c r="D313" t="s">
        <v>8</v>
      </c>
      <c r="E313">
        <v>98</v>
      </c>
      <c r="F313">
        <v>64594.69</v>
      </c>
    </row>
    <row r="314" spans="1:6" x14ac:dyDescent="0.3">
      <c r="A314">
        <v>2022</v>
      </c>
      <c r="B314">
        <v>11</v>
      </c>
      <c r="C314" t="s">
        <v>47</v>
      </c>
      <c r="D314" t="s">
        <v>9</v>
      </c>
      <c r="E314">
        <v>22</v>
      </c>
      <c r="F314">
        <v>19509.21</v>
      </c>
    </row>
    <row r="315" spans="1:6" x14ac:dyDescent="0.3">
      <c r="A315">
        <v>2022</v>
      </c>
      <c r="B315">
        <v>11</v>
      </c>
      <c r="C315" t="s">
        <v>47</v>
      </c>
      <c r="D315" t="s">
        <v>10</v>
      </c>
      <c r="E315">
        <v>114</v>
      </c>
      <c r="F315">
        <v>136154.54</v>
      </c>
    </row>
    <row r="316" spans="1:6" x14ac:dyDescent="0.3">
      <c r="A316">
        <v>2022</v>
      </c>
      <c r="B316">
        <v>11</v>
      </c>
      <c r="C316" t="s">
        <v>47</v>
      </c>
      <c r="D316" t="s">
        <v>11</v>
      </c>
      <c r="E316">
        <v>59</v>
      </c>
      <c r="F316">
        <v>51857.89</v>
      </c>
    </row>
    <row r="317" spans="1:6" x14ac:dyDescent="0.3">
      <c r="A317">
        <v>2022</v>
      </c>
      <c r="B317">
        <v>11</v>
      </c>
      <c r="C317" t="s">
        <v>47</v>
      </c>
      <c r="D317" t="s">
        <v>12</v>
      </c>
      <c r="E317">
        <v>114</v>
      </c>
      <c r="F317">
        <v>109149.63</v>
      </c>
    </row>
    <row r="318" spans="1:6" x14ac:dyDescent="0.3">
      <c r="A318">
        <v>2022</v>
      </c>
      <c r="B318">
        <v>11</v>
      </c>
      <c r="C318" t="s">
        <v>47</v>
      </c>
      <c r="D318" t="s">
        <v>13</v>
      </c>
      <c r="E318">
        <v>170</v>
      </c>
      <c r="F318">
        <v>134969.71</v>
      </c>
    </row>
    <row r="319" spans="1:6" x14ac:dyDescent="0.3">
      <c r="A319">
        <v>2022</v>
      </c>
      <c r="B319">
        <v>11</v>
      </c>
      <c r="C319" t="s">
        <v>47</v>
      </c>
      <c r="D319" t="s">
        <v>14</v>
      </c>
      <c r="E319">
        <v>97</v>
      </c>
      <c r="F319">
        <v>70139.28</v>
      </c>
    </row>
    <row r="320" spans="1:6" x14ac:dyDescent="0.3">
      <c r="A320">
        <v>2022</v>
      </c>
      <c r="B320">
        <v>11</v>
      </c>
      <c r="C320" t="s">
        <v>47</v>
      </c>
      <c r="D320" t="s">
        <v>15</v>
      </c>
      <c r="E320">
        <v>66</v>
      </c>
      <c r="F320">
        <v>51881.95</v>
      </c>
    </row>
    <row r="321" spans="1:6" x14ac:dyDescent="0.3">
      <c r="A321">
        <v>2022</v>
      </c>
      <c r="B321">
        <v>11</v>
      </c>
      <c r="C321" t="s">
        <v>47</v>
      </c>
      <c r="D321" t="s">
        <v>16</v>
      </c>
      <c r="E321">
        <v>29</v>
      </c>
      <c r="F321">
        <v>24128.81</v>
      </c>
    </row>
    <row r="322" spans="1:6" x14ac:dyDescent="0.3">
      <c r="A322">
        <v>2022</v>
      </c>
      <c r="B322">
        <v>11</v>
      </c>
      <c r="C322" t="s">
        <v>47</v>
      </c>
      <c r="D322" t="s">
        <v>17</v>
      </c>
      <c r="E322">
        <v>139</v>
      </c>
      <c r="F322">
        <v>120652</v>
      </c>
    </row>
    <row r="323" spans="1:6" x14ac:dyDescent="0.3">
      <c r="A323">
        <v>2022</v>
      </c>
      <c r="B323">
        <v>11</v>
      </c>
      <c r="C323" t="s">
        <v>47</v>
      </c>
      <c r="D323" t="s">
        <v>18</v>
      </c>
      <c r="E323">
        <v>132</v>
      </c>
      <c r="F323">
        <v>126654.11</v>
      </c>
    </row>
    <row r="324" spans="1:6" x14ac:dyDescent="0.3">
      <c r="A324">
        <v>2022</v>
      </c>
      <c r="B324">
        <v>11</v>
      </c>
      <c r="C324" t="s">
        <v>47</v>
      </c>
      <c r="D324" t="s">
        <v>19</v>
      </c>
      <c r="E324">
        <v>67</v>
      </c>
      <c r="F324">
        <v>46449.81</v>
      </c>
    </row>
    <row r="325" spans="1:6" x14ac:dyDescent="0.3">
      <c r="A325">
        <v>2022</v>
      </c>
      <c r="B325">
        <v>11</v>
      </c>
      <c r="C325" t="s">
        <v>47</v>
      </c>
      <c r="D325" t="s">
        <v>20</v>
      </c>
      <c r="E325">
        <v>75</v>
      </c>
      <c r="F325">
        <v>58651.21</v>
      </c>
    </row>
    <row r="326" spans="1:6" x14ac:dyDescent="0.3">
      <c r="A326">
        <v>2022</v>
      </c>
      <c r="B326">
        <v>11</v>
      </c>
      <c r="C326" t="s">
        <v>47</v>
      </c>
      <c r="D326" t="s">
        <v>21</v>
      </c>
      <c r="E326">
        <v>139</v>
      </c>
      <c r="F326">
        <v>135085.46</v>
      </c>
    </row>
    <row r="327" spans="1:6" x14ac:dyDescent="0.3">
      <c r="A327">
        <v>2022</v>
      </c>
      <c r="B327">
        <v>11</v>
      </c>
      <c r="C327" t="s">
        <v>47</v>
      </c>
      <c r="D327" t="s">
        <v>22</v>
      </c>
      <c r="E327">
        <v>57</v>
      </c>
      <c r="F327">
        <v>39013.08</v>
      </c>
    </row>
    <row r="328" spans="1:6" x14ac:dyDescent="0.3">
      <c r="A328">
        <v>2022</v>
      </c>
      <c r="B328">
        <v>11</v>
      </c>
      <c r="C328" t="s">
        <v>47</v>
      </c>
      <c r="D328" t="s">
        <v>23</v>
      </c>
      <c r="E328">
        <v>27</v>
      </c>
      <c r="F328">
        <v>26917.49</v>
      </c>
    </row>
    <row r="329" spans="1:6" x14ac:dyDescent="0.3">
      <c r="A329">
        <v>2022</v>
      </c>
      <c r="B329">
        <v>11</v>
      </c>
      <c r="C329" t="s">
        <v>47</v>
      </c>
      <c r="D329" t="s">
        <v>24</v>
      </c>
      <c r="E329">
        <v>166</v>
      </c>
      <c r="F329">
        <v>130934.64</v>
      </c>
    </row>
    <row r="330" spans="1:6" x14ac:dyDescent="0.3">
      <c r="A330">
        <v>2022</v>
      </c>
      <c r="B330">
        <v>11</v>
      </c>
      <c r="C330" t="s">
        <v>47</v>
      </c>
      <c r="D330" t="s">
        <v>25</v>
      </c>
      <c r="E330">
        <v>162</v>
      </c>
      <c r="F330">
        <v>132838.9</v>
      </c>
    </row>
    <row r="331" spans="1:6" x14ac:dyDescent="0.3">
      <c r="A331">
        <v>2022</v>
      </c>
      <c r="B331">
        <v>11</v>
      </c>
      <c r="C331" t="s">
        <v>47</v>
      </c>
      <c r="D331" t="s">
        <v>26</v>
      </c>
      <c r="E331">
        <v>48</v>
      </c>
      <c r="F331">
        <v>43301.919999999998</v>
      </c>
    </row>
    <row r="332" spans="1:6" x14ac:dyDescent="0.3">
      <c r="A332">
        <v>2022</v>
      </c>
      <c r="B332">
        <v>11</v>
      </c>
      <c r="C332" t="s">
        <v>47</v>
      </c>
      <c r="D332" t="s">
        <v>27</v>
      </c>
      <c r="E332">
        <v>107</v>
      </c>
      <c r="F332">
        <v>117804.15</v>
      </c>
    </row>
    <row r="333" spans="1:6" x14ac:dyDescent="0.3">
      <c r="A333">
        <v>2022</v>
      </c>
      <c r="B333">
        <v>11</v>
      </c>
      <c r="C333" t="s">
        <v>47</v>
      </c>
      <c r="D333" t="s">
        <v>28</v>
      </c>
      <c r="E333">
        <v>30</v>
      </c>
      <c r="F333">
        <v>23688.37</v>
      </c>
    </row>
    <row r="334" spans="1:6" x14ac:dyDescent="0.3">
      <c r="A334">
        <v>2022</v>
      </c>
      <c r="B334">
        <v>11</v>
      </c>
      <c r="C334" t="s">
        <v>47</v>
      </c>
      <c r="D334" t="s">
        <v>29</v>
      </c>
      <c r="E334">
        <v>94</v>
      </c>
      <c r="F334">
        <v>83277.33</v>
      </c>
    </row>
    <row r="335" spans="1:6" x14ac:dyDescent="0.3">
      <c r="A335">
        <v>2022</v>
      </c>
      <c r="B335">
        <v>11</v>
      </c>
      <c r="C335" t="s">
        <v>47</v>
      </c>
      <c r="D335" t="s">
        <v>30</v>
      </c>
      <c r="E335">
        <v>42</v>
      </c>
      <c r="F335">
        <v>30656.17</v>
      </c>
    </row>
    <row r="336" spans="1:6" x14ac:dyDescent="0.3">
      <c r="A336">
        <v>2022</v>
      </c>
      <c r="B336">
        <v>11</v>
      </c>
      <c r="C336" t="s">
        <v>47</v>
      </c>
      <c r="D336" t="s">
        <v>31</v>
      </c>
      <c r="E336">
        <v>253</v>
      </c>
      <c r="F336">
        <v>212531.62</v>
      </c>
    </row>
    <row r="337" spans="1:6" x14ac:dyDescent="0.3">
      <c r="A337">
        <v>2022</v>
      </c>
      <c r="B337">
        <v>11</v>
      </c>
      <c r="C337" t="s">
        <v>47</v>
      </c>
      <c r="D337" t="s">
        <v>32</v>
      </c>
      <c r="E337">
        <v>45</v>
      </c>
      <c r="F337">
        <v>38953.379999999997</v>
      </c>
    </row>
    <row r="338" spans="1:6" x14ac:dyDescent="0.3">
      <c r="A338">
        <v>2022</v>
      </c>
      <c r="B338">
        <v>11</v>
      </c>
      <c r="C338" t="s">
        <v>47</v>
      </c>
      <c r="D338" t="s">
        <v>33</v>
      </c>
      <c r="E338">
        <v>229</v>
      </c>
      <c r="F338">
        <v>208819.57</v>
      </c>
    </row>
    <row r="339" spans="1:6" x14ac:dyDescent="0.3">
      <c r="A339">
        <v>2022</v>
      </c>
      <c r="B339">
        <v>11</v>
      </c>
      <c r="C339" t="s">
        <v>47</v>
      </c>
      <c r="D339" t="s">
        <v>34</v>
      </c>
      <c r="E339">
        <v>98</v>
      </c>
      <c r="F339">
        <v>100439.51</v>
      </c>
    </row>
    <row r="340" spans="1:6" x14ac:dyDescent="0.3">
      <c r="A340">
        <v>2022</v>
      </c>
      <c r="B340">
        <v>11</v>
      </c>
      <c r="C340" t="s">
        <v>47</v>
      </c>
      <c r="D340" t="s">
        <v>35</v>
      </c>
      <c r="E340">
        <v>70</v>
      </c>
      <c r="F340">
        <v>56798.15</v>
      </c>
    </row>
    <row r="341" spans="1:6" x14ac:dyDescent="0.3">
      <c r="A341">
        <v>2022</v>
      </c>
      <c r="B341">
        <v>11</v>
      </c>
      <c r="C341" t="s">
        <v>47</v>
      </c>
      <c r="D341" t="s">
        <v>36</v>
      </c>
      <c r="E341">
        <v>99</v>
      </c>
      <c r="F341">
        <v>85197.47</v>
      </c>
    </row>
    <row r="342" spans="1:6" x14ac:dyDescent="0.3">
      <c r="A342">
        <v>2022</v>
      </c>
      <c r="B342">
        <v>11</v>
      </c>
      <c r="C342" t="s">
        <v>47</v>
      </c>
      <c r="D342" t="s">
        <v>37</v>
      </c>
      <c r="E342">
        <v>110</v>
      </c>
      <c r="F342">
        <v>95919.2</v>
      </c>
    </row>
    <row r="343" spans="1:6" x14ac:dyDescent="0.3">
      <c r="A343">
        <v>2022</v>
      </c>
      <c r="B343">
        <v>12</v>
      </c>
      <c r="C343" t="s">
        <v>48</v>
      </c>
      <c r="D343" t="s">
        <v>7</v>
      </c>
      <c r="E343">
        <v>26</v>
      </c>
      <c r="F343">
        <v>22594.79</v>
      </c>
    </row>
    <row r="344" spans="1:6" x14ac:dyDescent="0.3">
      <c r="A344">
        <v>2022</v>
      </c>
      <c r="B344">
        <v>12</v>
      </c>
      <c r="C344" t="s">
        <v>48</v>
      </c>
      <c r="D344" t="s">
        <v>8</v>
      </c>
      <c r="E344">
        <v>85</v>
      </c>
      <c r="F344">
        <v>65806.78</v>
      </c>
    </row>
    <row r="345" spans="1:6" x14ac:dyDescent="0.3">
      <c r="A345">
        <v>2022</v>
      </c>
      <c r="B345">
        <v>12</v>
      </c>
      <c r="C345" t="s">
        <v>48</v>
      </c>
      <c r="D345" t="s">
        <v>9</v>
      </c>
      <c r="E345">
        <v>12</v>
      </c>
      <c r="F345">
        <v>45881.47</v>
      </c>
    </row>
    <row r="346" spans="1:6" x14ac:dyDescent="0.3">
      <c r="A346">
        <v>2022</v>
      </c>
      <c r="B346">
        <v>12</v>
      </c>
      <c r="C346" t="s">
        <v>48</v>
      </c>
      <c r="D346" t="s">
        <v>10</v>
      </c>
      <c r="E346">
        <v>60</v>
      </c>
      <c r="F346">
        <v>58723.08</v>
      </c>
    </row>
    <row r="347" spans="1:6" x14ac:dyDescent="0.3">
      <c r="A347">
        <v>2022</v>
      </c>
      <c r="B347">
        <v>12</v>
      </c>
      <c r="C347" t="s">
        <v>48</v>
      </c>
      <c r="D347" t="s">
        <v>11</v>
      </c>
      <c r="E347">
        <v>34</v>
      </c>
      <c r="F347">
        <v>31046.21</v>
      </c>
    </row>
    <row r="348" spans="1:6" x14ac:dyDescent="0.3">
      <c r="A348">
        <v>2022</v>
      </c>
      <c r="B348">
        <v>12</v>
      </c>
      <c r="C348" t="s">
        <v>48</v>
      </c>
      <c r="D348" t="s">
        <v>12</v>
      </c>
      <c r="E348">
        <v>39</v>
      </c>
      <c r="F348">
        <v>33815.11</v>
      </c>
    </row>
    <row r="349" spans="1:6" x14ac:dyDescent="0.3">
      <c r="A349">
        <v>2022</v>
      </c>
      <c r="B349">
        <v>12</v>
      </c>
      <c r="C349" t="s">
        <v>48</v>
      </c>
      <c r="D349" t="s">
        <v>13</v>
      </c>
      <c r="E349">
        <v>63</v>
      </c>
      <c r="F349">
        <v>51248.31</v>
      </c>
    </row>
    <row r="350" spans="1:6" x14ac:dyDescent="0.3">
      <c r="A350">
        <v>2022</v>
      </c>
      <c r="B350">
        <v>12</v>
      </c>
      <c r="C350" t="s">
        <v>48</v>
      </c>
      <c r="D350" t="s">
        <v>14</v>
      </c>
      <c r="E350">
        <v>78</v>
      </c>
      <c r="F350">
        <v>54138.89</v>
      </c>
    </row>
    <row r="351" spans="1:6" x14ac:dyDescent="0.3">
      <c r="A351">
        <v>2022</v>
      </c>
      <c r="B351">
        <v>12</v>
      </c>
      <c r="C351" t="s">
        <v>48</v>
      </c>
      <c r="D351" t="s">
        <v>15</v>
      </c>
      <c r="E351">
        <v>48</v>
      </c>
      <c r="F351">
        <v>39821.26</v>
      </c>
    </row>
    <row r="352" spans="1:6" x14ac:dyDescent="0.3">
      <c r="A352">
        <v>2022</v>
      </c>
      <c r="B352">
        <v>12</v>
      </c>
      <c r="C352" t="s">
        <v>48</v>
      </c>
      <c r="D352" t="s">
        <v>16</v>
      </c>
      <c r="E352">
        <v>27</v>
      </c>
      <c r="F352">
        <v>25226.06</v>
      </c>
    </row>
    <row r="353" spans="1:6" x14ac:dyDescent="0.3">
      <c r="A353">
        <v>2022</v>
      </c>
      <c r="B353">
        <v>12</v>
      </c>
      <c r="C353" t="s">
        <v>48</v>
      </c>
      <c r="D353" t="s">
        <v>17</v>
      </c>
      <c r="E353">
        <v>82</v>
      </c>
      <c r="F353">
        <v>84485.68</v>
      </c>
    </row>
    <row r="354" spans="1:6" x14ac:dyDescent="0.3">
      <c r="A354">
        <v>2022</v>
      </c>
      <c r="B354">
        <v>12</v>
      </c>
      <c r="C354" t="s">
        <v>48</v>
      </c>
      <c r="D354" t="s">
        <v>18</v>
      </c>
      <c r="E354">
        <v>102</v>
      </c>
      <c r="F354">
        <v>96410.2</v>
      </c>
    </row>
    <row r="355" spans="1:6" x14ac:dyDescent="0.3">
      <c r="A355">
        <v>2022</v>
      </c>
      <c r="B355">
        <v>12</v>
      </c>
      <c r="C355" t="s">
        <v>48</v>
      </c>
      <c r="D355" t="s">
        <v>19</v>
      </c>
      <c r="E355">
        <v>56</v>
      </c>
      <c r="F355">
        <v>43107.72</v>
      </c>
    </row>
    <row r="356" spans="1:6" x14ac:dyDescent="0.3">
      <c r="A356">
        <v>2022</v>
      </c>
      <c r="B356">
        <v>12</v>
      </c>
      <c r="C356" t="s">
        <v>48</v>
      </c>
      <c r="D356" t="s">
        <v>20</v>
      </c>
      <c r="E356">
        <v>62</v>
      </c>
      <c r="F356">
        <v>51339.57</v>
      </c>
    </row>
    <row r="357" spans="1:6" x14ac:dyDescent="0.3">
      <c r="A357">
        <v>2022</v>
      </c>
      <c r="B357">
        <v>12</v>
      </c>
      <c r="C357" t="s">
        <v>48</v>
      </c>
      <c r="D357" t="s">
        <v>21</v>
      </c>
      <c r="E357">
        <v>93</v>
      </c>
      <c r="F357">
        <v>95663.28</v>
      </c>
    </row>
    <row r="358" spans="1:6" x14ac:dyDescent="0.3">
      <c r="A358">
        <v>2022</v>
      </c>
      <c r="B358">
        <v>12</v>
      </c>
      <c r="C358" t="s">
        <v>48</v>
      </c>
      <c r="D358" t="s">
        <v>22</v>
      </c>
      <c r="E358">
        <v>29</v>
      </c>
      <c r="F358">
        <v>18645.21</v>
      </c>
    </row>
    <row r="359" spans="1:6" x14ac:dyDescent="0.3">
      <c r="A359">
        <v>2022</v>
      </c>
      <c r="B359">
        <v>12</v>
      </c>
      <c r="C359" t="s">
        <v>48</v>
      </c>
      <c r="D359" t="s">
        <v>23</v>
      </c>
      <c r="E359">
        <v>13</v>
      </c>
      <c r="F359">
        <v>14753.34</v>
      </c>
    </row>
    <row r="360" spans="1:6" x14ac:dyDescent="0.3">
      <c r="A360">
        <v>2022</v>
      </c>
      <c r="B360">
        <v>12</v>
      </c>
      <c r="C360" t="s">
        <v>48</v>
      </c>
      <c r="D360" t="s">
        <v>24</v>
      </c>
      <c r="E360">
        <v>109</v>
      </c>
      <c r="F360">
        <v>80541.990000000005</v>
      </c>
    </row>
    <row r="361" spans="1:6" x14ac:dyDescent="0.3">
      <c r="A361">
        <v>2022</v>
      </c>
      <c r="B361">
        <v>12</v>
      </c>
      <c r="C361" t="s">
        <v>48</v>
      </c>
      <c r="D361" t="s">
        <v>25</v>
      </c>
      <c r="E361">
        <v>101</v>
      </c>
      <c r="F361">
        <v>89402.3</v>
      </c>
    </row>
    <row r="362" spans="1:6" x14ac:dyDescent="0.3">
      <c r="A362">
        <v>2022</v>
      </c>
      <c r="B362">
        <v>12</v>
      </c>
      <c r="C362" t="s">
        <v>48</v>
      </c>
      <c r="D362" t="s">
        <v>26</v>
      </c>
      <c r="E362">
        <v>29</v>
      </c>
      <c r="F362">
        <v>25921.73</v>
      </c>
    </row>
    <row r="363" spans="1:6" x14ac:dyDescent="0.3">
      <c r="A363">
        <v>2022</v>
      </c>
      <c r="B363">
        <v>12</v>
      </c>
      <c r="C363" t="s">
        <v>48</v>
      </c>
      <c r="D363" t="s">
        <v>27</v>
      </c>
      <c r="E363">
        <v>93</v>
      </c>
      <c r="F363">
        <v>97807</v>
      </c>
    </row>
    <row r="364" spans="1:6" x14ac:dyDescent="0.3">
      <c r="A364">
        <v>2022</v>
      </c>
      <c r="B364">
        <v>12</v>
      </c>
      <c r="C364" t="s">
        <v>48</v>
      </c>
      <c r="D364" t="s">
        <v>28</v>
      </c>
      <c r="E364">
        <v>27</v>
      </c>
      <c r="F364">
        <v>20046.38</v>
      </c>
    </row>
    <row r="365" spans="1:6" x14ac:dyDescent="0.3">
      <c r="A365">
        <v>2022</v>
      </c>
      <c r="B365">
        <v>12</v>
      </c>
      <c r="C365" t="s">
        <v>48</v>
      </c>
      <c r="D365" t="s">
        <v>29</v>
      </c>
      <c r="E365">
        <v>49</v>
      </c>
      <c r="F365">
        <v>48703.65</v>
      </c>
    </row>
    <row r="366" spans="1:6" x14ac:dyDescent="0.3">
      <c r="A366">
        <v>2022</v>
      </c>
      <c r="B366">
        <v>12</v>
      </c>
      <c r="C366" t="s">
        <v>48</v>
      </c>
      <c r="D366" t="s">
        <v>30</v>
      </c>
      <c r="E366">
        <v>30</v>
      </c>
      <c r="F366">
        <v>22765.3</v>
      </c>
    </row>
    <row r="367" spans="1:6" x14ac:dyDescent="0.3">
      <c r="A367">
        <v>2022</v>
      </c>
      <c r="B367">
        <v>12</v>
      </c>
      <c r="C367" t="s">
        <v>48</v>
      </c>
      <c r="D367" t="s">
        <v>31</v>
      </c>
      <c r="E367">
        <v>150</v>
      </c>
      <c r="F367">
        <v>134229.07</v>
      </c>
    </row>
    <row r="368" spans="1:6" x14ac:dyDescent="0.3">
      <c r="A368">
        <v>2022</v>
      </c>
      <c r="B368">
        <v>12</v>
      </c>
      <c r="C368" t="s">
        <v>48</v>
      </c>
      <c r="D368" t="s">
        <v>32</v>
      </c>
      <c r="E368">
        <v>14</v>
      </c>
      <c r="F368">
        <v>12939.64</v>
      </c>
    </row>
    <row r="369" spans="1:6" x14ac:dyDescent="0.3">
      <c r="A369">
        <v>2022</v>
      </c>
      <c r="B369">
        <v>12</v>
      </c>
      <c r="C369" t="s">
        <v>48</v>
      </c>
      <c r="D369" t="s">
        <v>33</v>
      </c>
      <c r="E369">
        <v>161</v>
      </c>
      <c r="F369">
        <v>150161.76</v>
      </c>
    </row>
    <row r="370" spans="1:6" x14ac:dyDescent="0.3">
      <c r="A370">
        <v>2022</v>
      </c>
      <c r="B370">
        <v>12</v>
      </c>
      <c r="C370" t="s">
        <v>48</v>
      </c>
      <c r="D370" t="s">
        <v>34</v>
      </c>
      <c r="E370">
        <v>65</v>
      </c>
      <c r="F370">
        <v>60868.78</v>
      </c>
    </row>
    <row r="371" spans="1:6" x14ac:dyDescent="0.3">
      <c r="A371">
        <v>2022</v>
      </c>
      <c r="B371">
        <v>12</v>
      </c>
      <c r="C371" t="s">
        <v>48</v>
      </c>
      <c r="D371" t="s">
        <v>35</v>
      </c>
      <c r="E371">
        <v>32</v>
      </c>
      <c r="F371">
        <v>29413.27</v>
      </c>
    </row>
    <row r="372" spans="1:6" x14ac:dyDescent="0.3">
      <c r="A372">
        <v>2022</v>
      </c>
      <c r="B372">
        <v>12</v>
      </c>
      <c r="C372" t="s">
        <v>48</v>
      </c>
      <c r="D372" t="s">
        <v>36</v>
      </c>
      <c r="E372">
        <v>53</v>
      </c>
      <c r="F372">
        <v>46316.86</v>
      </c>
    </row>
    <row r="373" spans="1:6" x14ac:dyDescent="0.3">
      <c r="A373">
        <v>2022</v>
      </c>
      <c r="B373">
        <v>12</v>
      </c>
      <c r="C373" t="s">
        <v>48</v>
      </c>
      <c r="D373" t="s">
        <v>37</v>
      </c>
      <c r="E373">
        <v>60</v>
      </c>
      <c r="F373">
        <v>54477.03</v>
      </c>
    </row>
    <row r="374" spans="1:6" x14ac:dyDescent="0.3">
      <c r="A374">
        <v>2023</v>
      </c>
      <c r="B374">
        <v>1</v>
      </c>
      <c r="C374" t="s">
        <v>6</v>
      </c>
      <c r="D374" t="s">
        <v>7</v>
      </c>
      <c r="E374">
        <v>27</v>
      </c>
      <c r="F374">
        <v>24470.38</v>
      </c>
    </row>
    <row r="375" spans="1:6" x14ac:dyDescent="0.3">
      <c r="A375">
        <v>2023</v>
      </c>
      <c r="B375">
        <v>1</v>
      </c>
      <c r="C375" t="s">
        <v>6</v>
      </c>
      <c r="D375" t="s">
        <v>8</v>
      </c>
      <c r="E375">
        <v>156</v>
      </c>
      <c r="F375">
        <v>102034.15</v>
      </c>
    </row>
    <row r="376" spans="1:6" x14ac:dyDescent="0.3">
      <c r="A376">
        <v>2023</v>
      </c>
      <c r="B376">
        <v>1</v>
      </c>
      <c r="C376" t="s">
        <v>6</v>
      </c>
      <c r="D376" t="s">
        <v>9</v>
      </c>
      <c r="E376">
        <v>10</v>
      </c>
      <c r="F376">
        <v>13280.28</v>
      </c>
    </row>
    <row r="377" spans="1:6" x14ac:dyDescent="0.3">
      <c r="A377">
        <v>2023</v>
      </c>
      <c r="B377">
        <v>1</v>
      </c>
      <c r="C377" t="s">
        <v>6</v>
      </c>
      <c r="D377" t="s">
        <v>10</v>
      </c>
      <c r="E377">
        <v>64</v>
      </c>
      <c r="F377">
        <v>66473.820000000007</v>
      </c>
    </row>
    <row r="378" spans="1:6" x14ac:dyDescent="0.3">
      <c r="A378">
        <v>2023</v>
      </c>
      <c r="B378">
        <v>1</v>
      </c>
      <c r="C378" t="s">
        <v>6</v>
      </c>
      <c r="D378" t="s">
        <v>11</v>
      </c>
      <c r="E378">
        <v>49</v>
      </c>
      <c r="F378">
        <v>42712.79</v>
      </c>
    </row>
    <row r="379" spans="1:6" x14ac:dyDescent="0.3">
      <c r="A379">
        <v>2023</v>
      </c>
      <c r="B379">
        <v>1</v>
      </c>
      <c r="C379" t="s">
        <v>6</v>
      </c>
      <c r="D379" t="s">
        <v>12</v>
      </c>
      <c r="E379">
        <v>48</v>
      </c>
      <c r="F379">
        <v>36670.82</v>
      </c>
    </row>
    <row r="380" spans="1:6" x14ac:dyDescent="0.3">
      <c r="A380">
        <v>2023</v>
      </c>
      <c r="B380">
        <v>1</v>
      </c>
      <c r="C380" t="s">
        <v>6</v>
      </c>
      <c r="D380" t="s">
        <v>13</v>
      </c>
      <c r="E380">
        <v>43</v>
      </c>
      <c r="F380">
        <v>34486.43</v>
      </c>
    </row>
    <row r="381" spans="1:6" x14ac:dyDescent="0.3">
      <c r="A381">
        <v>2023</v>
      </c>
      <c r="B381">
        <v>1</v>
      </c>
      <c r="C381" t="s">
        <v>6</v>
      </c>
      <c r="D381" t="s">
        <v>14</v>
      </c>
      <c r="E381">
        <v>117</v>
      </c>
      <c r="F381">
        <v>82314.460000000006</v>
      </c>
    </row>
    <row r="382" spans="1:6" x14ac:dyDescent="0.3">
      <c r="A382">
        <v>2023</v>
      </c>
      <c r="B382">
        <v>1</v>
      </c>
      <c r="C382" t="s">
        <v>6</v>
      </c>
      <c r="D382" t="s">
        <v>15</v>
      </c>
      <c r="E382">
        <v>40</v>
      </c>
      <c r="F382">
        <v>29077.99</v>
      </c>
    </row>
    <row r="383" spans="1:6" x14ac:dyDescent="0.3">
      <c r="A383">
        <v>2023</v>
      </c>
      <c r="B383">
        <v>1</v>
      </c>
      <c r="C383" t="s">
        <v>6</v>
      </c>
      <c r="D383" t="s">
        <v>16</v>
      </c>
      <c r="E383">
        <v>24</v>
      </c>
      <c r="F383">
        <v>19800.95</v>
      </c>
    </row>
    <row r="384" spans="1:6" x14ac:dyDescent="0.3">
      <c r="A384">
        <v>2023</v>
      </c>
      <c r="B384">
        <v>1</v>
      </c>
      <c r="C384" t="s">
        <v>6</v>
      </c>
      <c r="D384" t="s">
        <v>17</v>
      </c>
      <c r="E384">
        <v>54</v>
      </c>
      <c r="F384">
        <v>44725.57</v>
      </c>
    </row>
    <row r="385" spans="1:6" x14ac:dyDescent="0.3">
      <c r="A385">
        <v>2023</v>
      </c>
      <c r="B385">
        <v>1</v>
      </c>
      <c r="C385" t="s">
        <v>6</v>
      </c>
      <c r="D385" t="s">
        <v>18</v>
      </c>
      <c r="E385">
        <v>116</v>
      </c>
      <c r="F385">
        <v>111411.64</v>
      </c>
    </row>
    <row r="386" spans="1:6" x14ac:dyDescent="0.3">
      <c r="A386">
        <v>2023</v>
      </c>
      <c r="B386">
        <v>1</v>
      </c>
      <c r="C386" t="s">
        <v>6</v>
      </c>
      <c r="D386" t="s">
        <v>19</v>
      </c>
      <c r="E386">
        <v>66</v>
      </c>
      <c r="F386">
        <v>45837.67</v>
      </c>
    </row>
    <row r="387" spans="1:6" x14ac:dyDescent="0.3">
      <c r="A387">
        <v>2023</v>
      </c>
      <c r="B387">
        <v>1</v>
      </c>
      <c r="C387" t="s">
        <v>6</v>
      </c>
      <c r="D387" t="s">
        <v>20</v>
      </c>
      <c r="E387">
        <v>52</v>
      </c>
      <c r="F387">
        <v>40857.870000000003</v>
      </c>
    </row>
    <row r="388" spans="1:6" x14ac:dyDescent="0.3">
      <c r="A388">
        <v>2023</v>
      </c>
      <c r="B388">
        <v>1</v>
      </c>
      <c r="C388" t="s">
        <v>6</v>
      </c>
      <c r="D388" t="s">
        <v>21</v>
      </c>
      <c r="E388">
        <v>129</v>
      </c>
      <c r="F388">
        <v>123529.27</v>
      </c>
    </row>
    <row r="389" spans="1:6" x14ac:dyDescent="0.3">
      <c r="A389">
        <v>2023</v>
      </c>
      <c r="B389">
        <v>1</v>
      </c>
      <c r="C389" t="s">
        <v>6</v>
      </c>
      <c r="D389" t="s">
        <v>22</v>
      </c>
      <c r="E389">
        <v>30</v>
      </c>
      <c r="F389">
        <v>19929.23</v>
      </c>
    </row>
    <row r="390" spans="1:6" x14ac:dyDescent="0.3">
      <c r="A390">
        <v>2023</v>
      </c>
      <c r="B390">
        <v>1</v>
      </c>
      <c r="C390" t="s">
        <v>6</v>
      </c>
      <c r="D390" t="s">
        <v>23</v>
      </c>
      <c r="E390">
        <v>11</v>
      </c>
      <c r="F390">
        <v>11044.23</v>
      </c>
    </row>
    <row r="391" spans="1:6" x14ac:dyDescent="0.3">
      <c r="A391">
        <v>2023</v>
      </c>
      <c r="B391">
        <v>1</v>
      </c>
      <c r="C391" t="s">
        <v>6</v>
      </c>
      <c r="D391" t="s">
        <v>24</v>
      </c>
      <c r="E391">
        <v>100</v>
      </c>
      <c r="F391">
        <v>72222.509999999995</v>
      </c>
    </row>
    <row r="392" spans="1:6" x14ac:dyDescent="0.3">
      <c r="A392">
        <v>2023</v>
      </c>
      <c r="B392">
        <v>1</v>
      </c>
      <c r="C392" t="s">
        <v>6</v>
      </c>
      <c r="D392" t="s">
        <v>25</v>
      </c>
      <c r="E392">
        <v>95</v>
      </c>
      <c r="F392">
        <v>88718.98</v>
      </c>
    </row>
    <row r="393" spans="1:6" x14ac:dyDescent="0.3">
      <c r="A393">
        <v>2023</v>
      </c>
      <c r="B393">
        <v>1</v>
      </c>
      <c r="C393" t="s">
        <v>6</v>
      </c>
      <c r="D393" t="s">
        <v>26</v>
      </c>
      <c r="E393">
        <v>24</v>
      </c>
      <c r="F393">
        <v>22099.13</v>
      </c>
    </row>
    <row r="394" spans="1:6" x14ac:dyDescent="0.3">
      <c r="A394">
        <v>2023</v>
      </c>
      <c r="B394">
        <v>1</v>
      </c>
      <c r="C394" t="s">
        <v>6</v>
      </c>
      <c r="D394" t="s">
        <v>27</v>
      </c>
      <c r="E394">
        <v>69</v>
      </c>
      <c r="F394">
        <v>77205.259999999995</v>
      </c>
    </row>
    <row r="395" spans="1:6" x14ac:dyDescent="0.3">
      <c r="A395">
        <v>2023</v>
      </c>
      <c r="B395">
        <v>1</v>
      </c>
      <c r="C395" t="s">
        <v>6</v>
      </c>
      <c r="D395" t="s">
        <v>28</v>
      </c>
      <c r="E395">
        <v>77</v>
      </c>
      <c r="F395">
        <v>50595.91</v>
      </c>
    </row>
    <row r="396" spans="1:6" x14ac:dyDescent="0.3">
      <c r="A396">
        <v>2023</v>
      </c>
      <c r="B396">
        <v>1</v>
      </c>
      <c r="C396" t="s">
        <v>6</v>
      </c>
      <c r="D396" t="s">
        <v>29</v>
      </c>
      <c r="E396">
        <v>49</v>
      </c>
      <c r="F396">
        <v>48540.84</v>
      </c>
    </row>
    <row r="397" spans="1:6" x14ac:dyDescent="0.3">
      <c r="A397">
        <v>2023</v>
      </c>
      <c r="B397">
        <v>1</v>
      </c>
      <c r="C397" t="s">
        <v>6</v>
      </c>
      <c r="D397" t="s">
        <v>30</v>
      </c>
      <c r="E397">
        <v>47</v>
      </c>
      <c r="F397">
        <v>30298.01</v>
      </c>
    </row>
    <row r="398" spans="1:6" x14ac:dyDescent="0.3">
      <c r="A398">
        <v>2023</v>
      </c>
      <c r="B398">
        <v>1</v>
      </c>
      <c r="C398" t="s">
        <v>6</v>
      </c>
      <c r="D398" t="s">
        <v>31</v>
      </c>
      <c r="E398">
        <v>130</v>
      </c>
      <c r="F398">
        <v>112925.22</v>
      </c>
    </row>
    <row r="399" spans="1:6" x14ac:dyDescent="0.3">
      <c r="A399">
        <v>2023</v>
      </c>
      <c r="B399">
        <v>1</v>
      </c>
      <c r="C399" t="s">
        <v>6</v>
      </c>
      <c r="D399" t="s">
        <v>32</v>
      </c>
      <c r="E399">
        <v>19</v>
      </c>
      <c r="F399">
        <v>18594.48</v>
      </c>
    </row>
    <row r="400" spans="1:6" x14ac:dyDescent="0.3">
      <c r="A400">
        <v>2023</v>
      </c>
      <c r="B400">
        <v>1</v>
      </c>
      <c r="C400" t="s">
        <v>6</v>
      </c>
      <c r="D400" t="s">
        <v>33</v>
      </c>
      <c r="E400">
        <v>128</v>
      </c>
      <c r="F400">
        <v>124299.45</v>
      </c>
    </row>
    <row r="401" spans="1:6" x14ac:dyDescent="0.3">
      <c r="A401">
        <v>2023</v>
      </c>
      <c r="B401">
        <v>1</v>
      </c>
      <c r="C401" t="s">
        <v>6</v>
      </c>
      <c r="D401" t="s">
        <v>34</v>
      </c>
      <c r="E401">
        <v>58</v>
      </c>
      <c r="F401">
        <v>52932.99</v>
      </c>
    </row>
    <row r="402" spans="1:6" x14ac:dyDescent="0.3">
      <c r="A402">
        <v>2023</v>
      </c>
      <c r="B402">
        <v>1</v>
      </c>
      <c r="C402" t="s">
        <v>6</v>
      </c>
      <c r="D402" t="s">
        <v>35</v>
      </c>
      <c r="E402">
        <v>35</v>
      </c>
      <c r="F402">
        <v>28400.43</v>
      </c>
    </row>
    <row r="403" spans="1:6" x14ac:dyDescent="0.3">
      <c r="A403">
        <v>2023</v>
      </c>
      <c r="B403">
        <v>1</v>
      </c>
      <c r="C403" t="s">
        <v>6</v>
      </c>
      <c r="D403" t="s">
        <v>36</v>
      </c>
      <c r="E403">
        <v>61</v>
      </c>
      <c r="F403">
        <v>45695.07</v>
      </c>
    </row>
    <row r="404" spans="1:6" x14ac:dyDescent="0.3">
      <c r="A404">
        <v>2023</v>
      </c>
      <c r="B404">
        <v>1</v>
      </c>
      <c r="C404" t="s">
        <v>6</v>
      </c>
      <c r="D404" t="s">
        <v>37</v>
      </c>
      <c r="E404">
        <v>56</v>
      </c>
      <c r="F404">
        <v>54176.65</v>
      </c>
    </row>
    <row r="405" spans="1:6" x14ac:dyDescent="0.3">
      <c r="A405">
        <v>2023</v>
      </c>
      <c r="B405">
        <v>2</v>
      </c>
      <c r="C405" t="s">
        <v>38</v>
      </c>
      <c r="D405" t="s">
        <v>7</v>
      </c>
      <c r="E405">
        <v>23</v>
      </c>
      <c r="F405">
        <v>20845.78</v>
      </c>
    </row>
    <row r="406" spans="1:6" x14ac:dyDescent="0.3">
      <c r="A406">
        <v>2023</v>
      </c>
      <c r="B406">
        <v>2</v>
      </c>
      <c r="C406" t="s">
        <v>38</v>
      </c>
      <c r="D406" t="s">
        <v>8</v>
      </c>
      <c r="E406">
        <v>169</v>
      </c>
      <c r="F406">
        <v>128079.17</v>
      </c>
    </row>
    <row r="407" spans="1:6" x14ac:dyDescent="0.3">
      <c r="A407">
        <v>2023</v>
      </c>
      <c r="B407">
        <v>2</v>
      </c>
      <c r="C407" t="s">
        <v>38</v>
      </c>
      <c r="D407" t="s">
        <v>9</v>
      </c>
      <c r="E407">
        <v>22</v>
      </c>
      <c r="F407">
        <v>16474.41</v>
      </c>
    </row>
    <row r="408" spans="1:6" x14ac:dyDescent="0.3">
      <c r="A408">
        <v>2023</v>
      </c>
      <c r="B408">
        <v>2</v>
      </c>
      <c r="C408" t="s">
        <v>38</v>
      </c>
      <c r="D408" t="s">
        <v>10</v>
      </c>
      <c r="E408">
        <v>63</v>
      </c>
      <c r="F408">
        <v>63480.08</v>
      </c>
    </row>
    <row r="409" spans="1:6" x14ac:dyDescent="0.3">
      <c r="A409">
        <v>2023</v>
      </c>
      <c r="B409">
        <v>2</v>
      </c>
      <c r="C409" t="s">
        <v>38</v>
      </c>
      <c r="D409" t="s">
        <v>11</v>
      </c>
      <c r="E409">
        <v>47</v>
      </c>
      <c r="F409">
        <v>44289.43</v>
      </c>
    </row>
    <row r="410" spans="1:6" x14ac:dyDescent="0.3">
      <c r="A410">
        <v>2023</v>
      </c>
      <c r="B410">
        <v>2</v>
      </c>
      <c r="C410" t="s">
        <v>38</v>
      </c>
      <c r="D410" t="s">
        <v>12</v>
      </c>
      <c r="E410">
        <v>40</v>
      </c>
      <c r="F410">
        <v>32146.52</v>
      </c>
    </row>
    <row r="411" spans="1:6" x14ac:dyDescent="0.3">
      <c r="A411">
        <v>2023</v>
      </c>
      <c r="B411">
        <v>2</v>
      </c>
      <c r="C411" t="s">
        <v>38</v>
      </c>
      <c r="D411" t="s">
        <v>13</v>
      </c>
      <c r="E411">
        <v>35</v>
      </c>
      <c r="F411">
        <v>27716.39</v>
      </c>
    </row>
    <row r="412" spans="1:6" x14ac:dyDescent="0.3">
      <c r="A412">
        <v>2023</v>
      </c>
      <c r="B412">
        <v>2</v>
      </c>
      <c r="C412" t="s">
        <v>38</v>
      </c>
      <c r="D412" t="s">
        <v>14</v>
      </c>
      <c r="E412">
        <v>122</v>
      </c>
      <c r="F412">
        <v>94691.199999999997</v>
      </c>
    </row>
    <row r="413" spans="1:6" x14ac:dyDescent="0.3">
      <c r="A413">
        <v>2023</v>
      </c>
      <c r="B413">
        <v>2</v>
      </c>
      <c r="C413" t="s">
        <v>38</v>
      </c>
      <c r="D413" t="s">
        <v>15</v>
      </c>
      <c r="E413">
        <v>35</v>
      </c>
      <c r="F413">
        <v>22160.81</v>
      </c>
    </row>
    <row r="414" spans="1:6" x14ac:dyDescent="0.3">
      <c r="A414">
        <v>2023</v>
      </c>
      <c r="B414">
        <v>2</v>
      </c>
      <c r="C414" t="s">
        <v>38</v>
      </c>
      <c r="D414" t="s">
        <v>16</v>
      </c>
      <c r="E414">
        <v>31</v>
      </c>
      <c r="F414">
        <v>24211.68</v>
      </c>
    </row>
    <row r="415" spans="1:6" x14ac:dyDescent="0.3">
      <c r="A415">
        <v>2023</v>
      </c>
      <c r="B415">
        <v>2</v>
      </c>
      <c r="C415" t="s">
        <v>38</v>
      </c>
      <c r="D415" t="s">
        <v>17</v>
      </c>
      <c r="E415">
        <v>87</v>
      </c>
      <c r="F415">
        <v>70533.119999999995</v>
      </c>
    </row>
    <row r="416" spans="1:6" x14ac:dyDescent="0.3">
      <c r="A416">
        <v>2023</v>
      </c>
      <c r="B416">
        <v>2</v>
      </c>
      <c r="C416" t="s">
        <v>38</v>
      </c>
      <c r="D416" t="s">
        <v>18</v>
      </c>
      <c r="E416">
        <v>99</v>
      </c>
      <c r="F416">
        <v>90358.77</v>
      </c>
    </row>
    <row r="417" spans="1:6" x14ac:dyDescent="0.3">
      <c r="A417">
        <v>2023</v>
      </c>
      <c r="B417">
        <v>2</v>
      </c>
      <c r="C417" t="s">
        <v>38</v>
      </c>
      <c r="D417" t="s">
        <v>19</v>
      </c>
      <c r="E417">
        <v>157</v>
      </c>
      <c r="F417">
        <v>120290.23</v>
      </c>
    </row>
    <row r="418" spans="1:6" x14ac:dyDescent="0.3">
      <c r="A418">
        <v>2023</v>
      </c>
      <c r="B418">
        <v>2</v>
      </c>
      <c r="C418" t="s">
        <v>38</v>
      </c>
      <c r="D418" t="s">
        <v>20</v>
      </c>
      <c r="E418">
        <v>68</v>
      </c>
      <c r="F418">
        <v>54955.53</v>
      </c>
    </row>
    <row r="419" spans="1:6" x14ac:dyDescent="0.3">
      <c r="A419">
        <v>2023</v>
      </c>
      <c r="B419">
        <v>2</v>
      </c>
      <c r="C419" t="s">
        <v>38</v>
      </c>
      <c r="D419" t="s">
        <v>21</v>
      </c>
      <c r="E419">
        <v>95</v>
      </c>
      <c r="F419">
        <v>96452.41</v>
      </c>
    </row>
    <row r="420" spans="1:6" x14ac:dyDescent="0.3">
      <c r="A420">
        <v>2023</v>
      </c>
      <c r="B420">
        <v>2</v>
      </c>
      <c r="C420" t="s">
        <v>38</v>
      </c>
      <c r="D420" t="s">
        <v>22</v>
      </c>
      <c r="E420">
        <v>66</v>
      </c>
      <c r="F420">
        <v>49813.29</v>
      </c>
    </row>
    <row r="421" spans="1:6" x14ac:dyDescent="0.3">
      <c r="A421">
        <v>2023</v>
      </c>
      <c r="B421">
        <v>2</v>
      </c>
      <c r="C421" t="s">
        <v>38</v>
      </c>
      <c r="D421" t="s">
        <v>23</v>
      </c>
      <c r="E421">
        <v>13</v>
      </c>
      <c r="F421">
        <v>12313.1</v>
      </c>
    </row>
    <row r="422" spans="1:6" x14ac:dyDescent="0.3">
      <c r="A422">
        <v>2023</v>
      </c>
      <c r="B422">
        <v>2</v>
      </c>
      <c r="C422" t="s">
        <v>38</v>
      </c>
      <c r="D422" t="s">
        <v>24</v>
      </c>
      <c r="E422">
        <v>201</v>
      </c>
      <c r="F422">
        <v>156785.95000000001</v>
      </c>
    </row>
    <row r="423" spans="1:6" x14ac:dyDescent="0.3">
      <c r="A423">
        <v>2023</v>
      </c>
      <c r="B423">
        <v>2</v>
      </c>
      <c r="C423" t="s">
        <v>38</v>
      </c>
      <c r="D423" t="s">
        <v>25</v>
      </c>
      <c r="E423">
        <v>110</v>
      </c>
      <c r="F423">
        <v>95327.94</v>
      </c>
    </row>
    <row r="424" spans="1:6" x14ac:dyDescent="0.3">
      <c r="A424">
        <v>2023</v>
      </c>
      <c r="B424">
        <v>2</v>
      </c>
      <c r="C424" t="s">
        <v>38</v>
      </c>
      <c r="D424" t="s">
        <v>26</v>
      </c>
      <c r="E424">
        <v>30</v>
      </c>
      <c r="F424">
        <v>26283.21</v>
      </c>
    </row>
    <row r="425" spans="1:6" x14ac:dyDescent="0.3">
      <c r="A425">
        <v>2023</v>
      </c>
      <c r="B425">
        <v>2</v>
      </c>
      <c r="C425" t="s">
        <v>38</v>
      </c>
      <c r="D425" t="s">
        <v>27</v>
      </c>
      <c r="E425">
        <v>104</v>
      </c>
      <c r="F425">
        <v>105740.23</v>
      </c>
    </row>
    <row r="426" spans="1:6" x14ac:dyDescent="0.3">
      <c r="A426">
        <v>2023</v>
      </c>
      <c r="B426">
        <v>2</v>
      </c>
      <c r="C426" t="s">
        <v>38</v>
      </c>
      <c r="D426" t="s">
        <v>28</v>
      </c>
      <c r="E426">
        <v>117</v>
      </c>
      <c r="F426">
        <v>90775.86</v>
      </c>
    </row>
    <row r="427" spans="1:6" x14ac:dyDescent="0.3">
      <c r="A427">
        <v>2023</v>
      </c>
      <c r="B427">
        <v>2</v>
      </c>
      <c r="C427" t="s">
        <v>38</v>
      </c>
      <c r="D427" t="s">
        <v>29</v>
      </c>
      <c r="E427">
        <v>60</v>
      </c>
      <c r="F427">
        <v>52534.77</v>
      </c>
    </row>
    <row r="428" spans="1:6" x14ac:dyDescent="0.3">
      <c r="A428">
        <v>2023</v>
      </c>
      <c r="B428">
        <v>2</v>
      </c>
      <c r="C428" t="s">
        <v>38</v>
      </c>
      <c r="D428" t="s">
        <v>30</v>
      </c>
      <c r="E428">
        <v>163</v>
      </c>
      <c r="F428">
        <v>118896.9</v>
      </c>
    </row>
    <row r="429" spans="1:6" x14ac:dyDescent="0.3">
      <c r="A429">
        <v>2023</v>
      </c>
      <c r="B429">
        <v>2</v>
      </c>
      <c r="C429" t="s">
        <v>38</v>
      </c>
      <c r="D429" t="s">
        <v>31</v>
      </c>
      <c r="E429">
        <v>109</v>
      </c>
      <c r="F429">
        <v>93076.89</v>
      </c>
    </row>
    <row r="430" spans="1:6" x14ac:dyDescent="0.3">
      <c r="A430">
        <v>2023</v>
      </c>
      <c r="B430">
        <v>2</v>
      </c>
      <c r="C430" t="s">
        <v>38</v>
      </c>
      <c r="D430" t="s">
        <v>32</v>
      </c>
      <c r="E430">
        <v>35</v>
      </c>
      <c r="F430">
        <v>30722.240000000002</v>
      </c>
    </row>
    <row r="431" spans="1:6" x14ac:dyDescent="0.3">
      <c r="A431">
        <v>2023</v>
      </c>
      <c r="B431">
        <v>2</v>
      </c>
      <c r="C431" t="s">
        <v>38</v>
      </c>
      <c r="D431" t="s">
        <v>33</v>
      </c>
      <c r="E431">
        <v>137</v>
      </c>
      <c r="F431">
        <v>132732.69</v>
      </c>
    </row>
    <row r="432" spans="1:6" x14ac:dyDescent="0.3">
      <c r="A432">
        <v>2023</v>
      </c>
      <c r="B432">
        <v>2</v>
      </c>
      <c r="C432" t="s">
        <v>38</v>
      </c>
      <c r="D432" t="s">
        <v>34</v>
      </c>
      <c r="E432">
        <v>66</v>
      </c>
      <c r="F432">
        <v>56880.41</v>
      </c>
    </row>
    <row r="433" spans="1:6" x14ac:dyDescent="0.3">
      <c r="A433">
        <v>2023</v>
      </c>
      <c r="B433">
        <v>2</v>
      </c>
      <c r="C433" t="s">
        <v>38</v>
      </c>
      <c r="D433" t="s">
        <v>35</v>
      </c>
      <c r="E433">
        <v>36</v>
      </c>
      <c r="F433">
        <v>28360.75</v>
      </c>
    </row>
    <row r="434" spans="1:6" x14ac:dyDescent="0.3">
      <c r="A434">
        <v>2023</v>
      </c>
      <c r="B434">
        <v>2</v>
      </c>
      <c r="C434" t="s">
        <v>38</v>
      </c>
      <c r="D434" t="s">
        <v>36</v>
      </c>
      <c r="E434">
        <v>77</v>
      </c>
      <c r="F434">
        <v>60582.14</v>
      </c>
    </row>
    <row r="435" spans="1:6" x14ac:dyDescent="0.3">
      <c r="A435">
        <v>2023</v>
      </c>
      <c r="B435">
        <v>2</v>
      </c>
      <c r="C435" t="s">
        <v>38</v>
      </c>
      <c r="D435" t="s">
        <v>37</v>
      </c>
      <c r="E435">
        <v>44</v>
      </c>
      <c r="F435">
        <v>43948.480000000003</v>
      </c>
    </row>
    <row r="436" spans="1:6" x14ac:dyDescent="0.3">
      <c r="A436">
        <v>2023</v>
      </c>
      <c r="B436">
        <v>3</v>
      </c>
      <c r="C436" t="s">
        <v>39</v>
      </c>
      <c r="D436" t="s">
        <v>7</v>
      </c>
      <c r="E436">
        <v>40</v>
      </c>
      <c r="F436">
        <v>34927.279999999999</v>
      </c>
    </row>
    <row r="437" spans="1:6" x14ac:dyDescent="0.3">
      <c r="A437">
        <v>2023</v>
      </c>
      <c r="B437">
        <v>3</v>
      </c>
      <c r="C437" t="s">
        <v>39</v>
      </c>
      <c r="D437" t="s">
        <v>8</v>
      </c>
      <c r="E437">
        <v>151</v>
      </c>
      <c r="F437">
        <v>108581.84</v>
      </c>
    </row>
    <row r="438" spans="1:6" x14ac:dyDescent="0.3">
      <c r="A438">
        <v>2023</v>
      </c>
      <c r="B438">
        <v>3</v>
      </c>
      <c r="C438" t="s">
        <v>39</v>
      </c>
      <c r="D438" t="s">
        <v>9</v>
      </c>
      <c r="E438">
        <v>35</v>
      </c>
      <c r="F438">
        <v>21924.04</v>
      </c>
    </row>
    <row r="439" spans="1:6" x14ac:dyDescent="0.3">
      <c r="A439">
        <v>2023</v>
      </c>
      <c r="B439">
        <v>3</v>
      </c>
      <c r="C439" t="s">
        <v>39</v>
      </c>
      <c r="D439" t="s">
        <v>10</v>
      </c>
      <c r="E439">
        <v>73</v>
      </c>
      <c r="F439">
        <v>68562.59</v>
      </c>
    </row>
    <row r="440" spans="1:6" x14ac:dyDescent="0.3">
      <c r="A440">
        <v>2023</v>
      </c>
      <c r="B440">
        <v>3</v>
      </c>
      <c r="C440" t="s">
        <v>39</v>
      </c>
      <c r="D440" t="s">
        <v>11</v>
      </c>
      <c r="E440">
        <v>127</v>
      </c>
      <c r="F440">
        <v>92340.78</v>
      </c>
    </row>
    <row r="441" spans="1:6" x14ac:dyDescent="0.3">
      <c r="A441">
        <v>2023</v>
      </c>
      <c r="B441">
        <v>3</v>
      </c>
      <c r="C441" t="s">
        <v>39</v>
      </c>
      <c r="D441" t="s">
        <v>12</v>
      </c>
      <c r="E441">
        <v>92</v>
      </c>
      <c r="F441">
        <v>60750.720000000001</v>
      </c>
    </row>
    <row r="442" spans="1:6" x14ac:dyDescent="0.3">
      <c r="A442">
        <v>2023</v>
      </c>
      <c r="B442">
        <v>3</v>
      </c>
      <c r="C442" t="s">
        <v>39</v>
      </c>
      <c r="D442" t="s">
        <v>13</v>
      </c>
      <c r="E442">
        <v>83</v>
      </c>
      <c r="F442">
        <v>58036.42</v>
      </c>
    </row>
    <row r="443" spans="1:6" x14ac:dyDescent="0.3">
      <c r="A443">
        <v>2023</v>
      </c>
      <c r="B443">
        <v>3</v>
      </c>
      <c r="C443" t="s">
        <v>39</v>
      </c>
      <c r="D443" t="s">
        <v>14</v>
      </c>
      <c r="E443">
        <v>199</v>
      </c>
      <c r="F443">
        <v>141171.94</v>
      </c>
    </row>
    <row r="444" spans="1:6" x14ac:dyDescent="0.3">
      <c r="A444">
        <v>2023</v>
      </c>
      <c r="B444">
        <v>3</v>
      </c>
      <c r="C444" t="s">
        <v>39</v>
      </c>
      <c r="D444" t="s">
        <v>15</v>
      </c>
      <c r="E444">
        <v>59</v>
      </c>
      <c r="F444">
        <v>39813.14</v>
      </c>
    </row>
    <row r="445" spans="1:6" x14ac:dyDescent="0.3">
      <c r="A445">
        <v>2023</v>
      </c>
      <c r="B445">
        <v>3</v>
      </c>
      <c r="C445" t="s">
        <v>39</v>
      </c>
      <c r="D445" t="s">
        <v>16</v>
      </c>
      <c r="E445">
        <v>23</v>
      </c>
      <c r="F445">
        <v>19175.78</v>
      </c>
    </row>
    <row r="446" spans="1:6" x14ac:dyDescent="0.3">
      <c r="A446">
        <v>2023</v>
      </c>
      <c r="B446">
        <v>3</v>
      </c>
      <c r="C446" t="s">
        <v>39</v>
      </c>
      <c r="D446" t="s">
        <v>17</v>
      </c>
      <c r="E446">
        <v>130</v>
      </c>
      <c r="F446">
        <v>107434.26</v>
      </c>
    </row>
    <row r="447" spans="1:6" x14ac:dyDescent="0.3">
      <c r="A447">
        <v>2023</v>
      </c>
      <c r="B447">
        <v>3</v>
      </c>
      <c r="C447" t="s">
        <v>39</v>
      </c>
      <c r="D447" t="s">
        <v>18</v>
      </c>
      <c r="E447">
        <v>126</v>
      </c>
      <c r="F447">
        <v>110311.27</v>
      </c>
    </row>
    <row r="448" spans="1:6" x14ac:dyDescent="0.3">
      <c r="A448">
        <v>2023</v>
      </c>
      <c r="B448">
        <v>3</v>
      </c>
      <c r="C448" t="s">
        <v>39</v>
      </c>
      <c r="D448" t="s">
        <v>19</v>
      </c>
      <c r="E448">
        <v>241</v>
      </c>
      <c r="F448">
        <v>172746.37</v>
      </c>
    </row>
    <row r="449" spans="1:6" x14ac:dyDescent="0.3">
      <c r="A449">
        <v>2023</v>
      </c>
      <c r="B449">
        <v>3</v>
      </c>
      <c r="C449" t="s">
        <v>39</v>
      </c>
      <c r="D449" t="s">
        <v>20</v>
      </c>
      <c r="E449">
        <v>115</v>
      </c>
      <c r="F449">
        <v>101030.18</v>
      </c>
    </row>
    <row r="450" spans="1:6" x14ac:dyDescent="0.3">
      <c r="A450">
        <v>2023</v>
      </c>
      <c r="B450">
        <v>3</v>
      </c>
      <c r="C450" t="s">
        <v>39</v>
      </c>
      <c r="D450" t="s">
        <v>21</v>
      </c>
      <c r="E450">
        <v>148</v>
      </c>
      <c r="F450">
        <v>144319.64000000001</v>
      </c>
    </row>
    <row r="451" spans="1:6" x14ac:dyDescent="0.3">
      <c r="A451">
        <v>2023</v>
      </c>
      <c r="B451">
        <v>3</v>
      </c>
      <c r="C451" t="s">
        <v>39</v>
      </c>
      <c r="D451" t="s">
        <v>22</v>
      </c>
      <c r="E451">
        <v>120</v>
      </c>
      <c r="F451">
        <v>76342.5</v>
      </c>
    </row>
    <row r="452" spans="1:6" x14ac:dyDescent="0.3">
      <c r="A452">
        <v>2023</v>
      </c>
      <c r="B452">
        <v>3</v>
      </c>
      <c r="C452" t="s">
        <v>39</v>
      </c>
      <c r="D452" t="s">
        <v>23</v>
      </c>
      <c r="E452">
        <v>26</v>
      </c>
      <c r="F452">
        <v>23348.99</v>
      </c>
    </row>
    <row r="453" spans="1:6" x14ac:dyDescent="0.3">
      <c r="A453">
        <v>2023</v>
      </c>
      <c r="B453">
        <v>3</v>
      </c>
      <c r="C453" t="s">
        <v>39</v>
      </c>
      <c r="D453" t="s">
        <v>24</v>
      </c>
      <c r="E453">
        <v>225</v>
      </c>
      <c r="F453">
        <v>161524.35</v>
      </c>
    </row>
    <row r="454" spans="1:6" x14ac:dyDescent="0.3">
      <c r="A454">
        <v>2023</v>
      </c>
      <c r="B454">
        <v>3</v>
      </c>
      <c r="C454" t="s">
        <v>39</v>
      </c>
      <c r="D454" t="s">
        <v>25</v>
      </c>
      <c r="E454">
        <v>187</v>
      </c>
      <c r="F454">
        <v>150058.45000000001</v>
      </c>
    </row>
    <row r="455" spans="1:6" x14ac:dyDescent="0.3">
      <c r="A455">
        <v>2023</v>
      </c>
      <c r="B455">
        <v>3</v>
      </c>
      <c r="C455" t="s">
        <v>39</v>
      </c>
      <c r="D455" t="s">
        <v>26</v>
      </c>
      <c r="E455">
        <v>75</v>
      </c>
      <c r="F455">
        <v>79389.06</v>
      </c>
    </row>
    <row r="456" spans="1:6" x14ac:dyDescent="0.3">
      <c r="A456">
        <v>2023</v>
      </c>
      <c r="B456">
        <v>3</v>
      </c>
      <c r="C456" t="s">
        <v>39</v>
      </c>
      <c r="D456" t="s">
        <v>27</v>
      </c>
      <c r="E456">
        <v>230</v>
      </c>
      <c r="F456">
        <v>212160.69</v>
      </c>
    </row>
    <row r="457" spans="1:6" x14ac:dyDescent="0.3">
      <c r="A457">
        <v>2023</v>
      </c>
      <c r="B457">
        <v>3</v>
      </c>
      <c r="C457" t="s">
        <v>39</v>
      </c>
      <c r="D457" t="s">
        <v>28</v>
      </c>
      <c r="E457">
        <v>134</v>
      </c>
      <c r="F457">
        <v>94701.41</v>
      </c>
    </row>
    <row r="458" spans="1:6" x14ac:dyDescent="0.3">
      <c r="A458">
        <v>2023</v>
      </c>
      <c r="B458">
        <v>3</v>
      </c>
      <c r="C458" t="s">
        <v>39</v>
      </c>
      <c r="D458" t="s">
        <v>29</v>
      </c>
      <c r="E458">
        <v>160</v>
      </c>
      <c r="F458">
        <v>127223.21</v>
      </c>
    </row>
    <row r="459" spans="1:6" x14ac:dyDescent="0.3">
      <c r="A459">
        <v>2023</v>
      </c>
      <c r="B459">
        <v>3</v>
      </c>
      <c r="C459" t="s">
        <v>39</v>
      </c>
      <c r="D459" t="s">
        <v>30</v>
      </c>
      <c r="E459">
        <v>76</v>
      </c>
      <c r="F459">
        <v>53407.26</v>
      </c>
    </row>
    <row r="460" spans="1:6" x14ac:dyDescent="0.3">
      <c r="A460">
        <v>2023</v>
      </c>
      <c r="B460">
        <v>3</v>
      </c>
      <c r="C460" t="s">
        <v>39</v>
      </c>
      <c r="D460" t="s">
        <v>31</v>
      </c>
      <c r="E460">
        <v>208</v>
      </c>
      <c r="F460">
        <v>180728.16</v>
      </c>
    </row>
    <row r="461" spans="1:6" x14ac:dyDescent="0.3">
      <c r="A461">
        <v>2023</v>
      </c>
      <c r="B461">
        <v>3</v>
      </c>
      <c r="C461" t="s">
        <v>39</v>
      </c>
      <c r="D461" t="s">
        <v>32</v>
      </c>
      <c r="E461">
        <v>60</v>
      </c>
      <c r="F461">
        <v>49402.59</v>
      </c>
    </row>
    <row r="462" spans="1:6" x14ac:dyDescent="0.3">
      <c r="A462">
        <v>2023</v>
      </c>
      <c r="B462">
        <v>3</v>
      </c>
      <c r="C462" t="s">
        <v>39</v>
      </c>
      <c r="D462" t="s">
        <v>33</v>
      </c>
      <c r="E462">
        <v>180</v>
      </c>
      <c r="F462">
        <v>164959.84</v>
      </c>
    </row>
    <row r="463" spans="1:6" x14ac:dyDescent="0.3">
      <c r="A463">
        <v>2023</v>
      </c>
      <c r="B463">
        <v>3</v>
      </c>
      <c r="C463" t="s">
        <v>39</v>
      </c>
      <c r="D463" t="s">
        <v>34</v>
      </c>
      <c r="E463">
        <v>160</v>
      </c>
      <c r="F463">
        <v>123485.73</v>
      </c>
    </row>
    <row r="464" spans="1:6" x14ac:dyDescent="0.3">
      <c r="A464">
        <v>2023</v>
      </c>
      <c r="B464">
        <v>3</v>
      </c>
      <c r="C464" t="s">
        <v>39</v>
      </c>
      <c r="D464" t="s">
        <v>49</v>
      </c>
      <c r="E464">
        <v>2</v>
      </c>
      <c r="F464">
        <v>238</v>
      </c>
    </row>
    <row r="465" spans="1:6" x14ac:dyDescent="0.3">
      <c r="A465">
        <v>2023</v>
      </c>
      <c r="B465">
        <v>3</v>
      </c>
      <c r="C465" t="s">
        <v>39</v>
      </c>
      <c r="D465" t="s">
        <v>35</v>
      </c>
      <c r="E465">
        <v>110</v>
      </c>
      <c r="F465">
        <v>86394.28</v>
      </c>
    </row>
    <row r="466" spans="1:6" x14ac:dyDescent="0.3">
      <c r="A466">
        <v>2023</v>
      </c>
      <c r="B466">
        <v>3</v>
      </c>
      <c r="C466" t="s">
        <v>39</v>
      </c>
      <c r="D466" t="s">
        <v>36</v>
      </c>
      <c r="E466">
        <v>230</v>
      </c>
      <c r="F466">
        <v>185319.4</v>
      </c>
    </row>
    <row r="467" spans="1:6" x14ac:dyDescent="0.3">
      <c r="A467">
        <v>2023</v>
      </c>
      <c r="B467">
        <v>3</v>
      </c>
      <c r="C467" t="s">
        <v>39</v>
      </c>
      <c r="D467" t="s">
        <v>37</v>
      </c>
      <c r="E467">
        <v>145</v>
      </c>
      <c r="F467">
        <v>170516.25</v>
      </c>
    </row>
    <row r="468" spans="1:6" x14ac:dyDescent="0.3">
      <c r="A468">
        <v>2023</v>
      </c>
      <c r="B468">
        <v>4</v>
      </c>
      <c r="C468" t="s">
        <v>40</v>
      </c>
      <c r="D468" t="s">
        <v>7</v>
      </c>
      <c r="E468">
        <v>120</v>
      </c>
      <c r="F468">
        <v>108108.63</v>
      </c>
    </row>
    <row r="469" spans="1:6" x14ac:dyDescent="0.3">
      <c r="A469">
        <v>2023</v>
      </c>
      <c r="B469">
        <v>4</v>
      </c>
      <c r="C469" t="s">
        <v>40</v>
      </c>
      <c r="D469" t="s">
        <v>8</v>
      </c>
      <c r="E469">
        <v>154</v>
      </c>
      <c r="F469">
        <v>108678.19</v>
      </c>
    </row>
    <row r="470" spans="1:6" x14ac:dyDescent="0.3">
      <c r="A470">
        <v>2023</v>
      </c>
      <c r="B470">
        <v>4</v>
      </c>
      <c r="C470" t="s">
        <v>40</v>
      </c>
      <c r="D470" t="s">
        <v>9</v>
      </c>
      <c r="E470">
        <v>72</v>
      </c>
      <c r="F470">
        <v>53981.24</v>
      </c>
    </row>
    <row r="471" spans="1:6" x14ac:dyDescent="0.3">
      <c r="A471">
        <v>2023</v>
      </c>
      <c r="B471">
        <v>4</v>
      </c>
      <c r="C471" t="s">
        <v>40</v>
      </c>
      <c r="D471" t="s">
        <v>10</v>
      </c>
      <c r="E471">
        <v>242</v>
      </c>
      <c r="F471">
        <v>229373.41</v>
      </c>
    </row>
    <row r="472" spans="1:6" x14ac:dyDescent="0.3">
      <c r="A472">
        <v>2023</v>
      </c>
      <c r="B472">
        <v>4</v>
      </c>
      <c r="C472" t="s">
        <v>40</v>
      </c>
      <c r="D472" t="s">
        <v>11</v>
      </c>
      <c r="E472">
        <v>168</v>
      </c>
      <c r="F472">
        <v>135698.18</v>
      </c>
    </row>
    <row r="473" spans="1:6" x14ac:dyDescent="0.3">
      <c r="A473">
        <v>2023</v>
      </c>
      <c r="B473">
        <v>4</v>
      </c>
      <c r="C473" t="s">
        <v>40</v>
      </c>
      <c r="D473" t="s">
        <v>12</v>
      </c>
      <c r="E473">
        <v>85</v>
      </c>
      <c r="F473">
        <v>57490.04</v>
      </c>
    </row>
    <row r="474" spans="1:6" x14ac:dyDescent="0.3">
      <c r="A474">
        <v>2023</v>
      </c>
      <c r="B474">
        <v>4</v>
      </c>
      <c r="C474" t="s">
        <v>40</v>
      </c>
      <c r="D474" t="s">
        <v>13</v>
      </c>
      <c r="E474">
        <v>128</v>
      </c>
      <c r="F474">
        <v>89212.06</v>
      </c>
    </row>
    <row r="475" spans="1:6" x14ac:dyDescent="0.3">
      <c r="A475">
        <v>2023</v>
      </c>
      <c r="B475">
        <v>4</v>
      </c>
      <c r="C475" t="s">
        <v>40</v>
      </c>
      <c r="D475" t="s">
        <v>14</v>
      </c>
      <c r="E475">
        <v>151</v>
      </c>
      <c r="F475">
        <v>101787.74</v>
      </c>
    </row>
    <row r="476" spans="1:6" x14ac:dyDescent="0.3">
      <c r="A476">
        <v>2023</v>
      </c>
      <c r="B476">
        <v>4</v>
      </c>
      <c r="C476" t="s">
        <v>40</v>
      </c>
      <c r="D476" t="s">
        <v>15</v>
      </c>
      <c r="E476">
        <v>88</v>
      </c>
      <c r="F476">
        <v>48772.95</v>
      </c>
    </row>
    <row r="477" spans="1:6" x14ac:dyDescent="0.3">
      <c r="A477">
        <v>2023</v>
      </c>
      <c r="B477">
        <v>4</v>
      </c>
      <c r="C477" t="s">
        <v>40</v>
      </c>
      <c r="D477" t="s">
        <v>16</v>
      </c>
      <c r="E477">
        <v>230</v>
      </c>
      <c r="F477">
        <v>209613.68</v>
      </c>
    </row>
    <row r="478" spans="1:6" x14ac:dyDescent="0.3">
      <c r="A478">
        <v>2023</v>
      </c>
      <c r="B478">
        <v>4</v>
      </c>
      <c r="C478" t="s">
        <v>40</v>
      </c>
      <c r="D478" t="s">
        <v>17</v>
      </c>
      <c r="E478">
        <v>742</v>
      </c>
      <c r="F478">
        <v>604784.82999999996</v>
      </c>
    </row>
    <row r="479" spans="1:6" x14ac:dyDescent="0.3">
      <c r="A479">
        <v>2023</v>
      </c>
      <c r="B479">
        <v>4</v>
      </c>
      <c r="C479" t="s">
        <v>40</v>
      </c>
      <c r="D479" t="s">
        <v>18</v>
      </c>
      <c r="E479">
        <v>384</v>
      </c>
      <c r="F479">
        <v>332463.69</v>
      </c>
    </row>
    <row r="480" spans="1:6" x14ac:dyDescent="0.3">
      <c r="A480">
        <v>2023</v>
      </c>
      <c r="B480">
        <v>4</v>
      </c>
      <c r="C480" t="s">
        <v>40</v>
      </c>
      <c r="D480" t="s">
        <v>19</v>
      </c>
      <c r="E480">
        <v>186</v>
      </c>
      <c r="F480">
        <v>123477.26</v>
      </c>
    </row>
    <row r="481" spans="1:6" x14ac:dyDescent="0.3">
      <c r="A481">
        <v>2023</v>
      </c>
      <c r="B481">
        <v>4</v>
      </c>
      <c r="C481" t="s">
        <v>40</v>
      </c>
      <c r="D481" t="s">
        <v>20</v>
      </c>
      <c r="E481">
        <v>137</v>
      </c>
      <c r="F481">
        <v>103371.29</v>
      </c>
    </row>
    <row r="482" spans="1:6" x14ac:dyDescent="0.3">
      <c r="A482">
        <v>2023</v>
      </c>
      <c r="B482">
        <v>4</v>
      </c>
      <c r="C482" t="s">
        <v>40</v>
      </c>
      <c r="D482" t="s">
        <v>21</v>
      </c>
      <c r="E482">
        <v>402</v>
      </c>
      <c r="F482">
        <v>378625.15</v>
      </c>
    </row>
    <row r="483" spans="1:6" x14ac:dyDescent="0.3">
      <c r="A483">
        <v>2023</v>
      </c>
      <c r="B483">
        <v>4</v>
      </c>
      <c r="C483" t="s">
        <v>40</v>
      </c>
      <c r="D483" t="s">
        <v>22</v>
      </c>
      <c r="E483">
        <v>163</v>
      </c>
      <c r="F483">
        <v>112976.6</v>
      </c>
    </row>
    <row r="484" spans="1:6" x14ac:dyDescent="0.3">
      <c r="A484">
        <v>2023</v>
      </c>
      <c r="B484">
        <v>4</v>
      </c>
      <c r="C484" t="s">
        <v>40</v>
      </c>
      <c r="D484" t="s">
        <v>23</v>
      </c>
      <c r="E484">
        <v>343</v>
      </c>
      <c r="F484">
        <v>309590.74</v>
      </c>
    </row>
    <row r="485" spans="1:6" x14ac:dyDescent="0.3">
      <c r="A485">
        <v>2023</v>
      </c>
      <c r="B485">
        <v>4</v>
      </c>
      <c r="C485" t="s">
        <v>40</v>
      </c>
      <c r="D485" t="s">
        <v>24</v>
      </c>
      <c r="E485">
        <v>228</v>
      </c>
      <c r="F485">
        <v>158401.57999999999</v>
      </c>
    </row>
    <row r="486" spans="1:6" x14ac:dyDescent="0.3">
      <c r="A486">
        <v>2023</v>
      </c>
      <c r="B486">
        <v>4</v>
      </c>
      <c r="C486" t="s">
        <v>40</v>
      </c>
      <c r="D486" t="s">
        <v>25</v>
      </c>
      <c r="E486">
        <v>309</v>
      </c>
      <c r="F486">
        <v>235076.68</v>
      </c>
    </row>
    <row r="487" spans="1:6" x14ac:dyDescent="0.3">
      <c r="A487">
        <v>2023</v>
      </c>
      <c r="B487">
        <v>4</v>
      </c>
      <c r="C487" t="s">
        <v>40</v>
      </c>
      <c r="D487" t="s">
        <v>26</v>
      </c>
      <c r="E487">
        <v>131</v>
      </c>
      <c r="F487">
        <v>113487.66</v>
      </c>
    </row>
    <row r="488" spans="1:6" x14ac:dyDescent="0.3">
      <c r="A488">
        <v>2023</v>
      </c>
      <c r="B488">
        <v>4</v>
      </c>
      <c r="C488" t="s">
        <v>40</v>
      </c>
      <c r="D488" t="s">
        <v>27</v>
      </c>
      <c r="E488">
        <v>182</v>
      </c>
      <c r="F488">
        <v>172215.14</v>
      </c>
    </row>
    <row r="489" spans="1:6" x14ac:dyDescent="0.3">
      <c r="A489">
        <v>2023</v>
      </c>
      <c r="B489">
        <v>4</v>
      </c>
      <c r="C489" t="s">
        <v>40</v>
      </c>
      <c r="D489" t="s">
        <v>28</v>
      </c>
      <c r="E489">
        <v>235</v>
      </c>
      <c r="F489">
        <v>167846.62</v>
      </c>
    </row>
    <row r="490" spans="1:6" x14ac:dyDescent="0.3">
      <c r="A490">
        <v>2023</v>
      </c>
      <c r="B490">
        <v>4</v>
      </c>
      <c r="C490" t="s">
        <v>40</v>
      </c>
      <c r="D490" t="s">
        <v>29</v>
      </c>
      <c r="E490">
        <v>278</v>
      </c>
      <c r="F490">
        <v>236081.58</v>
      </c>
    </row>
    <row r="491" spans="1:6" x14ac:dyDescent="0.3">
      <c r="A491">
        <v>2023</v>
      </c>
      <c r="B491">
        <v>4</v>
      </c>
      <c r="C491" t="s">
        <v>40</v>
      </c>
      <c r="D491" t="s">
        <v>30</v>
      </c>
      <c r="E491">
        <v>118</v>
      </c>
      <c r="F491">
        <v>82163.38</v>
      </c>
    </row>
    <row r="492" spans="1:6" x14ac:dyDescent="0.3">
      <c r="A492">
        <v>2023</v>
      </c>
      <c r="B492">
        <v>4</v>
      </c>
      <c r="C492" t="s">
        <v>40</v>
      </c>
      <c r="D492" t="s">
        <v>31</v>
      </c>
      <c r="E492">
        <v>487</v>
      </c>
      <c r="F492">
        <v>441789.21</v>
      </c>
    </row>
    <row r="493" spans="1:6" x14ac:dyDescent="0.3">
      <c r="A493">
        <v>2023</v>
      </c>
      <c r="B493">
        <v>4</v>
      </c>
      <c r="C493" t="s">
        <v>40</v>
      </c>
      <c r="D493" t="s">
        <v>32</v>
      </c>
      <c r="E493">
        <v>260</v>
      </c>
      <c r="F493">
        <v>215491.75</v>
      </c>
    </row>
    <row r="494" spans="1:6" x14ac:dyDescent="0.3">
      <c r="A494">
        <v>2023</v>
      </c>
      <c r="B494">
        <v>4</v>
      </c>
      <c r="C494" t="s">
        <v>40</v>
      </c>
      <c r="D494" t="s">
        <v>33</v>
      </c>
      <c r="E494">
        <v>264</v>
      </c>
      <c r="F494">
        <v>237956.82</v>
      </c>
    </row>
    <row r="495" spans="1:6" x14ac:dyDescent="0.3">
      <c r="A495">
        <v>2023</v>
      </c>
      <c r="B495">
        <v>4</v>
      </c>
      <c r="C495" t="s">
        <v>40</v>
      </c>
      <c r="D495" t="s">
        <v>34</v>
      </c>
      <c r="E495">
        <v>252</v>
      </c>
      <c r="F495">
        <v>202679.79</v>
      </c>
    </row>
    <row r="496" spans="1:6" x14ac:dyDescent="0.3">
      <c r="A496">
        <v>2023</v>
      </c>
      <c r="B496">
        <v>4</v>
      </c>
      <c r="C496" t="s">
        <v>40</v>
      </c>
      <c r="D496" t="s">
        <v>49</v>
      </c>
      <c r="E496">
        <v>52</v>
      </c>
      <c r="F496">
        <v>27994.67</v>
      </c>
    </row>
    <row r="497" spans="1:6" x14ac:dyDescent="0.3">
      <c r="A497">
        <v>2023</v>
      </c>
      <c r="B497">
        <v>4</v>
      </c>
      <c r="C497" t="s">
        <v>40</v>
      </c>
      <c r="D497" t="s">
        <v>35</v>
      </c>
      <c r="E497">
        <v>183</v>
      </c>
      <c r="F497">
        <v>147281.60000000001</v>
      </c>
    </row>
    <row r="498" spans="1:6" x14ac:dyDescent="0.3">
      <c r="A498">
        <v>2023</v>
      </c>
      <c r="B498">
        <v>4</v>
      </c>
      <c r="C498" t="s">
        <v>40</v>
      </c>
      <c r="D498" t="s">
        <v>36</v>
      </c>
      <c r="E498">
        <v>204</v>
      </c>
      <c r="F498">
        <v>164921.07999999999</v>
      </c>
    </row>
    <row r="499" spans="1:6" x14ac:dyDescent="0.3">
      <c r="A499">
        <v>2023</v>
      </c>
      <c r="B499">
        <v>4</v>
      </c>
      <c r="C499" t="s">
        <v>40</v>
      </c>
      <c r="D499" t="s">
        <v>37</v>
      </c>
      <c r="E499">
        <v>301</v>
      </c>
      <c r="F499">
        <v>309509.58</v>
      </c>
    </row>
    <row r="500" spans="1:6" x14ac:dyDescent="0.3">
      <c r="A500">
        <v>2023</v>
      </c>
      <c r="B500">
        <v>5</v>
      </c>
      <c r="C500" t="s">
        <v>41</v>
      </c>
      <c r="D500" t="s">
        <v>7</v>
      </c>
      <c r="E500">
        <v>627</v>
      </c>
      <c r="F500">
        <v>588069.29</v>
      </c>
    </row>
    <row r="501" spans="1:6" x14ac:dyDescent="0.3">
      <c r="A501">
        <v>2023</v>
      </c>
      <c r="B501">
        <v>5</v>
      </c>
      <c r="C501" t="s">
        <v>41</v>
      </c>
      <c r="D501" t="s">
        <v>8</v>
      </c>
      <c r="E501">
        <v>699</v>
      </c>
      <c r="F501">
        <v>469590.32</v>
      </c>
    </row>
    <row r="502" spans="1:6" x14ac:dyDescent="0.3">
      <c r="A502">
        <v>2023</v>
      </c>
      <c r="B502">
        <v>5</v>
      </c>
      <c r="C502" t="s">
        <v>41</v>
      </c>
      <c r="D502" t="s">
        <v>9</v>
      </c>
      <c r="E502">
        <v>291</v>
      </c>
      <c r="F502">
        <v>217937.85</v>
      </c>
    </row>
    <row r="503" spans="1:6" x14ac:dyDescent="0.3">
      <c r="A503">
        <v>2023</v>
      </c>
      <c r="B503">
        <v>5</v>
      </c>
      <c r="C503" t="s">
        <v>41</v>
      </c>
      <c r="D503" t="s">
        <v>10</v>
      </c>
      <c r="E503">
        <v>519</v>
      </c>
      <c r="F503">
        <v>482438.83</v>
      </c>
    </row>
    <row r="504" spans="1:6" x14ac:dyDescent="0.3">
      <c r="A504">
        <v>2023</v>
      </c>
      <c r="B504">
        <v>5</v>
      </c>
      <c r="C504" t="s">
        <v>41</v>
      </c>
      <c r="D504" t="s">
        <v>11</v>
      </c>
      <c r="E504">
        <v>403</v>
      </c>
      <c r="F504">
        <v>313973.43</v>
      </c>
    </row>
    <row r="505" spans="1:6" x14ac:dyDescent="0.3">
      <c r="A505">
        <v>2023</v>
      </c>
      <c r="B505">
        <v>5</v>
      </c>
      <c r="C505" t="s">
        <v>41</v>
      </c>
      <c r="D505" t="s">
        <v>12</v>
      </c>
      <c r="E505">
        <v>216</v>
      </c>
      <c r="F505">
        <v>146773.43</v>
      </c>
    </row>
    <row r="506" spans="1:6" x14ac:dyDescent="0.3">
      <c r="A506">
        <v>2023</v>
      </c>
      <c r="B506">
        <v>5</v>
      </c>
      <c r="C506" t="s">
        <v>41</v>
      </c>
      <c r="D506" t="s">
        <v>13</v>
      </c>
      <c r="E506">
        <v>246</v>
      </c>
      <c r="F506">
        <v>166215.87</v>
      </c>
    </row>
    <row r="507" spans="1:6" x14ac:dyDescent="0.3">
      <c r="A507">
        <v>2023</v>
      </c>
      <c r="B507">
        <v>5</v>
      </c>
      <c r="C507" t="s">
        <v>41</v>
      </c>
      <c r="D507" t="s">
        <v>14</v>
      </c>
      <c r="E507">
        <v>401</v>
      </c>
      <c r="F507">
        <v>264780.34999999998</v>
      </c>
    </row>
    <row r="508" spans="1:6" x14ac:dyDescent="0.3">
      <c r="A508">
        <v>2023</v>
      </c>
      <c r="B508">
        <v>5</v>
      </c>
      <c r="C508" t="s">
        <v>41</v>
      </c>
      <c r="D508" t="s">
        <v>15</v>
      </c>
      <c r="E508">
        <v>77</v>
      </c>
      <c r="F508">
        <v>52999.62</v>
      </c>
    </row>
    <row r="509" spans="1:6" x14ac:dyDescent="0.3">
      <c r="A509">
        <v>2023</v>
      </c>
      <c r="B509">
        <v>5</v>
      </c>
      <c r="C509" t="s">
        <v>41</v>
      </c>
      <c r="D509" t="s">
        <v>16</v>
      </c>
      <c r="E509">
        <v>774</v>
      </c>
      <c r="F509">
        <v>745535.99</v>
      </c>
    </row>
    <row r="510" spans="1:6" x14ac:dyDescent="0.3">
      <c r="A510">
        <v>2023</v>
      </c>
      <c r="B510">
        <v>5</v>
      </c>
      <c r="C510" t="s">
        <v>41</v>
      </c>
      <c r="D510" t="s">
        <v>17</v>
      </c>
      <c r="E510">
        <v>1043</v>
      </c>
      <c r="F510">
        <v>861070.13</v>
      </c>
    </row>
    <row r="511" spans="1:6" x14ac:dyDescent="0.3">
      <c r="A511">
        <v>2023</v>
      </c>
      <c r="B511">
        <v>5</v>
      </c>
      <c r="C511" t="s">
        <v>41</v>
      </c>
      <c r="D511" t="s">
        <v>18</v>
      </c>
      <c r="E511">
        <v>922</v>
      </c>
      <c r="F511">
        <v>771104.48</v>
      </c>
    </row>
    <row r="512" spans="1:6" x14ac:dyDescent="0.3">
      <c r="A512">
        <v>2023</v>
      </c>
      <c r="B512">
        <v>5</v>
      </c>
      <c r="C512" t="s">
        <v>41</v>
      </c>
      <c r="D512" t="s">
        <v>19</v>
      </c>
      <c r="E512">
        <v>556</v>
      </c>
      <c r="F512">
        <v>380423.81</v>
      </c>
    </row>
    <row r="513" spans="1:6" x14ac:dyDescent="0.3">
      <c r="A513">
        <v>2023</v>
      </c>
      <c r="B513">
        <v>5</v>
      </c>
      <c r="C513" t="s">
        <v>41</v>
      </c>
      <c r="D513" t="s">
        <v>20</v>
      </c>
      <c r="E513">
        <v>351</v>
      </c>
      <c r="F513">
        <v>247526.79</v>
      </c>
    </row>
    <row r="514" spans="1:6" x14ac:dyDescent="0.3">
      <c r="A514">
        <v>2023</v>
      </c>
      <c r="B514">
        <v>5</v>
      </c>
      <c r="C514" t="s">
        <v>41</v>
      </c>
      <c r="D514" t="s">
        <v>21</v>
      </c>
      <c r="E514">
        <v>867</v>
      </c>
      <c r="F514">
        <v>740691.43</v>
      </c>
    </row>
    <row r="515" spans="1:6" x14ac:dyDescent="0.3">
      <c r="A515">
        <v>2023</v>
      </c>
      <c r="B515">
        <v>5</v>
      </c>
      <c r="C515" t="s">
        <v>41</v>
      </c>
      <c r="D515" t="s">
        <v>22</v>
      </c>
      <c r="E515">
        <v>197</v>
      </c>
      <c r="F515">
        <v>138721.25</v>
      </c>
    </row>
    <row r="516" spans="1:6" x14ac:dyDescent="0.3">
      <c r="A516">
        <v>2023</v>
      </c>
      <c r="B516">
        <v>5</v>
      </c>
      <c r="C516" t="s">
        <v>41</v>
      </c>
      <c r="D516" t="s">
        <v>23</v>
      </c>
      <c r="E516">
        <v>955</v>
      </c>
      <c r="F516">
        <v>866367</v>
      </c>
    </row>
    <row r="517" spans="1:6" x14ac:dyDescent="0.3">
      <c r="A517">
        <v>2023</v>
      </c>
      <c r="B517">
        <v>5</v>
      </c>
      <c r="C517" t="s">
        <v>41</v>
      </c>
      <c r="D517" t="s">
        <v>24</v>
      </c>
      <c r="E517">
        <v>439</v>
      </c>
      <c r="F517">
        <v>289598.03999999998</v>
      </c>
    </row>
    <row r="518" spans="1:6" x14ac:dyDescent="0.3">
      <c r="A518">
        <v>2023</v>
      </c>
      <c r="B518">
        <v>5</v>
      </c>
      <c r="C518" t="s">
        <v>41</v>
      </c>
      <c r="D518" t="s">
        <v>25</v>
      </c>
      <c r="E518">
        <v>539</v>
      </c>
      <c r="F518">
        <v>417966.9</v>
      </c>
    </row>
    <row r="519" spans="1:6" x14ac:dyDescent="0.3">
      <c r="A519">
        <v>2023</v>
      </c>
      <c r="B519">
        <v>5</v>
      </c>
      <c r="C519" t="s">
        <v>41</v>
      </c>
      <c r="D519" t="s">
        <v>26</v>
      </c>
      <c r="E519">
        <v>843</v>
      </c>
      <c r="F519">
        <v>724147.81</v>
      </c>
    </row>
    <row r="520" spans="1:6" x14ac:dyDescent="0.3">
      <c r="A520">
        <v>2023</v>
      </c>
      <c r="B520">
        <v>5</v>
      </c>
      <c r="C520" t="s">
        <v>41</v>
      </c>
      <c r="D520" t="s">
        <v>27</v>
      </c>
      <c r="E520">
        <v>323</v>
      </c>
      <c r="F520">
        <v>299525.59999999998</v>
      </c>
    </row>
    <row r="521" spans="1:6" x14ac:dyDescent="0.3">
      <c r="A521">
        <v>2023</v>
      </c>
      <c r="B521">
        <v>5</v>
      </c>
      <c r="C521" t="s">
        <v>41</v>
      </c>
      <c r="D521" t="s">
        <v>28</v>
      </c>
      <c r="E521">
        <v>358</v>
      </c>
      <c r="F521">
        <v>245744.82</v>
      </c>
    </row>
    <row r="522" spans="1:6" x14ac:dyDescent="0.3">
      <c r="A522">
        <v>2023</v>
      </c>
      <c r="B522">
        <v>5</v>
      </c>
      <c r="C522" t="s">
        <v>41</v>
      </c>
      <c r="D522" t="s">
        <v>29</v>
      </c>
      <c r="E522">
        <v>828</v>
      </c>
      <c r="F522">
        <v>680684.41</v>
      </c>
    </row>
    <row r="523" spans="1:6" x14ac:dyDescent="0.3">
      <c r="A523">
        <v>2023</v>
      </c>
      <c r="B523">
        <v>5</v>
      </c>
      <c r="C523" t="s">
        <v>41</v>
      </c>
      <c r="D523" t="s">
        <v>30</v>
      </c>
      <c r="E523">
        <v>308</v>
      </c>
      <c r="F523">
        <v>211639.47</v>
      </c>
    </row>
    <row r="524" spans="1:6" x14ac:dyDescent="0.3">
      <c r="A524">
        <v>2023</v>
      </c>
      <c r="B524">
        <v>5</v>
      </c>
      <c r="C524" t="s">
        <v>41</v>
      </c>
      <c r="D524" t="s">
        <v>31</v>
      </c>
      <c r="E524">
        <v>870</v>
      </c>
      <c r="F524">
        <v>750300.62</v>
      </c>
    </row>
    <row r="525" spans="1:6" x14ac:dyDescent="0.3">
      <c r="A525">
        <v>2023</v>
      </c>
      <c r="B525">
        <v>5</v>
      </c>
      <c r="C525" t="s">
        <v>41</v>
      </c>
      <c r="D525" t="s">
        <v>32</v>
      </c>
      <c r="E525">
        <v>500</v>
      </c>
      <c r="F525">
        <v>414733.23</v>
      </c>
    </row>
    <row r="526" spans="1:6" x14ac:dyDescent="0.3">
      <c r="A526">
        <v>2023</v>
      </c>
      <c r="B526">
        <v>5</v>
      </c>
      <c r="C526" t="s">
        <v>41</v>
      </c>
      <c r="D526" t="s">
        <v>33</v>
      </c>
      <c r="E526">
        <v>568</v>
      </c>
      <c r="F526">
        <v>475652.34</v>
      </c>
    </row>
    <row r="527" spans="1:6" x14ac:dyDescent="0.3">
      <c r="A527">
        <v>2023</v>
      </c>
      <c r="B527">
        <v>5</v>
      </c>
      <c r="C527" t="s">
        <v>41</v>
      </c>
      <c r="D527" t="s">
        <v>34</v>
      </c>
      <c r="E527">
        <v>848</v>
      </c>
      <c r="F527">
        <v>693549.73</v>
      </c>
    </row>
    <row r="528" spans="1:6" x14ac:dyDescent="0.3">
      <c r="A528">
        <v>2023</v>
      </c>
      <c r="B528">
        <v>5</v>
      </c>
      <c r="C528" t="s">
        <v>41</v>
      </c>
      <c r="D528" t="s">
        <v>49</v>
      </c>
      <c r="E528">
        <v>114</v>
      </c>
      <c r="F528">
        <v>67431</v>
      </c>
    </row>
    <row r="529" spans="1:6" x14ac:dyDescent="0.3">
      <c r="A529">
        <v>2023</v>
      </c>
      <c r="B529">
        <v>5</v>
      </c>
      <c r="C529" t="s">
        <v>41</v>
      </c>
      <c r="D529" t="s">
        <v>35</v>
      </c>
      <c r="E529">
        <v>618</v>
      </c>
      <c r="F529">
        <v>519578.06</v>
      </c>
    </row>
    <row r="530" spans="1:6" x14ac:dyDescent="0.3">
      <c r="A530">
        <v>2023</v>
      </c>
      <c r="B530">
        <v>5</v>
      </c>
      <c r="C530" t="s">
        <v>41</v>
      </c>
      <c r="D530" t="s">
        <v>36</v>
      </c>
      <c r="E530">
        <v>385</v>
      </c>
      <c r="F530">
        <v>333383.5</v>
      </c>
    </row>
    <row r="531" spans="1:6" x14ac:dyDescent="0.3">
      <c r="A531">
        <v>2023</v>
      </c>
      <c r="B531">
        <v>5</v>
      </c>
      <c r="C531" t="s">
        <v>41</v>
      </c>
      <c r="D531" t="s">
        <v>37</v>
      </c>
      <c r="E531">
        <v>168</v>
      </c>
      <c r="F531">
        <v>138347.95000000001</v>
      </c>
    </row>
    <row r="532" spans="1:6" x14ac:dyDescent="0.3">
      <c r="A532">
        <v>2023</v>
      </c>
      <c r="B532">
        <v>6</v>
      </c>
      <c r="C532" t="s">
        <v>42</v>
      </c>
      <c r="D532" t="s">
        <v>7</v>
      </c>
      <c r="E532">
        <v>796</v>
      </c>
      <c r="F532">
        <v>754994.03</v>
      </c>
    </row>
    <row r="533" spans="1:6" x14ac:dyDescent="0.3">
      <c r="A533">
        <v>2023</v>
      </c>
      <c r="B533">
        <v>6</v>
      </c>
      <c r="C533" t="s">
        <v>42</v>
      </c>
      <c r="D533" t="s">
        <v>8</v>
      </c>
      <c r="E533">
        <v>559</v>
      </c>
      <c r="F533">
        <v>369910.12</v>
      </c>
    </row>
    <row r="534" spans="1:6" x14ac:dyDescent="0.3">
      <c r="A534">
        <v>2023</v>
      </c>
      <c r="B534">
        <v>6</v>
      </c>
      <c r="C534" t="s">
        <v>42</v>
      </c>
      <c r="D534" t="s">
        <v>9</v>
      </c>
      <c r="E534">
        <v>340</v>
      </c>
      <c r="F534">
        <v>243095.53</v>
      </c>
    </row>
    <row r="535" spans="1:6" x14ac:dyDescent="0.3">
      <c r="A535">
        <v>2023</v>
      </c>
      <c r="B535">
        <v>6</v>
      </c>
      <c r="C535" t="s">
        <v>42</v>
      </c>
      <c r="D535" t="s">
        <v>10</v>
      </c>
      <c r="E535">
        <v>663</v>
      </c>
      <c r="F535">
        <v>618968.63</v>
      </c>
    </row>
    <row r="536" spans="1:6" x14ac:dyDescent="0.3">
      <c r="A536">
        <v>2023</v>
      </c>
      <c r="B536">
        <v>6</v>
      </c>
      <c r="C536" t="s">
        <v>42</v>
      </c>
      <c r="D536" t="s">
        <v>11</v>
      </c>
      <c r="E536">
        <v>982</v>
      </c>
      <c r="F536">
        <v>815101.77</v>
      </c>
    </row>
    <row r="537" spans="1:6" x14ac:dyDescent="0.3">
      <c r="A537">
        <v>2023</v>
      </c>
      <c r="B537">
        <v>6</v>
      </c>
      <c r="C537" t="s">
        <v>42</v>
      </c>
      <c r="D537" t="s">
        <v>12</v>
      </c>
      <c r="E537">
        <v>127</v>
      </c>
      <c r="F537">
        <v>90948.73</v>
      </c>
    </row>
    <row r="538" spans="1:6" x14ac:dyDescent="0.3">
      <c r="A538">
        <v>2023</v>
      </c>
      <c r="B538">
        <v>6</v>
      </c>
      <c r="C538" t="s">
        <v>42</v>
      </c>
      <c r="D538" t="s">
        <v>13</v>
      </c>
      <c r="E538">
        <v>136</v>
      </c>
      <c r="F538">
        <v>89178.66</v>
      </c>
    </row>
    <row r="539" spans="1:6" x14ac:dyDescent="0.3">
      <c r="A539">
        <v>2023</v>
      </c>
      <c r="B539">
        <v>6</v>
      </c>
      <c r="C539" t="s">
        <v>42</v>
      </c>
      <c r="D539" t="s">
        <v>14</v>
      </c>
      <c r="E539">
        <v>369</v>
      </c>
      <c r="F539">
        <v>249327.71</v>
      </c>
    </row>
    <row r="540" spans="1:6" x14ac:dyDescent="0.3">
      <c r="A540">
        <v>2023</v>
      </c>
      <c r="B540">
        <v>6</v>
      </c>
      <c r="C540" t="s">
        <v>42</v>
      </c>
      <c r="D540" t="s">
        <v>15</v>
      </c>
      <c r="E540">
        <v>114</v>
      </c>
      <c r="F540">
        <v>74721.97</v>
      </c>
    </row>
    <row r="541" spans="1:6" x14ac:dyDescent="0.3">
      <c r="A541">
        <v>2023</v>
      </c>
      <c r="B541">
        <v>6</v>
      </c>
      <c r="C541" t="s">
        <v>42</v>
      </c>
      <c r="D541" t="s">
        <v>16</v>
      </c>
      <c r="E541">
        <v>627</v>
      </c>
      <c r="F541">
        <v>600640.53</v>
      </c>
    </row>
    <row r="542" spans="1:6" x14ac:dyDescent="0.3">
      <c r="A542">
        <v>2023</v>
      </c>
      <c r="B542">
        <v>6</v>
      </c>
      <c r="C542" t="s">
        <v>42</v>
      </c>
      <c r="D542" t="s">
        <v>17</v>
      </c>
      <c r="E542">
        <v>1007</v>
      </c>
      <c r="F542">
        <v>841626.1</v>
      </c>
    </row>
    <row r="543" spans="1:6" x14ac:dyDescent="0.3">
      <c r="A543">
        <v>2023</v>
      </c>
      <c r="B543">
        <v>6</v>
      </c>
      <c r="C543" t="s">
        <v>42</v>
      </c>
      <c r="D543" t="s">
        <v>18</v>
      </c>
      <c r="E543">
        <v>1086</v>
      </c>
      <c r="F543">
        <v>875540.69</v>
      </c>
    </row>
    <row r="544" spans="1:6" x14ac:dyDescent="0.3">
      <c r="A544">
        <v>2023</v>
      </c>
      <c r="B544">
        <v>6</v>
      </c>
      <c r="C544" t="s">
        <v>42</v>
      </c>
      <c r="D544" t="s">
        <v>19</v>
      </c>
      <c r="E544">
        <v>466</v>
      </c>
      <c r="F544">
        <v>323626.99</v>
      </c>
    </row>
    <row r="545" spans="1:6" x14ac:dyDescent="0.3">
      <c r="A545">
        <v>2023</v>
      </c>
      <c r="B545">
        <v>6</v>
      </c>
      <c r="C545" t="s">
        <v>42</v>
      </c>
      <c r="D545" t="s">
        <v>20</v>
      </c>
      <c r="E545">
        <v>410</v>
      </c>
      <c r="F545">
        <v>301799.61</v>
      </c>
    </row>
    <row r="546" spans="1:6" x14ac:dyDescent="0.3">
      <c r="A546">
        <v>2023</v>
      </c>
      <c r="B546">
        <v>6</v>
      </c>
      <c r="C546" t="s">
        <v>42</v>
      </c>
      <c r="D546" t="s">
        <v>21</v>
      </c>
      <c r="E546">
        <v>1074</v>
      </c>
      <c r="F546">
        <v>894344.07</v>
      </c>
    </row>
    <row r="547" spans="1:6" x14ac:dyDescent="0.3">
      <c r="A547">
        <v>2023</v>
      </c>
      <c r="B547">
        <v>6</v>
      </c>
      <c r="C547" t="s">
        <v>42</v>
      </c>
      <c r="D547" t="s">
        <v>22</v>
      </c>
      <c r="E547">
        <v>285</v>
      </c>
      <c r="F547">
        <v>198628.55</v>
      </c>
    </row>
    <row r="548" spans="1:6" x14ac:dyDescent="0.3">
      <c r="A548">
        <v>2023</v>
      </c>
      <c r="B548">
        <v>6</v>
      </c>
      <c r="C548" t="s">
        <v>42</v>
      </c>
      <c r="D548" t="s">
        <v>23</v>
      </c>
      <c r="E548">
        <v>1080</v>
      </c>
      <c r="F548">
        <v>979720.39</v>
      </c>
    </row>
    <row r="549" spans="1:6" x14ac:dyDescent="0.3">
      <c r="A549">
        <v>2023</v>
      </c>
      <c r="B549">
        <v>6</v>
      </c>
      <c r="C549" t="s">
        <v>42</v>
      </c>
      <c r="D549" t="s">
        <v>24</v>
      </c>
      <c r="E549">
        <v>523</v>
      </c>
      <c r="F549">
        <v>348036.63</v>
      </c>
    </row>
    <row r="550" spans="1:6" x14ac:dyDescent="0.3">
      <c r="A550">
        <v>2023</v>
      </c>
      <c r="B550">
        <v>6</v>
      </c>
      <c r="C550" t="s">
        <v>42</v>
      </c>
      <c r="D550" t="s">
        <v>25</v>
      </c>
      <c r="E550">
        <v>644</v>
      </c>
      <c r="F550">
        <v>499192.12</v>
      </c>
    </row>
    <row r="551" spans="1:6" x14ac:dyDescent="0.3">
      <c r="A551">
        <v>2023</v>
      </c>
      <c r="B551">
        <v>6</v>
      </c>
      <c r="C551" t="s">
        <v>42</v>
      </c>
      <c r="D551" t="s">
        <v>26</v>
      </c>
      <c r="E551">
        <v>827</v>
      </c>
      <c r="F551">
        <v>680661.53</v>
      </c>
    </row>
    <row r="552" spans="1:6" x14ac:dyDescent="0.3">
      <c r="A552">
        <v>2023</v>
      </c>
      <c r="B552">
        <v>6</v>
      </c>
      <c r="C552" t="s">
        <v>42</v>
      </c>
      <c r="D552" t="s">
        <v>27</v>
      </c>
      <c r="E552">
        <v>531</v>
      </c>
      <c r="F552">
        <v>461146.93</v>
      </c>
    </row>
    <row r="553" spans="1:6" x14ac:dyDescent="0.3">
      <c r="A553">
        <v>2023</v>
      </c>
      <c r="B553">
        <v>6</v>
      </c>
      <c r="C553" t="s">
        <v>42</v>
      </c>
      <c r="D553" t="s">
        <v>28</v>
      </c>
      <c r="E553">
        <v>360</v>
      </c>
      <c r="F553">
        <v>246811.66</v>
      </c>
    </row>
    <row r="554" spans="1:6" x14ac:dyDescent="0.3">
      <c r="A554">
        <v>2023</v>
      </c>
      <c r="B554">
        <v>6</v>
      </c>
      <c r="C554" t="s">
        <v>42</v>
      </c>
      <c r="D554" t="s">
        <v>29</v>
      </c>
      <c r="E554">
        <v>189</v>
      </c>
      <c r="F554">
        <v>160089.54</v>
      </c>
    </row>
    <row r="555" spans="1:6" x14ac:dyDescent="0.3">
      <c r="A555">
        <v>2023</v>
      </c>
      <c r="B555">
        <v>6</v>
      </c>
      <c r="C555" t="s">
        <v>42</v>
      </c>
      <c r="D555" t="s">
        <v>30</v>
      </c>
      <c r="E555">
        <v>103</v>
      </c>
      <c r="F555">
        <v>74402.02</v>
      </c>
    </row>
    <row r="556" spans="1:6" x14ac:dyDescent="0.3">
      <c r="A556">
        <v>2023</v>
      </c>
      <c r="B556">
        <v>6</v>
      </c>
      <c r="C556" t="s">
        <v>42</v>
      </c>
      <c r="D556" t="s">
        <v>31</v>
      </c>
      <c r="E556">
        <v>739</v>
      </c>
      <c r="F556">
        <v>636630.24</v>
      </c>
    </row>
    <row r="557" spans="1:6" x14ac:dyDescent="0.3">
      <c r="A557">
        <v>2023</v>
      </c>
      <c r="B557">
        <v>6</v>
      </c>
      <c r="C557" t="s">
        <v>42</v>
      </c>
      <c r="D557" t="s">
        <v>32</v>
      </c>
      <c r="E557">
        <v>477</v>
      </c>
      <c r="F557">
        <v>389803.08</v>
      </c>
    </row>
    <row r="558" spans="1:6" x14ac:dyDescent="0.3">
      <c r="A558">
        <v>2023</v>
      </c>
      <c r="B558">
        <v>6</v>
      </c>
      <c r="C558" t="s">
        <v>42</v>
      </c>
      <c r="D558" t="s">
        <v>33</v>
      </c>
      <c r="E558">
        <v>521</v>
      </c>
      <c r="F558">
        <v>420679.89</v>
      </c>
    </row>
    <row r="559" spans="1:6" x14ac:dyDescent="0.3">
      <c r="A559">
        <v>2023</v>
      </c>
      <c r="B559">
        <v>6</v>
      </c>
      <c r="C559" t="s">
        <v>42</v>
      </c>
      <c r="D559" t="s">
        <v>34</v>
      </c>
      <c r="E559">
        <v>840</v>
      </c>
      <c r="F559">
        <v>678436.1</v>
      </c>
    </row>
    <row r="560" spans="1:6" x14ac:dyDescent="0.3">
      <c r="A560">
        <v>2023</v>
      </c>
      <c r="B560">
        <v>6</v>
      </c>
      <c r="C560" t="s">
        <v>42</v>
      </c>
      <c r="D560" t="s">
        <v>49</v>
      </c>
      <c r="E560">
        <v>62</v>
      </c>
      <c r="F560">
        <v>36379</v>
      </c>
    </row>
    <row r="561" spans="1:6" x14ac:dyDescent="0.3">
      <c r="A561">
        <v>2023</v>
      </c>
      <c r="B561">
        <v>6</v>
      </c>
      <c r="C561" t="s">
        <v>42</v>
      </c>
      <c r="D561" t="s">
        <v>35</v>
      </c>
      <c r="E561">
        <v>408</v>
      </c>
      <c r="F561">
        <v>338579.22</v>
      </c>
    </row>
    <row r="562" spans="1:6" x14ac:dyDescent="0.3">
      <c r="A562">
        <v>2023</v>
      </c>
      <c r="B562">
        <v>6</v>
      </c>
      <c r="C562" t="s">
        <v>42</v>
      </c>
      <c r="D562" t="s">
        <v>36</v>
      </c>
      <c r="E562">
        <v>310</v>
      </c>
      <c r="F562">
        <v>260513.08</v>
      </c>
    </row>
    <row r="563" spans="1:6" x14ac:dyDescent="0.3">
      <c r="A563">
        <v>2023</v>
      </c>
      <c r="B563">
        <v>6</v>
      </c>
      <c r="C563" t="s">
        <v>42</v>
      </c>
      <c r="D563" t="s">
        <v>37</v>
      </c>
      <c r="E563">
        <v>558</v>
      </c>
      <c r="F563">
        <v>459481.84</v>
      </c>
    </row>
    <row r="564" spans="1:6" x14ac:dyDescent="0.3">
      <c r="A564">
        <v>2023</v>
      </c>
      <c r="B564">
        <v>7</v>
      </c>
      <c r="C564" t="s">
        <v>43</v>
      </c>
      <c r="D564" t="s">
        <v>7</v>
      </c>
      <c r="E564">
        <v>765</v>
      </c>
      <c r="F564">
        <v>695755.11</v>
      </c>
    </row>
    <row r="565" spans="1:6" x14ac:dyDescent="0.3">
      <c r="A565">
        <v>2023</v>
      </c>
      <c r="B565">
        <v>7</v>
      </c>
      <c r="C565" t="s">
        <v>43</v>
      </c>
      <c r="D565" t="s">
        <v>8</v>
      </c>
      <c r="E565">
        <v>470</v>
      </c>
      <c r="F565">
        <v>308506.45</v>
      </c>
    </row>
    <row r="566" spans="1:6" x14ac:dyDescent="0.3">
      <c r="A566">
        <v>2023</v>
      </c>
      <c r="B566">
        <v>7</v>
      </c>
      <c r="C566" t="s">
        <v>43</v>
      </c>
      <c r="D566" t="s">
        <v>9</v>
      </c>
      <c r="E566">
        <v>280</v>
      </c>
      <c r="F566">
        <v>200218.4</v>
      </c>
    </row>
    <row r="567" spans="1:6" x14ac:dyDescent="0.3">
      <c r="A567">
        <v>2023</v>
      </c>
      <c r="B567">
        <v>7</v>
      </c>
      <c r="C567" t="s">
        <v>43</v>
      </c>
      <c r="D567" t="s">
        <v>10</v>
      </c>
      <c r="E567">
        <v>653</v>
      </c>
      <c r="F567">
        <v>576444.56999999995</v>
      </c>
    </row>
    <row r="568" spans="1:6" x14ac:dyDescent="0.3">
      <c r="A568">
        <v>2023</v>
      </c>
      <c r="B568">
        <v>7</v>
      </c>
      <c r="C568" t="s">
        <v>43</v>
      </c>
      <c r="D568" t="s">
        <v>11</v>
      </c>
      <c r="E568">
        <v>248</v>
      </c>
      <c r="F568">
        <v>181954.33</v>
      </c>
    </row>
    <row r="569" spans="1:6" x14ac:dyDescent="0.3">
      <c r="A569">
        <v>2023</v>
      </c>
      <c r="B569">
        <v>7</v>
      </c>
      <c r="C569" t="s">
        <v>43</v>
      </c>
      <c r="D569" t="s">
        <v>12</v>
      </c>
      <c r="E569">
        <v>177</v>
      </c>
      <c r="F569">
        <v>110383.77</v>
      </c>
    </row>
    <row r="570" spans="1:6" x14ac:dyDescent="0.3">
      <c r="A570">
        <v>2023</v>
      </c>
      <c r="B570">
        <v>7</v>
      </c>
      <c r="C570" t="s">
        <v>43</v>
      </c>
      <c r="D570" t="s">
        <v>13</v>
      </c>
      <c r="E570">
        <v>233</v>
      </c>
      <c r="F570">
        <v>152813.87</v>
      </c>
    </row>
    <row r="571" spans="1:6" x14ac:dyDescent="0.3">
      <c r="A571">
        <v>2023</v>
      </c>
      <c r="B571">
        <v>7</v>
      </c>
      <c r="C571" t="s">
        <v>43</v>
      </c>
      <c r="D571" t="s">
        <v>14</v>
      </c>
      <c r="E571">
        <v>306</v>
      </c>
      <c r="F571">
        <v>207237.79</v>
      </c>
    </row>
    <row r="572" spans="1:6" x14ac:dyDescent="0.3">
      <c r="A572">
        <v>2023</v>
      </c>
      <c r="B572">
        <v>7</v>
      </c>
      <c r="C572" t="s">
        <v>43</v>
      </c>
      <c r="D572" t="s">
        <v>15</v>
      </c>
      <c r="E572">
        <v>82</v>
      </c>
      <c r="F572">
        <v>62750.37</v>
      </c>
    </row>
    <row r="573" spans="1:6" x14ac:dyDescent="0.3">
      <c r="A573">
        <v>2023</v>
      </c>
      <c r="B573">
        <v>7</v>
      </c>
      <c r="C573" t="s">
        <v>43</v>
      </c>
      <c r="D573" t="s">
        <v>16</v>
      </c>
      <c r="E573">
        <v>570</v>
      </c>
      <c r="F573">
        <v>471817.23</v>
      </c>
    </row>
    <row r="574" spans="1:6" x14ac:dyDescent="0.3">
      <c r="A574">
        <v>2023</v>
      </c>
      <c r="B574">
        <v>7</v>
      </c>
      <c r="C574" t="s">
        <v>43</v>
      </c>
      <c r="D574" t="s">
        <v>17</v>
      </c>
      <c r="E574">
        <v>1293</v>
      </c>
      <c r="F574">
        <v>1020964.45</v>
      </c>
    </row>
    <row r="575" spans="1:6" x14ac:dyDescent="0.3">
      <c r="A575">
        <v>2023</v>
      </c>
      <c r="B575">
        <v>7</v>
      </c>
      <c r="C575" t="s">
        <v>43</v>
      </c>
      <c r="D575" t="s">
        <v>18</v>
      </c>
      <c r="E575">
        <v>1328</v>
      </c>
      <c r="F575">
        <v>990940.63</v>
      </c>
    </row>
    <row r="576" spans="1:6" x14ac:dyDescent="0.3">
      <c r="A576">
        <v>2023</v>
      </c>
      <c r="B576">
        <v>7</v>
      </c>
      <c r="C576" t="s">
        <v>43</v>
      </c>
      <c r="D576" t="s">
        <v>19</v>
      </c>
      <c r="E576">
        <v>415</v>
      </c>
      <c r="F576">
        <v>286547.15000000002</v>
      </c>
    </row>
    <row r="577" spans="1:6" x14ac:dyDescent="0.3">
      <c r="A577">
        <v>2023</v>
      </c>
      <c r="B577">
        <v>7</v>
      </c>
      <c r="C577" t="s">
        <v>43</v>
      </c>
      <c r="D577" t="s">
        <v>20</v>
      </c>
      <c r="E577">
        <v>407</v>
      </c>
      <c r="F577">
        <v>291999.76</v>
      </c>
    </row>
    <row r="578" spans="1:6" x14ac:dyDescent="0.3">
      <c r="A578">
        <v>2023</v>
      </c>
      <c r="B578">
        <v>7</v>
      </c>
      <c r="C578" t="s">
        <v>43</v>
      </c>
      <c r="D578" t="s">
        <v>21</v>
      </c>
      <c r="E578">
        <v>1081</v>
      </c>
      <c r="F578">
        <v>841122.41</v>
      </c>
    </row>
    <row r="579" spans="1:6" x14ac:dyDescent="0.3">
      <c r="A579">
        <v>2023</v>
      </c>
      <c r="B579">
        <v>7</v>
      </c>
      <c r="C579" t="s">
        <v>43</v>
      </c>
      <c r="D579" t="s">
        <v>22</v>
      </c>
      <c r="E579">
        <v>222</v>
      </c>
      <c r="F579">
        <v>152914.68</v>
      </c>
    </row>
    <row r="580" spans="1:6" x14ac:dyDescent="0.3">
      <c r="A580">
        <v>2023</v>
      </c>
      <c r="B580">
        <v>7</v>
      </c>
      <c r="C580" t="s">
        <v>43</v>
      </c>
      <c r="D580" t="s">
        <v>23</v>
      </c>
      <c r="E580">
        <v>820</v>
      </c>
      <c r="F580">
        <v>726013.25</v>
      </c>
    </row>
    <row r="581" spans="1:6" x14ac:dyDescent="0.3">
      <c r="A581">
        <v>2023</v>
      </c>
      <c r="B581">
        <v>7</v>
      </c>
      <c r="C581" t="s">
        <v>43</v>
      </c>
      <c r="D581" t="s">
        <v>24</v>
      </c>
      <c r="E581">
        <v>361</v>
      </c>
      <c r="F581">
        <v>237948.31</v>
      </c>
    </row>
    <row r="582" spans="1:6" x14ac:dyDescent="0.3">
      <c r="A582">
        <v>2023</v>
      </c>
      <c r="B582">
        <v>7</v>
      </c>
      <c r="C582" t="s">
        <v>43</v>
      </c>
      <c r="D582" t="s">
        <v>25</v>
      </c>
      <c r="E582">
        <v>632</v>
      </c>
      <c r="F582">
        <v>480839.53</v>
      </c>
    </row>
    <row r="583" spans="1:6" x14ac:dyDescent="0.3">
      <c r="A583">
        <v>2023</v>
      </c>
      <c r="B583">
        <v>7</v>
      </c>
      <c r="C583" t="s">
        <v>43</v>
      </c>
      <c r="D583" t="s">
        <v>26</v>
      </c>
      <c r="E583">
        <v>652</v>
      </c>
      <c r="F583">
        <v>507911.67</v>
      </c>
    </row>
    <row r="584" spans="1:6" x14ac:dyDescent="0.3">
      <c r="A584">
        <v>2023</v>
      </c>
      <c r="B584">
        <v>7</v>
      </c>
      <c r="C584" t="s">
        <v>43</v>
      </c>
      <c r="D584" t="s">
        <v>27</v>
      </c>
      <c r="E584">
        <v>223</v>
      </c>
      <c r="F584">
        <v>205806.07</v>
      </c>
    </row>
    <row r="585" spans="1:6" x14ac:dyDescent="0.3">
      <c r="A585">
        <v>2023</v>
      </c>
      <c r="B585">
        <v>7</v>
      </c>
      <c r="C585" t="s">
        <v>43</v>
      </c>
      <c r="D585" t="s">
        <v>28</v>
      </c>
      <c r="E585">
        <v>220</v>
      </c>
      <c r="F585">
        <v>143949.04999999999</v>
      </c>
    </row>
    <row r="586" spans="1:6" x14ac:dyDescent="0.3">
      <c r="A586">
        <v>2023</v>
      </c>
      <c r="B586">
        <v>7</v>
      </c>
      <c r="C586" t="s">
        <v>43</v>
      </c>
      <c r="D586" t="s">
        <v>29</v>
      </c>
      <c r="E586">
        <v>880</v>
      </c>
      <c r="F586">
        <v>704748.71</v>
      </c>
    </row>
    <row r="587" spans="1:6" x14ac:dyDescent="0.3">
      <c r="A587">
        <v>2023</v>
      </c>
      <c r="B587">
        <v>7</v>
      </c>
      <c r="C587" t="s">
        <v>43</v>
      </c>
      <c r="D587" t="s">
        <v>30</v>
      </c>
      <c r="E587">
        <v>70</v>
      </c>
      <c r="F587">
        <v>46036.07</v>
      </c>
    </row>
    <row r="588" spans="1:6" x14ac:dyDescent="0.3">
      <c r="A588">
        <v>2023</v>
      </c>
      <c r="B588">
        <v>7</v>
      </c>
      <c r="C588" t="s">
        <v>43</v>
      </c>
      <c r="D588" t="s">
        <v>31</v>
      </c>
      <c r="E588">
        <v>991</v>
      </c>
      <c r="F588">
        <v>783006.84</v>
      </c>
    </row>
    <row r="589" spans="1:6" x14ac:dyDescent="0.3">
      <c r="A589">
        <v>2023</v>
      </c>
      <c r="B589">
        <v>7</v>
      </c>
      <c r="C589" t="s">
        <v>43</v>
      </c>
      <c r="D589" t="s">
        <v>32</v>
      </c>
      <c r="E589">
        <v>485</v>
      </c>
      <c r="F589">
        <v>368980.38</v>
      </c>
    </row>
    <row r="590" spans="1:6" x14ac:dyDescent="0.3">
      <c r="A590">
        <v>2023</v>
      </c>
      <c r="B590">
        <v>7</v>
      </c>
      <c r="C590" t="s">
        <v>43</v>
      </c>
      <c r="D590" t="s">
        <v>33</v>
      </c>
      <c r="E590">
        <v>570</v>
      </c>
      <c r="F590">
        <v>438877.81</v>
      </c>
    </row>
    <row r="591" spans="1:6" x14ac:dyDescent="0.3">
      <c r="A591">
        <v>2023</v>
      </c>
      <c r="B591">
        <v>7</v>
      </c>
      <c r="C591" t="s">
        <v>43</v>
      </c>
      <c r="D591" t="s">
        <v>34</v>
      </c>
      <c r="E591">
        <v>961</v>
      </c>
      <c r="F591">
        <v>743215.27</v>
      </c>
    </row>
    <row r="592" spans="1:6" x14ac:dyDescent="0.3">
      <c r="A592">
        <v>2023</v>
      </c>
      <c r="B592">
        <v>7</v>
      </c>
      <c r="C592" t="s">
        <v>43</v>
      </c>
      <c r="D592" t="s">
        <v>49</v>
      </c>
      <c r="E592">
        <v>66</v>
      </c>
      <c r="F592">
        <v>38040.25</v>
      </c>
    </row>
    <row r="593" spans="1:6" x14ac:dyDescent="0.3">
      <c r="A593">
        <v>2023</v>
      </c>
      <c r="B593">
        <v>7</v>
      </c>
      <c r="C593" t="s">
        <v>43</v>
      </c>
      <c r="D593" t="s">
        <v>35</v>
      </c>
      <c r="E593">
        <v>497</v>
      </c>
      <c r="F593">
        <v>405722.02</v>
      </c>
    </row>
    <row r="594" spans="1:6" x14ac:dyDescent="0.3">
      <c r="A594">
        <v>2023</v>
      </c>
      <c r="B594">
        <v>7</v>
      </c>
      <c r="C594" t="s">
        <v>43</v>
      </c>
      <c r="D594" t="s">
        <v>36</v>
      </c>
      <c r="E594">
        <v>515</v>
      </c>
      <c r="F594">
        <v>421076.39</v>
      </c>
    </row>
    <row r="595" spans="1:6" x14ac:dyDescent="0.3">
      <c r="A595">
        <v>2023</v>
      </c>
      <c r="B595">
        <v>7</v>
      </c>
      <c r="C595" t="s">
        <v>43</v>
      </c>
      <c r="D595" t="s">
        <v>37</v>
      </c>
      <c r="E595">
        <v>407</v>
      </c>
      <c r="F595">
        <v>305919.78999999998</v>
      </c>
    </row>
    <row r="596" spans="1:6" x14ac:dyDescent="0.3">
      <c r="A596">
        <v>2023</v>
      </c>
      <c r="B596">
        <v>8</v>
      </c>
      <c r="C596" t="s">
        <v>44</v>
      </c>
      <c r="D596" t="s">
        <v>7</v>
      </c>
      <c r="E596">
        <v>506</v>
      </c>
      <c r="F596">
        <v>439398.81</v>
      </c>
    </row>
    <row r="597" spans="1:6" x14ac:dyDescent="0.3">
      <c r="A597">
        <v>2023</v>
      </c>
      <c r="B597">
        <v>8</v>
      </c>
      <c r="C597" t="s">
        <v>44</v>
      </c>
      <c r="D597" t="s">
        <v>8</v>
      </c>
      <c r="E597">
        <v>207</v>
      </c>
      <c r="F597">
        <v>143529.35</v>
      </c>
    </row>
    <row r="598" spans="1:6" x14ac:dyDescent="0.3">
      <c r="A598">
        <v>2023</v>
      </c>
      <c r="B598">
        <v>8</v>
      </c>
      <c r="C598" t="s">
        <v>44</v>
      </c>
      <c r="D598" t="s">
        <v>9</v>
      </c>
      <c r="E598">
        <v>165</v>
      </c>
      <c r="F598">
        <v>121022.36</v>
      </c>
    </row>
    <row r="599" spans="1:6" x14ac:dyDescent="0.3">
      <c r="A599">
        <v>2023</v>
      </c>
      <c r="B599">
        <v>8</v>
      </c>
      <c r="C599" t="s">
        <v>44</v>
      </c>
      <c r="D599" t="s">
        <v>10</v>
      </c>
      <c r="E599">
        <v>447</v>
      </c>
      <c r="F599">
        <v>364812.58</v>
      </c>
    </row>
    <row r="600" spans="1:6" x14ac:dyDescent="0.3">
      <c r="A600">
        <v>2023</v>
      </c>
      <c r="B600">
        <v>8</v>
      </c>
      <c r="C600" t="s">
        <v>44</v>
      </c>
      <c r="D600" t="s">
        <v>11</v>
      </c>
      <c r="E600">
        <v>519</v>
      </c>
      <c r="F600">
        <v>380953.64</v>
      </c>
    </row>
    <row r="601" spans="1:6" x14ac:dyDescent="0.3">
      <c r="A601">
        <v>2023</v>
      </c>
      <c r="B601">
        <v>8</v>
      </c>
      <c r="C601" t="s">
        <v>44</v>
      </c>
      <c r="D601" t="s">
        <v>12</v>
      </c>
      <c r="E601">
        <v>197</v>
      </c>
      <c r="F601">
        <v>121726.7</v>
      </c>
    </row>
    <row r="602" spans="1:6" x14ac:dyDescent="0.3">
      <c r="A602">
        <v>2023</v>
      </c>
      <c r="B602">
        <v>8</v>
      </c>
      <c r="C602" t="s">
        <v>44</v>
      </c>
      <c r="D602" t="s">
        <v>13</v>
      </c>
      <c r="E602">
        <v>317</v>
      </c>
      <c r="F602">
        <v>195574.02</v>
      </c>
    </row>
    <row r="603" spans="1:6" x14ac:dyDescent="0.3">
      <c r="A603">
        <v>2023</v>
      </c>
      <c r="B603">
        <v>8</v>
      </c>
      <c r="C603" t="s">
        <v>44</v>
      </c>
      <c r="D603" t="s">
        <v>14</v>
      </c>
      <c r="E603">
        <v>121</v>
      </c>
      <c r="F603">
        <v>85888.61</v>
      </c>
    </row>
    <row r="604" spans="1:6" x14ac:dyDescent="0.3">
      <c r="A604">
        <v>2023</v>
      </c>
      <c r="B604">
        <v>8</v>
      </c>
      <c r="C604" t="s">
        <v>44</v>
      </c>
      <c r="D604" t="s">
        <v>15</v>
      </c>
      <c r="E604">
        <v>49</v>
      </c>
      <c r="F604">
        <v>33842.410000000003</v>
      </c>
    </row>
    <row r="605" spans="1:6" x14ac:dyDescent="0.3">
      <c r="A605">
        <v>2023</v>
      </c>
      <c r="B605">
        <v>8</v>
      </c>
      <c r="C605" t="s">
        <v>44</v>
      </c>
      <c r="D605" t="s">
        <v>16</v>
      </c>
      <c r="E605">
        <v>153</v>
      </c>
      <c r="F605">
        <v>115190.81</v>
      </c>
    </row>
    <row r="606" spans="1:6" x14ac:dyDescent="0.3">
      <c r="A606">
        <v>2023</v>
      </c>
      <c r="B606">
        <v>8</v>
      </c>
      <c r="C606" t="s">
        <v>44</v>
      </c>
      <c r="D606" t="s">
        <v>17</v>
      </c>
      <c r="E606">
        <v>811</v>
      </c>
      <c r="F606">
        <v>597950.1</v>
      </c>
    </row>
    <row r="607" spans="1:6" x14ac:dyDescent="0.3">
      <c r="A607">
        <v>2023</v>
      </c>
      <c r="B607">
        <v>8</v>
      </c>
      <c r="C607" t="s">
        <v>44</v>
      </c>
      <c r="D607" t="s">
        <v>18</v>
      </c>
      <c r="E607">
        <v>661</v>
      </c>
      <c r="F607">
        <v>473650.4</v>
      </c>
    </row>
    <row r="608" spans="1:6" x14ac:dyDescent="0.3">
      <c r="A608">
        <v>2023</v>
      </c>
      <c r="B608">
        <v>8</v>
      </c>
      <c r="C608" t="s">
        <v>44</v>
      </c>
      <c r="D608" t="s">
        <v>19</v>
      </c>
      <c r="E608">
        <v>235</v>
      </c>
      <c r="F608">
        <v>159012.42000000001</v>
      </c>
    </row>
    <row r="609" spans="1:6" x14ac:dyDescent="0.3">
      <c r="A609">
        <v>2023</v>
      </c>
      <c r="B609">
        <v>8</v>
      </c>
      <c r="C609" t="s">
        <v>44</v>
      </c>
      <c r="D609" t="s">
        <v>20</v>
      </c>
      <c r="E609">
        <v>201</v>
      </c>
      <c r="F609">
        <v>151620.85</v>
      </c>
    </row>
    <row r="610" spans="1:6" x14ac:dyDescent="0.3">
      <c r="A610">
        <v>2023</v>
      </c>
      <c r="B610">
        <v>8</v>
      </c>
      <c r="C610" t="s">
        <v>44</v>
      </c>
      <c r="D610" t="s">
        <v>21</v>
      </c>
      <c r="E610">
        <v>720</v>
      </c>
      <c r="F610">
        <v>573214.94999999995</v>
      </c>
    </row>
    <row r="611" spans="1:6" x14ac:dyDescent="0.3">
      <c r="A611">
        <v>2023</v>
      </c>
      <c r="B611">
        <v>8</v>
      </c>
      <c r="C611" t="s">
        <v>44</v>
      </c>
      <c r="D611" t="s">
        <v>22</v>
      </c>
      <c r="E611">
        <v>128</v>
      </c>
      <c r="F611">
        <v>90563.45</v>
      </c>
    </row>
    <row r="612" spans="1:6" x14ac:dyDescent="0.3">
      <c r="A612">
        <v>2023</v>
      </c>
      <c r="B612">
        <v>8</v>
      </c>
      <c r="C612" t="s">
        <v>44</v>
      </c>
      <c r="D612" t="s">
        <v>23</v>
      </c>
      <c r="E612">
        <v>336</v>
      </c>
      <c r="F612">
        <v>290683.02</v>
      </c>
    </row>
    <row r="613" spans="1:6" x14ac:dyDescent="0.3">
      <c r="A613">
        <v>2023</v>
      </c>
      <c r="B613">
        <v>8</v>
      </c>
      <c r="C613" t="s">
        <v>44</v>
      </c>
      <c r="D613" t="s">
        <v>24</v>
      </c>
      <c r="E613">
        <v>170</v>
      </c>
      <c r="F613">
        <v>119984.54</v>
      </c>
    </row>
    <row r="614" spans="1:6" x14ac:dyDescent="0.3">
      <c r="A614">
        <v>2023</v>
      </c>
      <c r="B614">
        <v>8</v>
      </c>
      <c r="C614" t="s">
        <v>44</v>
      </c>
      <c r="D614" t="s">
        <v>25</v>
      </c>
      <c r="E614">
        <v>413</v>
      </c>
      <c r="F614">
        <v>339894.55</v>
      </c>
    </row>
    <row r="615" spans="1:6" x14ac:dyDescent="0.3">
      <c r="A615">
        <v>2023</v>
      </c>
      <c r="B615">
        <v>8</v>
      </c>
      <c r="C615" t="s">
        <v>44</v>
      </c>
      <c r="D615" t="s">
        <v>26</v>
      </c>
      <c r="E615">
        <v>394</v>
      </c>
      <c r="F615">
        <v>302381.03999999998</v>
      </c>
    </row>
    <row r="616" spans="1:6" x14ac:dyDescent="0.3">
      <c r="A616">
        <v>2023</v>
      </c>
      <c r="B616">
        <v>8</v>
      </c>
      <c r="C616" t="s">
        <v>44</v>
      </c>
      <c r="D616" t="s">
        <v>27</v>
      </c>
      <c r="E616">
        <v>322</v>
      </c>
      <c r="F616">
        <v>292773.90000000002</v>
      </c>
    </row>
    <row r="617" spans="1:6" x14ac:dyDescent="0.3">
      <c r="A617">
        <v>2023</v>
      </c>
      <c r="B617">
        <v>8</v>
      </c>
      <c r="C617" t="s">
        <v>44</v>
      </c>
      <c r="D617" t="s">
        <v>28</v>
      </c>
      <c r="E617">
        <v>93</v>
      </c>
      <c r="F617">
        <v>66607.600000000006</v>
      </c>
    </row>
    <row r="618" spans="1:6" x14ac:dyDescent="0.3">
      <c r="A618">
        <v>2023</v>
      </c>
      <c r="B618">
        <v>8</v>
      </c>
      <c r="C618" t="s">
        <v>44</v>
      </c>
      <c r="D618" t="s">
        <v>29</v>
      </c>
      <c r="E618">
        <v>440</v>
      </c>
      <c r="F618">
        <v>331650.63</v>
      </c>
    </row>
    <row r="619" spans="1:6" x14ac:dyDescent="0.3">
      <c r="A619">
        <v>2023</v>
      </c>
      <c r="B619">
        <v>8</v>
      </c>
      <c r="C619" t="s">
        <v>44</v>
      </c>
      <c r="D619" t="s">
        <v>30</v>
      </c>
      <c r="E619">
        <v>38</v>
      </c>
      <c r="F619">
        <v>28161.59</v>
      </c>
    </row>
    <row r="620" spans="1:6" x14ac:dyDescent="0.3">
      <c r="A620">
        <v>2023</v>
      </c>
      <c r="B620">
        <v>8</v>
      </c>
      <c r="C620" t="s">
        <v>44</v>
      </c>
      <c r="D620" t="s">
        <v>31</v>
      </c>
      <c r="E620">
        <v>925</v>
      </c>
      <c r="F620">
        <v>699138.02</v>
      </c>
    </row>
    <row r="621" spans="1:6" x14ac:dyDescent="0.3">
      <c r="A621">
        <v>2023</v>
      </c>
      <c r="B621">
        <v>8</v>
      </c>
      <c r="C621" t="s">
        <v>44</v>
      </c>
      <c r="D621" t="s">
        <v>32</v>
      </c>
      <c r="E621">
        <v>483</v>
      </c>
      <c r="F621">
        <v>353885.26</v>
      </c>
    </row>
    <row r="622" spans="1:6" x14ac:dyDescent="0.3">
      <c r="A622">
        <v>2023</v>
      </c>
      <c r="B622">
        <v>8</v>
      </c>
      <c r="C622" t="s">
        <v>44</v>
      </c>
      <c r="D622" t="s">
        <v>33</v>
      </c>
      <c r="E622">
        <v>549</v>
      </c>
      <c r="F622">
        <v>413577.63</v>
      </c>
    </row>
    <row r="623" spans="1:6" x14ac:dyDescent="0.3">
      <c r="A623">
        <v>2023</v>
      </c>
      <c r="B623">
        <v>8</v>
      </c>
      <c r="C623" t="s">
        <v>44</v>
      </c>
      <c r="D623" t="s">
        <v>34</v>
      </c>
      <c r="E623">
        <v>618</v>
      </c>
      <c r="F623">
        <v>456064.55</v>
      </c>
    </row>
    <row r="624" spans="1:6" x14ac:dyDescent="0.3">
      <c r="A624">
        <v>2023</v>
      </c>
      <c r="B624">
        <v>8</v>
      </c>
      <c r="C624" t="s">
        <v>44</v>
      </c>
      <c r="D624" t="s">
        <v>49</v>
      </c>
      <c r="E624">
        <v>76</v>
      </c>
      <c r="F624">
        <v>47493</v>
      </c>
    </row>
    <row r="625" spans="1:6" x14ac:dyDescent="0.3">
      <c r="A625">
        <v>2023</v>
      </c>
      <c r="B625">
        <v>8</v>
      </c>
      <c r="C625" t="s">
        <v>44</v>
      </c>
      <c r="D625" t="s">
        <v>35</v>
      </c>
      <c r="E625">
        <v>413</v>
      </c>
      <c r="F625">
        <v>330093.46000000002</v>
      </c>
    </row>
    <row r="626" spans="1:6" x14ac:dyDescent="0.3">
      <c r="A626">
        <v>2023</v>
      </c>
      <c r="B626">
        <v>8</v>
      </c>
      <c r="C626" t="s">
        <v>44</v>
      </c>
      <c r="D626" t="s">
        <v>36</v>
      </c>
      <c r="E626">
        <v>157</v>
      </c>
      <c r="F626">
        <v>127894.44</v>
      </c>
    </row>
    <row r="627" spans="1:6" x14ac:dyDescent="0.3">
      <c r="A627">
        <v>2023</v>
      </c>
      <c r="B627">
        <v>8</v>
      </c>
      <c r="C627" t="s">
        <v>44</v>
      </c>
      <c r="D627" t="s">
        <v>37</v>
      </c>
      <c r="E627">
        <v>383</v>
      </c>
      <c r="F627">
        <v>290905.90999999997</v>
      </c>
    </row>
    <row r="628" spans="1:6" x14ac:dyDescent="0.3">
      <c r="A628">
        <v>2023</v>
      </c>
      <c r="B628">
        <v>9</v>
      </c>
      <c r="C628" t="s">
        <v>45</v>
      </c>
      <c r="D628" t="s">
        <v>7</v>
      </c>
      <c r="E628">
        <v>155</v>
      </c>
      <c r="F628">
        <v>132482.49</v>
      </c>
    </row>
    <row r="629" spans="1:6" x14ac:dyDescent="0.3">
      <c r="A629">
        <v>2023</v>
      </c>
      <c r="B629">
        <v>9</v>
      </c>
      <c r="C629" t="s">
        <v>45</v>
      </c>
      <c r="D629" t="s">
        <v>8</v>
      </c>
      <c r="E629">
        <v>106</v>
      </c>
      <c r="F629">
        <v>75331.179999999993</v>
      </c>
    </row>
    <row r="630" spans="1:6" x14ac:dyDescent="0.3">
      <c r="A630">
        <v>2023</v>
      </c>
      <c r="B630">
        <v>9</v>
      </c>
      <c r="C630" t="s">
        <v>45</v>
      </c>
      <c r="D630" t="s">
        <v>9</v>
      </c>
      <c r="E630">
        <v>132</v>
      </c>
      <c r="F630">
        <v>95138.12</v>
      </c>
    </row>
    <row r="631" spans="1:6" x14ac:dyDescent="0.3">
      <c r="A631">
        <v>2023</v>
      </c>
      <c r="B631">
        <v>9</v>
      </c>
      <c r="C631" t="s">
        <v>45</v>
      </c>
      <c r="D631" t="s">
        <v>10</v>
      </c>
      <c r="E631">
        <v>263</v>
      </c>
      <c r="F631">
        <v>230831</v>
      </c>
    </row>
    <row r="632" spans="1:6" x14ac:dyDescent="0.3">
      <c r="A632">
        <v>2023</v>
      </c>
      <c r="B632">
        <v>9</v>
      </c>
      <c r="C632" t="s">
        <v>45</v>
      </c>
      <c r="D632" t="s">
        <v>11</v>
      </c>
      <c r="E632">
        <v>227</v>
      </c>
      <c r="F632">
        <v>164292.13</v>
      </c>
    </row>
    <row r="633" spans="1:6" x14ac:dyDescent="0.3">
      <c r="A633">
        <v>2023</v>
      </c>
      <c r="B633">
        <v>9</v>
      </c>
      <c r="C633" t="s">
        <v>45</v>
      </c>
      <c r="D633" t="s">
        <v>12</v>
      </c>
      <c r="E633">
        <v>155</v>
      </c>
      <c r="F633">
        <v>112438.48</v>
      </c>
    </row>
    <row r="634" spans="1:6" x14ac:dyDescent="0.3">
      <c r="A634">
        <v>2023</v>
      </c>
      <c r="B634">
        <v>9</v>
      </c>
      <c r="C634" t="s">
        <v>45</v>
      </c>
      <c r="D634" t="s">
        <v>13</v>
      </c>
      <c r="E634">
        <v>194</v>
      </c>
      <c r="F634">
        <v>134080.89000000001</v>
      </c>
    </row>
    <row r="635" spans="1:6" x14ac:dyDescent="0.3">
      <c r="A635">
        <v>2023</v>
      </c>
      <c r="B635">
        <v>9</v>
      </c>
      <c r="C635" t="s">
        <v>45</v>
      </c>
      <c r="D635" t="s">
        <v>14</v>
      </c>
      <c r="E635">
        <v>82</v>
      </c>
      <c r="F635">
        <v>61850.47</v>
      </c>
    </row>
    <row r="636" spans="1:6" x14ac:dyDescent="0.3">
      <c r="A636">
        <v>2023</v>
      </c>
      <c r="B636">
        <v>9</v>
      </c>
      <c r="C636" t="s">
        <v>45</v>
      </c>
      <c r="D636" t="s">
        <v>15</v>
      </c>
      <c r="E636">
        <v>41</v>
      </c>
      <c r="F636">
        <v>31142.22</v>
      </c>
    </row>
    <row r="637" spans="1:6" x14ac:dyDescent="0.3">
      <c r="A637">
        <v>2023</v>
      </c>
      <c r="B637">
        <v>9</v>
      </c>
      <c r="C637" t="s">
        <v>45</v>
      </c>
      <c r="D637" t="s">
        <v>16</v>
      </c>
      <c r="E637">
        <v>62</v>
      </c>
      <c r="F637">
        <v>49835.88</v>
      </c>
    </row>
    <row r="638" spans="1:6" x14ac:dyDescent="0.3">
      <c r="A638">
        <v>2023</v>
      </c>
      <c r="B638">
        <v>9</v>
      </c>
      <c r="C638" t="s">
        <v>45</v>
      </c>
      <c r="D638" t="s">
        <v>17</v>
      </c>
      <c r="E638">
        <v>401</v>
      </c>
      <c r="F638">
        <v>284715.76</v>
      </c>
    </row>
    <row r="639" spans="1:6" x14ac:dyDescent="0.3">
      <c r="A639">
        <v>2023</v>
      </c>
      <c r="B639">
        <v>9</v>
      </c>
      <c r="C639" t="s">
        <v>45</v>
      </c>
      <c r="D639" t="s">
        <v>18</v>
      </c>
      <c r="E639">
        <v>314</v>
      </c>
      <c r="F639">
        <v>272497.65000000002</v>
      </c>
    </row>
    <row r="640" spans="1:6" x14ac:dyDescent="0.3">
      <c r="A640">
        <v>2023</v>
      </c>
      <c r="B640">
        <v>9</v>
      </c>
      <c r="C640" t="s">
        <v>45</v>
      </c>
      <c r="D640" t="s">
        <v>19</v>
      </c>
      <c r="E640">
        <v>115</v>
      </c>
      <c r="F640">
        <v>79969.5</v>
      </c>
    </row>
    <row r="641" spans="1:6" x14ac:dyDescent="0.3">
      <c r="A641">
        <v>2023</v>
      </c>
      <c r="B641">
        <v>9</v>
      </c>
      <c r="C641" t="s">
        <v>45</v>
      </c>
      <c r="D641" t="s">
        <v>20</v>
      </c>
      <c r="E641">
        <v>122</v>
      </c>
      <c r="F641">
        <v>94477.17</v>
      </c>
    </row>
    <row r="642" spans="1:6" x14ac:dyDescent="0.3">
      <c r="A642">
        <v>2023</v>
      </c>
      <c r="B642">
        <v>9</v>
      </c>
      <c r="C642" t="s">
        <v>45</v>
      </c>
      <c r="D642" t="s">
        <v>21</v>
      </c>
      <c r="E642">
        <v>359</v>
      </c>
      <c r="F642">
        <v>297136.90000000002</v>
      </c>
    </row>
    <row r="643" spans="1:6" x14ac:dyDescent="0.3">
      <c r="A643">
        <v>2023</v>
      </c>
      <c r="B643">
        <v>9</v>
      </c>
      <c r="C643" t="s">
        <v>45</v>
      </c>
      <c r="D643" t="s">
        <v>22</v>
      </c>
      <c r="E643">
        <v>132</v>
      </c>
      <c r="F643">
        <v>97181.11</v>
      </c>
    </row>
    <row r="644" spans="1:6" x14ac:dyDescent="0.3">
      <c r="A644">
        <v>2023</v>
      </c>
      <c r="B644">
        <v>9</v>
      </c>
      <c r="C644" t="s">
        <v>45</v>
      </c>
      <c r="D644" t="s">
        <v>23</v>
      </c>
      <c r="E644">
        <v>133</v>
      </c>
      <c r="F644">
        <v>113392.3</v>
      </c>
    </row>
    <row r="645" spans="1:6" x14ac:dyDescent="0.3">
      <c r="A645">
        <v>2023</v>
      </c>
      <c r="B645">
        <v>9</v>
      </c>
      <c r="C645" t="s">
        <v>45</v>
      </c>
      <c r="D645" t="s">
        <v>24</v>
      </c>
      <c r="E645">
        <v>164</v>
      </c>
      <c r="F645">
        <v>120512.1</v>
      </c>
    </row>
    <row r="646" spans="1:6" x14ac:dyDescent="0.3">
      <c r="A646">
        <v>2023</v>
      </c>
      <c r="B646">
        <v>9</v>
      </c>
      <c r="C646" t="s">
        <v>45</v>
      </c>
      <c r="D646" t="s">
        <v>25</v>
      </c>
      <c r="E646">
        <v>165</v>
      </c>
      <c r="F646">
        <v>151341.29999999999</v>
      </c>
    </row>
    <row r="647" spans="1:6" x14ac:dyDescent="0.3">
      <c r="A647">
        <v>2023</v>
      </c>
      <c r="B647">
        <v>9</v>
      </c>
      <c r="C647" t="s">
        <v>45</v>
      </c>
      <c r="D647" t="s">
        <v>26</v>
      </c>
      <c r="E647">
        <v>157</v>
      </c>
      <c r="F647">
        <v>126657.53</v>
      </c>
    </row>
    <row r="648" spans="1:6" x14ac:dyDescent="0.3">
      <c r="A648">
        <v>2023</v>
      </c>
      <c r="B648">
        <v>9</v>
      </c>
      <c r="C648" t="s">
        <v>45</v>
      </c>
      <c r="D648" t="s">
        <v>27</v>
      </c>
      <c r="E648">
        <v>116</v>
      </c>
      <c r="F648">
        <v>111322.84</v>
      </c>
    </row>
    <row r="649" spans="1:6" x14ac:dyDescent="0.3">
      <c r="A649">
        <v>2023</v>
      </c>
      <c r="B649">
        <v>9</v>
      </c>
      <c r="C649" t="s">
        <v>45</v>
      </c>
      <c r="D649" t="s">
        <v>28</v>
      </c>
      <c r="E649">
        <v>39</v>
      </c>
      <c r="F649">
        <v>27341.32</v>
      </c>
    </row>
    <row r="650" spans="1:6" x14ac:dyDescent="0.3">
      <c r="A650">
        <v>2023</v>
      </c>
      <c r="B650">
        <v>9</v>
      </c>
      <c r="C650" t="s">
        <v>45</v>
      </c>
      <c r="D650" t="s">
        <v>29</v>
      </c>
      <c r="E650">
        <v>285</v>
      </c>
      <c r="F650">
        <v>224677.55</v>
      </c>
    </row>
    <row r="651" spans="1:6" x14ac:dyDescent="0.3">
      <c r="A651">
        <v>2023</v>
      </c>
      <c r="B651">
        <v>9</v>
      </c>
      <c r="C651" t="s">
        <v>45</v>
      </c>
      <c r="D651" t="s">
        <v>30</v>
      </c>
      <c r="E651">
        <v>47</v>
      </c>
      <c r="F651">
        <v>36859.620000000003</v>
      </c>
    </row>
    <row r="652" spans="1:6" x14ac:dyDescent="0.3">
      <c r="A652">
        <v>2023</v>
      </c>
      <c r="B652">
        <v>9</v>
      </c>
      <c r="C652" t="s">
        <v>45</v>
      </c>
      <c r="D652" t="s">
        <v>31</v>
      </c>
      <c r="E652">
        <v>402</v>
      </c>
      <c r="F652">
        <v>326641.15999999997</v>
      </c>
    </row>
    <row r="653" spans="1:6" x14ac:dyDescent="0.3">
      <c r="A653">
        <v>2023</v>
      </c>
      <c r="B653">
        <v>9</v>
      </c>
      <c r="C653" t="s">
        <v>45</v>
      </c>
      <c r="D653" t="s">
        <v>32</v>
      </c>
      <c r="E653">
        <v>258</v>
      </c>
      <c r="F653">
        <v>181988.64</v>
      </c>
    </row>
    <row r="654" spans="1:6" x14ac:dyDescent="0.3">
      <c r="A654">
        <v>2023</v>
      </c>
      <c r="B654">
        <v>9</v>
      </c>
      <c r="C654" t="s">
        <v>45</v>
      </c>
      <c r="D654" t="s">
        <v>33</v>
      </c>
      <c r="E654">
        <v>399</v>
      </c>
      <c r="F654">
        <v>334227.8</v>
      </c>
    </row>
    <row r="655" spans="1:6" x14ac:dyDescent="0.3">
      <c r="A655">
        <v>2023</v>
      </c>
      <c r="B655">
        <v>9</v>
      </c>
      <c r="C655" t="s">
        <v>45</v>
      </c>
      <c r="D655" t="s">
        <v>34</v>
      </c>
      <c r="E655">
        <v>340</v>
      </c>
      <c r="F655">
        <v>246941.12</v>
      </c>
    </row>
    <row r="656" spans="1:6" x14ac:dyDescent="0.3">
      <c r="A656">
        <v>2023</v>
      </c>
      <c r="B656">
        <v>9</v>
      </c>
      <c r="C656" t="s">
        <v>45</v>
      </c>
      <c r="D656" t="s">
        <v>49</v>
      </c>
      <c r="E656">
        <v>37</v>
      </c>
      <c r="F656">
        <v>21895.5</v>
      </c>
    </row>
    <row r="657" spans="1:6" x14ac:dyDescent="0.3">
      <c r="A657">
        <v>2023</v>
      </c>
      <c r="B657">
        <v>9</v>
      </c>
      <c r="C657" t="s">
        <v>45</v>
      </c>
      <c r="D657" t="s">
        <v>35</v>
      </c>
      <c r="E657">
        <v>181</v>
      </c>
      <c r="F657">
        <v>132023.28</v>
      </c>
    </row>
    <row r="658" spans="1:6" x14ac:dyDescent="0.3">
      <c r="A658">
        <v>2023</v>
      </c>
      <c r="B658">
        <v>9</v>
      </c>
      <c r="C658" t="s">
        <v>45</v>
      </c>
      <c r="D658" t="s">
        <v>36</v>
      </c>
      <c r="E658">
        <v>113</v>
      </c>
      <c r="F658">
        <v>92787.66</v>
      </c>
    </row>
    <row r="659" spans="1:6" x14ac:dyDescent="0.3">
      <c r="A659">
        <v>2023</v>
      </c>
      <c r="B659">
        <v>9</v>
      </c>
      <c r="C659" t="s">
        <v>45</v>
      </c>
      <c r="D659" t="s">
        <v>37</v>
      </c>
      <c r="E659">
        <v>252</v>
      </c>
      <c r="F659">
        <v>207409.69</v>
      </c>
    </row>
    <row r="660" spans="1:6" x14ac:dyDescent="0.3">
      <c r="A660">
        <v>2023</v>
      </c>
      <c r="B660">
        <v>10</v>
      </c>
      <c r="C660" t="s">
        <v>46</v>
      </c>
      <c r="D660" t="s">
        <v>7</v>
      </c>
      <c r="E660">
        <v>81</v>
      </c>
      <c r="F660">
        <v>77463.13</v>
      </c>
    </row>
    <row r="661" spans="1:6" x14ac:dyDescent="0.3">
      <c r="A661">
        <v>2023</v>
      </c>
      <c r="B661">
        <v>10</v>
      </c>
      <c r="C661" t="s">
        <v>46</v>
      </c>
      <c r="D661" t="s">
        <v>8</v>
      </c>
      <c r="E661">
        <v>65</v>
      </c>
      <c r="F661">
        <v>48784.54</v>
      </c>
    </row>
    <row r="662" spans="1:6" x14ac:dyDescent="0.3">
      <c r="A662">
        <v>2023</v>
      </c>
      <c r="B662">
        <v>10</v>
      </c>
      <c r="C662" t="s">
        <v>46</v>
      </c>
      <c r="D662" t="s">
        <v>9</v>
      </c>
      <c r="E662">
        <v>20</v>
      </c>
      <c r="F662">
        <v>15251.71</v>
      </c>
    </row>
    <row r="663" spans="1:6" x14ac:dyDescent="0.3">
      <c r="A663">
        <v>2023</v>
      </c>
      <c r="B663">
        <v>10</v>
      </c>
      <c r="C663" t="s">
        <v>46</v>
      </c>
      <c r="D663" t="s">
        <v>10</v>
      </c>
      <c r="E663">
        <v>180</v>
      </c>
      <c r="F663">
        <v>185769.39</v>
      </c>
    </row>
    <row r="664" spans="1:6" x14ac:dyDescent="0.3">
      <c r="A664">
        <v>2023</v>
      </c>
      <c r="B664">
        <v>10</v>
      </c>
      <c r="C664" t="s">
        <v>46</v>
      </c>
      <c r="D664" t="s">
        <v>11</v>
      </c>
      <c r="E664">
        <v>137</v>
      </c>
      <c r="F664">
        <v>108627.15</v>
      </c>
    </row>
    <row r="665" spans="1:6" x14ac:dyDescent="0.3">
      <c r="A665">
        <v>2023</v>
      </c>
      <c r="B665">
        <v>10</v>
      </c>
      <c r="C665" t="s">
        <v>46</v>
      </c>
      <c r="D665" t="s">
        <v>12</v>
      </c>
      <c r="E665">
        <v>126</v>
      </c>
      <c r="F665">
        <v>89190.36</v>
      </c>
    </row>
    <row r="666" spans="1:6" x14ac:dyDescent="0.3">
      <c r="A666">
        <v>2023</v>
      </c>
      <c r="B666">
        <v>10</v>
      </c>
      <c r="C666" t="s">
        <v>46</v>
      </c>
      <c r="D666" t="s">
        <v>13</v>
      </c>
      <c r="E666">
        <v>174</v>
      </c>
      <c r="F666">
        <v>125079.16</v>
      </c>
    </row>
    <row r="667" spans="1:6" x14ac:dyDescent="0.3">
      <c r="A667">
        <v>2023</v>
      </c>
      <c r="B667">
        <v>10</v>
      </c>
      <c r="C667" t="s">
        <v>46</v>
      </c>
      <c r="D667" t="s">
        <v>14</v>
      </c>
      <c r="E667">
        <v>106</v>
      </c>
      <c r="F667">
        <v>80365.52</v>
      </c>
    </row>
    <row r="668" spans="1:6" x14ac:dyDescent="0.3">
      <c r="A668">
        <v>2023</v>
      </c>
      <c r="B668">
        <v>10</v>
      </c>
      <c r="C668" t="s">
        <v>46</v>
      </c>
      <c r="D668" t="s">
        <v>15</v>
      </c>
      <c r="E668">
        <v>40</v>
      </c>
      <c r="F668">
        <v>29013.03</v>
      </c>
    </row>
    <row r="669" spans="1:6" x14ac:dyDescent="0.3">
      <c r="A669">
        <v>2023</v>
      </c>
      <c r="B669">
        <v>10</v>
      </c>
      <c r="C669" t="s">
        <v>46</v>
      </c>
      <c r="D669" t="s">
        <v>16</v>
      </c>
      <c r="E669">
        <v>54</v>
      </c>
      <c r="F669">
        <v>36101.339999999997</v>
      </c>
    </row>
    <row r="670" spans="1:6" x14ac:dyDescent="0.3">
      <c r="A670">
        <v>2023</v>
      </c>
      <c r="B670">
        <v>10</v>
      </c>
      <c r="C670" t="s">
        <v>46</v>
      </c>
      <c r="D670" t="s">
        <v>17</v>
      </c>
      <c r="E670">
        <v>287</v>
      </c>
      <c r="F670">
        <v>224851.03</v>
      </c>
    </row>
    <row r="671" spans="1:6" x14ac:dyDescent="0.3">
      <c r="A671">
        <v>2023</v>
      </c>
      <c r="B671">
        <v>10</v>
      </c>
      <c r="C671" t="s">
        <v>46</v>
      </c>
      <c r="D671" t="s">
        <v>18</v>
      </c>
      <c r="E671">
        <v>222</v>
      </c>
      <c r="F671">
        <v>192419.13</v>
      </c>
    </row>
    <row r="672" spans="1:6" x14ac:dyDescent="0.3">
      <c r="A672">
        <v>2023</v>
      </c>
      <c r="B672">
        <v>10</v>
      </c>
      <c r="C672" t="s">
        <v>46</v>
      </c>
      <c r="D672" t="s">
        <v>19</v>
      </c>
      <c r="E672">
        <v>65</v>
      </c>
      <c r="F672">
        <v>45020.39</v>
      </c>
    </row>
    <row r="673" spans="1:6" x14ac:dyDescent="0.3">
      <c r="A673">
        <v>2023</v>
      </c>
      <c r="B673">
        <v>10</v>
      </c>
      <c r="C673" t="s">
        <v>46</v>
      </c>
      <c r="D673" t="s">
        <v>20</v>
      </c>
      <c r="E673">
        <v>92</v>
      </c>
      <c r="F673">
        <v>75217.460000000006</v>
      </c>
    </row>
    <row r="674" spans="1:6" x14ac:dyDescent="0.3">
      <c r="A674">
        <v>2023</v>
      </c>
      <c r="B674">
        <v>10</v>
      </c>
      <c r="C674" t="s">
        <v>46</v>
      </c>
      <c r="D674" t="s">
        <v>21</v>
      </c>
      <c r="E674">
        <v>217</v>
      </c>
      <c r="F674">
        <v>192529.21</v>
      </c>
    </row>
    <row r="675" spans="1:6" x14ac:dyDescent="0.3">
      <c r="A675">
        <v>2023</v>
      </c>
      <c r="B675">
        <v>10</v>
      </c>
      <c r="C675" t="s">
        <v>46</v>
      </c>
      <c r="D675" t="s">
        <v>22</v>
      </c>
      <c r="E675">
        <v>86</v>
      </c>
      <c r="F675">
        <v>59532.4</v>
      </c>
    </row>
    <row r="676" spans="1:6" x14ac:dyDescent="0.3">
      <c r="A676">
        <v>2023</v>
      </c>
      <c r="B676">
        <v>10</v>
      </c>
      <c r="C676" t="s">
        <v>46</v>
      </c>
      <c r="D676" t="s">
        <v>23</v>
      </c>
      <c r="E676">
        <v>95</v>
      </c>
      <c r="F676">
        <v>88031.54</v>
      </c>
    </row>
    <row r="677" spans="1:6" x14ac:dyDescent="0.3">
      <c r="A677">
        <v>2023</v>
      </c>
      <c r="B677">
        <v>10</v>
      </c>
      <c r="C677" t="s">
        <v>46</v>
      </c>
      <c r="D677" t="s">
        <v>24</v>
      </c>
      <c r="E677">
        <v>108</v>
      </c>
      <c r="F677">
        <v>78547.09</v>
      </c>
    </row>
    <row r="678" spans="1:6" x14ac:dyDescent="0.3">
      <c r="A678">
        <v>2023</v>
      </c>
      <c r="B678">
        <v>10</v>
      </c>
      <c r="C678" t="s">
        <v>46</v>
      </c>
      <c r="D678" t="s">
        <v>25</v>
      </c>
      <c r="E678">
        <v>154</v>
      </c>
      <c r="F678">
        <v>124757.61</v>
      </c>
    </row>
    <row r="679" spans="1:6" x14ac:dyDescent="0.3">
      <c r="A679">
        <v>2023</v>
      </c>
      <c r="B679">
        <v>10</v>
      </c>
      <c r="C679" t="s">
        <v>46</v>
      </c>
      <c r="D679" t="s">
        <v>26</v>
      </c>
      <c r="E679">
        <v>74</v>
      </c>
      <c r="F679">
        <v>64699.93</v>
      </c>
    </row>
    <row r="680" spans="1:6" x14ac:dyDescent="0.3">
      <c r="A680">
        <v>2023</v>
      </c>
      <c r="B680">
        <v>10</v>
      </c>
      <c r="C680" t="s">
        <v>46</v>
      </c>
      <c r="D680" t="s">
        <v>27</v>
      </c>
      <c r="E680">
        <v>109</v>
      </c>
      <c r="F680">
        <v>122243.2</v>
      </c>
    </row>
    <row r="681" spans="1:6" x14ac:dyDescent="0.3">
      <c r="A681">
        <v>2023</v>
      </c>
      <c r="B681">
        <v>10</v>
      </c>
      <c r="C681" t="s">
        <v>46</v>
      </c>
      <c r="D681" t="s">
        <v>28</v>
      </c>
      <c r="E681">
        <v>20</v>
      </c>
      <c r="F681">
        <v>12428.7</v>
      </c>
    </row>
    <row r="682" spans="1:6" x14ac:dyDescent="0.3">
      <c r="A682">
        <v>2023</v>
      </c>
      <c r="B682">
        <v>10</v>
      </c>
      <c r="C682" t="s">
        <v>46</v>
      </c>
      <c r="D682" t="s">
        <v>29</v>
      </c>
      <c r="E682">
        <v>201</v>
      </c>
      <c r="F682">
        <v>187994.38</v>
      </c>
    </row>
    <row r="683" spans="1:6" x14ac:dyDescent="0.3">
      <c r="A683">
        <v>2023</v>
      </c>
      <c r="B683">
        <v>10</v>
      </c>
      <c r="C683" t="s">
        <v>46</v>
      </c>
      <c r="D683" t="s">
        <v>30</v>
      </c>
      <c r="E683">
        <v>39</v>
      </c>
      <c r="F683">
        <v>28026.38</v>
      </c>
    </row>
    <row r="684" spans="1:6" x14ac:dyDescent="0.3">
      <c r="A684">
        <v>2023</v>
      </c>
      <c r="B684">
        <v>10</v>
      </c>
      <c r="C684" t="s">
        <v>46</v>
      </c>
      <c r="D684" t="s">
        <v>31</v>
      </c>
      <c r="E684">
        <v>332</v>
      </c>
      <c r="F684">
        <v>279042.94</v>
      </c>
    </row>
    <row r="685" spans="1:6" x14ac:dyDescent="0.3">
      <c r="A685">
        <v>2023</v>
      </c>
      <c r="B685">
        <v>10</v>
      </c>
      <c r="C685" t="s">
        <v>46</v>
      </c>
      <c r="D685" t="s">
        <v>32</v>
      </c>
      <c r="E685">
        <v>185</v>
      </c>
      <c r="F685">
        <v>149424.57999999999</v>
      </c>
    </row>
    <row r="686" spans="1:6" x14ac:dyDescent="0.3">
      <c r="A686">
        <v>2023</v>
      </c>
      <c r="B686">
        <v>10</v>
      </c>
      <c r="C686" t="s">
        <v>46</v>
      </c>
      <c r="D686" t="s">
        <v>33</v>
      </c>
      <c r="E686">
        <v>256</v>
      </c>
      <c r="F686">
        <v>224502.3</v>
      </c>
    </row>
    <row r="687" spans="1:6" x14ac:dyDescent="0.3">
      <c r="A687">
        <v>2023</v>
      </c>
      <c r="B687">
        <v>10</v>
      </c>
      <c r="C687" t="s">
        <v>46</v>
      </c>
      <c r="D687" t="s">
        <v>34</v>
      </c>
      <c r="E687">
        <v>218</v>
      </c>
      <c r="F687">
        <v>168392.57</v>
      </c>
    </row>
    <row r="688" spans="1:6" x14ac:dyDescent="0.3">
      <c r="A688">
        <v>2023</v>
      </c>
      <c r="B688">
        <v>10</v>
      </c>
      <c r="C688" t="s">
        <v>46</v>
      </c>
      <c r="D688" t="s">
        <v>49</v>
      </c>
      <c r="E688">
        <v>16</v>
      </c>
      <c r="F688">
        <v>11680</v>
      </c>
    </row>
    <row r="689" spans="1:6" x14ac:dyDescent="0.3">
      <c r="A689">
        <v>2023</v>
      </c>
      <c r="B689">
        <v>10</v>
      </c>
      <c r="C689" t="s">
        <v>46</v>
      </c>
      <c r="D689" t="s">
        <v>35</v>
      </c>
      <c r="E689">
        <v>96</v>
      </c>
      <c r="F689">
        <v>77032.789999999994</v>
      </c>
    </row>
    <row r="690" spans="1:6" x14ac:dyDescent="0.3">
      <c r="A690">
        <v>2023</v>
      </c>
      <c r="B690">
        <v>10</v>
      </c>
      <c r="C690" t="s">
        <v>46</v>
      </c>
      <c r="D690" t="s">
        <v>36</v>
      </c>
      <c r="E690">
        <v>111</v>
      </c>
      <c r="F690">
        <v>92638.16</v>
      </c>
    </row>
    <row r="691" spans="1:6" x14ac:dyDescent="0.3">
      <c r="A691">
        <v>2023</v>
      </c>
      <c r="B691">
        <v>10</v>
      </c>
      <c r="C691" t="s">
        <v>46</v>
      </c>
      <c r="D691" t="s">
        <v>37</v>
      </c>
      <c r="E691">
        <v>182</v>
      </c>
      <c r="F691">
        <v>156565.95000000001</v>
      </c>
    </row>
    <row r="692" spans="1:6" x14ac:dyDescent="0.3">
      <c r="A692">
        <v>2023</v>
      </c>
      <c r="B692">
        <v>11</v>
      </c>
      <c r="C692" t="s">
        <v>47</v>
      </c>
      <c r="D692" t="s">
        <v>7</v>
      </c>
      <c r="E692">
        <v>37</v>
      </c>
      <c r="F692">
        <v>35340.18</v>
      </c>
    </row>
    <row r="693" spans="1:6" x14ac:dyDescent="0.3">
      <c r="A693">
        <v>2023</v>
      </c>
      <c r="B693">
        <v>11</v>
      </c>
      <c r="C693" t="s">
        <v>47</v>
      </c>
      <c r="D693" t="s">
        <v>8</v>
      </c>
      <c r="E693">
        <v>56</v>
      </c>
      <c r="F693">
        <v>41578.660000000003</v>
      </c>
    </row>
    <row r="694" spans="1:6" x14ac:dyDescent="0.3">
      <c r="A694">
        <v>2023</v>
      </c>
      <c r="B694">
        <v>11</v>
      </c>
      <c r="C694" t="s">
        <v>47</v>
      </c>
      <c r="D694" t="s">
        <v>9</v>
      </c>
      <c r="E694">
        <v>21</v>
      </c>
      <c r="F694">
        <v>17213.580000000002</v>
      </c>
    </row>
    <row r="695" spans="1:6" x14ac:dyDescent="0.3">
      <c r="A695">
        <v>2023</v>
      </c>
      <c r="B695">
        <v>11</v>
      </c>
      <c r="C695" t="s">
        <v>47</v>
      </c>
      <c r="D695" t="s">
        <v>10</v>
      </c>
      <c r="E695">
        <v>121</v>
      </c>
      <c r="F695">
        <v>131064.09</v>
      </c>
    </row>
    <row r="696" spans="1:6" x14ac:dyDescent="0.3">
      <c r="A696">
        <v>2023</v>
      </c>
      <c r="B696">
        <v>11</v>
      </c>
      <c r="C696" t="s">
        <v>47</v>
      </c>
      <c r="D696" t="s">
        <v>11</v>
      </c>
      <c r="E696">
        <v>45</v>
      </c>
      <c r="F696">
        <v>41429.86</v>
      </c>
    </row>
    <row r="697" spans="1:6" x14ac:dyDescent="0.3">
      <c r="A697">
        <v>2023</v>
      </c>
      <c r="B697">
        <v>11</v>
      </c>
      <c r="C697" t="s">
        <v>47</v>
      </c>
      <c r="D697" t="s">
        <v>12</v>
      </c>
      <c r="E697">
        <v>63</v>
      </c>
      <c r="F697">
        <v>48939.08</v>
      </c>
    </row>
    <row r="698" spans="1:6" x14ac:dyDescent="0.3">
      <c r="A698">
        <v>2023</v>
      </c>
      <c r="B698">
        <v>11</v>
      </c>
      <c r="C698" t="s">
        <v>47</v>
      </c>
      <c r="D698" t="s">
        <v>13</v>
      </c>
      <c r="E698">
        <v>126</v>
      </c>
      <c r="F698">
        <v>112421.34</v>
      </c>
    </row>
    <row r="699" spans="1:6" x14ac:dyDescent="0.3">
      <c r="A699">
        <v>2023</v>
      </c>
      <c r="B699">
        <v>11</v>
      </c>
      <c r="C699" t="s">
        <v>47</v>
      </c>
      <c r="D699" t="s">
        <v>14</v>
      </c>
      <c r="E699">
        <v>87</v>
      </c>
      <c r="F699">
        <v>59694.45</v>
      </c>
    </row>
    <row r="700" spans="1:6" x14ac:dyDescent="0.3">
      <c r="A700">
        <v>2023</v>
      </c>
      <c r="B700">
        <v>11</v>
      </c>
      <c r="C700" t="s">
        <v>47</v>
      </c>
      <c r="D700" t="s">
        <v>15</v>
      </c>
      <c r="E700">
        <v>19</v>
      </c>
      <c r="F700">
        <v>15671.53</v>
      </c>
    </row>
    <row r="701" spans="1:6" x14ac:dyDescent="0.3">
      <c r="A701">
        <v>2023</v>
      </c>
      <c r="B701">
        <v>11</v>
      </c>
      <c r="C701" t="s">
        <v>47</v>
      </c>
      <c r="D701" t="s">
        <v>16</v>
      </c>
      <c r="E701">
        <v>41</v>
      </c>
      <c r="F701">
        <v>35804.6</v>
      </c>
    </row>
    <row r="702" spans="1:6" x14ac:dyDescent="0.3">
      <c r="A702">
        <v>2023</v>
      </c>
      <c r="B702">
        <v>11</v>
      </c>
      <c r="C702" t="s">
        <v>47</v>
      </c>
      <c r="D702" t="s">
        <v>17</v>
      </c>
      <c r="E702">
        <v>99</v>
      </c>
      <c r="F702">
        <v>81432.639999999999</v>
      </c>
    </row>
    <row r="703" spans="1:6" x14ac:dyDescent="0.3">
      <c r="A703">
        <v>2023</v>
      </c>
      <c r="B703">
        <v>11</v>
      </c>
      <c r="C703" t="s">
        <v>47</v>
      </c>
      <c r="D703" t="s">
        <v>18</v>
      </c>
      <c r="E703">
        <v>219</v>
      </c>
      <c r="F703">
        <v>192868.14</v>
      </c>
    </row>
    <row r="704" spans="1:6" x14ac:dyDescent="0.3">
      <c r="A704">
        <v>2023</v>
      </c>
      <c r="B704">
        <v>11</v>
      </c>
      <c r="C704" t="s">
        <v>47</v>
      </c>
      <c r="D704" t="s">
        <v>19</v>
      </c>
      <c r="E704">
        <v>45</v>
      </c>
      <c r="F704">
        <v>30660.49</v>
      </c>
    </row>
    <row r="705" spans="1:6" x14ac:dyDescent="0.3">
      <c r="A705">
        <v>2023</v>
      </c>
      <c r="B705">
        <v>11</v>
      </c>
      <c r="C705" t="s">
        <v>47</v>
      </c>
      <c r="D705" t="s">
        <v>20</v>
      </c>
      <c r="E705">
        <v>86</v>
      </c>
      <c r="F705">
        <v>66716.22</v>
      </c>
    </row>
    <row r="706" spans="1:6" x14ac:dyDescent="0.3">
      <c r="A706">
        <v>2023</v>
      </c>
      <c r="B706">
        <v>11</v>
      </c>
      <c r="C706" t="s">
        <v>47</v>
      </c>
      <c r="D706" t="s">
        <v>21</v>
      </c>
      <c r="E706">
        <v>145</v>
      </c>
      <c r="F706">
        <v>137028.57</v>
      </c>
    </row>
    <row r="707" spans="1:6" x14ac:dyDescent="0.3">
      <c r="A707">
        <v>2023</v>
      </c>
      <c r="B707">
        <v>11</v>
      </c>
      <c r="C707" t="s">
        <v>47</v>
      </c>
      <c r="D707" t="s">
        <v>22</v>
      </c>
      <c r="E707">
        <v>98</v>
      </c>
      <c r="F707">
        <v>68440.72</v>
      </c>
    </row>
    <row r="708" spans="1:6" x14ac:dyDescent="0.3">
      <c r="A708">
        <v>2023</v>
      </c>
      <c r="B708">
        <v>11</v>
      </c>
      <c r="C708" t="s">
        <v>47</v>
      </c>
      <c r="D708" t="s">
        <v>23</v>
      </c>
      <c r="E708">
        <v>41</v>
      </c>
      <c r="F708">
        <v>62347.02</v>
      </c>
    </row>
    <row r="709" spans="1:6" x14ac:dyDescent="0.3">
      <c r="A709">
        <v>2023</v>
      </c>
      <c r="B709">
        <v>11</v>
      </c>
      <c r="C709" t="s">
        <v>47</v>
      </c>
      <c r="D709" t="s">
        <v>24</v>
      </c>
      <c r="E709">
        <v>113</v>
      </c>
      <c r="F709">
        <v>88746.32</v>
      </c>
    </row>
    <row r="710" spans="1:6" x14ac:dyDescent="0.3">
      <c r="A710">
        <v>2023</v>
      </c>
      <c r="B710">
        <v>11</v>
      </c>
      <c r="C710" t="s">
        <v>47</v>
      </c>
      <c r="D710" t="s">
        <v>25</v>
      </c>
      <c r="E710">
        <v>128</v>
      </c>
      <c r="F710">
        <v>105585.7</v>
      </c>
    </row>
    <row r="711" spans="1:6" x14ac:dyDescent="0.3">
      <c r="A711">
        <v>2023</v>
      </c>
      <c r="B711">
        <v>11</v>
      </c>
      <c r="C711" t="s">
        <v>47</v>
      </c>
      <c r="D711" t="s">
        <v>26</v>
      </c>
      <c r="E711">
        <v>48</v>
      </c>
      <c r="F711">
        <v>41549.94</v>
      </c>
    </row>
    <row r="712" spans="1:6" x14ac:dyDescent="0.3">
      <c r="A712">
        <v>2023</v>
      </c>
      <c r="B712">
        <v>11</v>
      </c>
      <c r="C712" t="s">
        <v>47</v>
      </c>
      <c r="D712" t="s">
        <v>27</v>
      </c>
      <c r="E712">
        <v>94</v>
      </c>
      <c r="F712">
        <v>102440.03</v>
      </c>
    </row>
    <row r="713" spans="1:6" x14ac:dyDescent="0.3">
      <c r="A713">
        <v>2023</v>
      </c>
      <c r="B713">
        <v>11</v>
      </c>
      <c r="C713" t="s">
        <v>47</v>
      </c>
      <c r="D713" t="s">
        <v>28</v>
      </c>
      <c r="E713">
        <v>33</v>
      </c>
      <c r="F713">
        <v>22805.08</v>
      </c>
    </row>
    <row r="714" spans="1:6" x14ac:dyDescent="0.3">
      <c r="A714">
        <v>2023</v>
      </c>
      <c r="B714">
        <v>11</v>
      </c>
      <c r="C714" t="s">
        <v>47</v>
      </c>
      <c r="D714" t="s">
        <v>29</v>
      </c>
      <c r="E714">
        <v>105</v>
      </c>
      <c r="F714">
        <v>94233.41</v>
      </c>
    </row>
    <row r="715" spans="1:6" x14ac:dyDescent="0.3">
      <c r="A715">
        <v>2023</v>
      </c>
      <c r="B715">
        <v>11</v>
      </c>
      <c r="C715" t="s">
        <v>47</v>
      </c>
      <c r="D715" t="s">
        <v>30</v>
      </c>
      <c r="E715">
        <v>49</v>
      </c>
      <c r="F715">
        <v>35598.410000000003</v>
      </c>
    </row>
    <row r="716" spans="1:6" x14ac:dyDescent="0.3">
      <c r="A716">
        <v>2023</v>
      </c>
      <c r="B716">
        <v>11</v>
      </c>
      <c r="C716" t="s">
        <v>47</v>
      </c>
      <c r="D716" t="s">
        <v>31</v>
      </c>
      <c r="E716">
        <v>304</v>
      </c>
      <c r="F716">
        <v>269456.69</v>
      </c>
    </row>
    <row r="717" spans="1:6" x14ac:dyDescent="0.3">
      <c r="A717">
        <v>2023</v>
      </c>
      <c r="B717">
        <v>11</v>
      </c>
      <c r="C717" t="s">
        <v>47</v>
      </c>
      <c r="D717" t="s">
        <v>32</v>
      </c>
      <c r="E717">
        <v>60</v>
      </c>
      <c r="F717">
        <v>52195.39</v>
      </c>
    </row>
    <row r="718" spans="1:6" x14ac:dyDescent="0.3">
      <c r="A718">
        <v>2023</v>
      </c>
      <c r="B718">
        <v>11</v>
      </c>
      <c r="C718" t="s">
        <v>47</v>
      </c>
      <c r="D718" t="s">
        <v>33</v>
      </c>
      <c r="E718">
        <v>251</v>
      </c>
      <c r="F718">
        <v>228552.01</v>
      </c>
    </row>
    <row r="719" spans="1:6" x14ac:dyDescent="0.3">
      <c r="A719">
        <v>2023</v>
      </c>
      <c r="B719">
        <v>11</v>
      </c>
      <c r="C719" t="s">
        <v>47</v>
      </c>
      <c r="D719" t="s">
        <v>34</v>
      </c>
      <c r="E719">
        <v>76</v>
      </c>
      <c r="F719">
        <v>65704.179999999993</v>
      </c>
    </row>
    <row r="720" spans="1:6" x14ac:dyDescent="0.3">
      <c r="A720">
        <v>2023</v>
      </c>
      <c r="B720">
        <v>11</v>
      </c>
      <c r="C720" t="s">
        <v>47</v>
      </c>
      <c r="D720" t="s">
        <v>49</v>
      </c>
      <c r="E720">
        <v>10</v>
      </c>
      <c r="F720">
        <v>7427</v>
      </c>
    </row>
    <row r="721" spans="1:6" x14ac:dyDescent="0.3">
      <c r="A721">
        <v>2023</v>
      </c>
      <c r="B721">
        <v>11</v>
      </c>
      <c r="C721" t="s">
        <v>47</v>
      </c>
      <c r="D721" t="s">
        <v>35</v>
      </c>
      <c r="E721">
        <v>55</v>
      </c>
      <c r="F721">
        <v>51593.9</v>
      </c>
    </row>
    <row r="722" spans="1:6" x14ac:dyDescent="0.3">
      <c r="A722">
        <v>2023</v>
      </c>
      <c r="B722">
        <v>11</v>
      </c>
      <c r="C722" t="s">
        <v>47</v>
      </c>
      <c r="D722" t="s">
        <v>36</v>
      </c>
      <c r="E722">
        <v>75</v>
      </c>
      <c r="F722">
        <v>63830.76</v>
      </c>
    </row>
    <row r="723" spans="1:6" x14ac:dyDescent="0.3">
      <c r="A723">
        <v>2023</v>
      </c>
      <c r="B723">
        <v>11</v>
      </c>
      <c r="C723" t="s">
        <v>47</v>
      </c>
      <c r="D723" t="s">
        <v>37</v>
      </c>
      <c r="E723">
        <v>83</v>
      </c>
      <c r="F723">
        <v>73582.490000000005</v>
      </c>
    </row>
    <row r="724" spans="1:6" x14ac:dyDescent="0.3">
      <c r="A724">
        <v>2023</v>
      </c>
      <c r="B724">
        <v>12</v>
      </c>
      <c r="C724" t="s">
        <v>48</v>
      </c>
      <c r="D724" t="s">
        <v>7</v>
      </c>
      <c r="E724">
        <v>29</v>
      </c>
      <c r="F724">
        <v>28509.61</v>
      </c>
    </row>
    <row r="725" spans="1:6" x14ac:dyDescent="0.3">
      <c r="A725">
        <v>2023</v>
      </c>
      <c r="B725">
        <v>12</v>
      </c>
      <c r="C725" t="s">
        <v>48</v>
      </c>
      <c r="D725" t="s">
        <v>8</v>
      </c>
      <c r="E725">
        <v>77</v>
      </c>
      <c r="F725">
        <v>52747.34</v>
      </c>
    </row>
    <row r="726" spans="1:6" x14ac:dyDescent="0.3">
      <c r="A726">
        <v>2023</v>
      </c>
      <c r="B726">
        <v>12</v>
      </c>
      <c r="C726" t="s">
        <v>48</v>
      </c>
      <c r="D726" t="s">
        <v>9</v>
      </c>
      <c r="E726">
        <v>15</v>
      </c>
      <c r="F726">
        <v>11992.87</v>
      </c>
    </row>
    <row r="727" spans="1:6" x14ac:dyDescent="0.3">
      <c r="A727">
        <v>2023</v>
      </c>
      <c r="B727">
        <v>12</v>
      </c>
      <c r="C727" t="s">
        <v>48</v>
      </c>
      <c r="D727" t="s">
        <v>10</v>
      </c>
      <c r="E727">
        <v>84</v>
      </c>
      <c r="F727">
        <v>84159.1</v>
      </c>
    </row>
    <row r="728" spans="1:6" x14ac:dyDescent="0.3">
      <c r="A728">
        <v>2023</v>
      </c>
      <c r="B728">
        <v>12</v>
      </c>
      <c r="C728" t="s">
        <v>48</v>
      </c>
      <c r="D728" t="s">
        <v>11</v>
      </c>
      <c r="E728">
        <v>43</v>
      </c>
      <c r="F728">
        <v>37080.5</v>
      </c>
    </row>
    <row r="729" spans="1:6" x14ac:dyDescent="0.3">
      <c r="A729">
        <v>2023</v>
      </c>
      <c r="B729">
        <v>12</v>
      </c>
      <c r="C729" t="s">
        <v>48</v>
      </c>
      <c r="D729" t="s">
        <v>12</v>
      </c>
      <c r="E729">
        <v>61</v>
      </c>
      <c r="F729">
        <v>52138.21</v>
      </c>
    </row>
    <row r="730" spans="1:6" x14ac:dyDescent="0.3">
      <c r="A730">
        <v>2023</v>
      </c>
      <c r="B730">
        <v>12</v>
      </c>
      <c r="C730" t="s">
        <v>48</v>
      </c>
      <c r="D730" t="s">
        <v>13</v>
      </c>
      <c r="E730">
        <v>80</v>
      </c>
      <c r="F730">
        <v>66537.320000000007</v>
      </c>
    </row>
    <row r="731" spans="1:6" x14ac:dyDescent="0.3">
      <c r="A731">
        <v>2023</v>
      </c>
      <c r="B731">
        <v>12</v>
      </c>
      <c r="C731" t="s">
        <v>48</v>
      </c>
      <c r="D731" t="s">
        <v>14</v>
      </c>
      <c r="E731">
        <v>102</v>
      </c>
      <c r="F731">
        <v>72916.81</v>
      </c>
    </row>
    <row r="732" spans="1:6" x14ac:dyDescent="0.3">
      <c r="A732">
        <v>2023</v>
      </c>
      <c r="B732">
        <v>12</v>
      </c>
      <c r="C732" t="s">
        <v>48</v>
      </c>
      <c r="D732" t="s">
        <v>15</v>
      </c>
      <c r="E732">
        <v>16</v>
      </c>
      <c r="F732">
        <v>12255.48</v>
      </c>
    </row>
    <row r="733" spans="1:6" x14ac:dyDescent="0.3">
      <c r="A733">
        <v>2023</v>
      </c>
      <c r="B733">
        <v>12</v>
      </c>
      <c r="C733" t="s">
        <v>48</v>
      </c>
      <c r="D733" t="s">
        <v>16</v>
      </c>
      <c r="E733">
        <v>21</v>
      </c>
      <c r="F733">
        <v>17142.72</v>
      </c>
    </row>
    <row r="734" spans="1:6" x14ac:dyDescent="0.3">
      <c r="A734">
        <v>2023</v>
      </c>
      <c r="B734">
        <v>12</v>
      </c>
      <c r="C734" t="s">
        <v>48</v>
      </c>
      <c r="D734" t="s">
        <v>17</v>
      </c>
      <c r="E734">
        <v>84</v>
      </c>
      <c r="F734">
        <v>72133.66</v>
      </c>
    </row>
    <row r="735" spans="1:6" x14ac:dyDescent="0.3">
      <c r="A735">
        <v>2023</v>
      </c>
      <c r="B735">
        <v>12</v>
      </c>
      <c r="C735" t="s">
        <v>48</v>
      </c>
      <c r="D735" t="s">
        <v>18</v>
      </c>
      <c r="E735">
        <v>152</v>
      </c>
      <c r="F735">
        <v>139821.75</v>
      </c>
    </row>
    <row r="736" spans="1:6" x14ac:dyDescent="0.3">
      <c r="A736">
        <v>2023</v>
      </c>
      <c r="B736">
        <v>12</v>
      </c>
      <c r="C736" t="s">
        <v>48</v>
      </c>
      <c r="D736" t="s">
        <v>19</v>
      </c>
      <c r="E736">
        <v>46</v>
      </c>
      <c r="F736">
        <v>33433.81</v>
      </c>
    </row>
    <row r="737" spans="1:6" x14ac:dyDescent="0.3">
      <c r="A737">
        <v>2023</v>
      </c>
      <c r="B737">
        <v>12</v>
      </c>
      <c r="C737" t="s">
        <v>48</v>
      </c>
      <c r="D737" t="s">
        <v>20</v>
      </c>
      <c r="E737">
        <v>49</v>
      </c>
      <c r="F737">
        <v>48895.72</v>
      </c>
    </row>
    <row r="738" spans="1:6" x14ac:dyDescent="0.3">
      <c r="A738">
        <v>2023</v>
      </c>
      <c r="B738">
        <v>12</v>
      </c>
      <c r="C738" t="s">
        <v>48</v>
      </c>
      <c r="D738" t="s">
        <v>21</v>
      </c>
      <c r="E738">
        <v>74</v>
      </c>
      <c r="F738">
        <v>73837.289999999994</v>
      </c>
    </row>
    <row r="739" spans="1:6" x14ac:dyDescent="0.3">
      <c r="A739">
        <v>2023</v>
      </c>
      <c r="B739">
        <v>12</v>
      </c>
      <c r="C739" t="s">
        <v>48</v>
      </c>
      <c r="D739" t="s">
        <v>22</v>
      </c>
      <c r="E739">
        <v>63</v>
      </c>
      <c r="F739">
        <v>46324.39</v>
      </c>
    </row>
    <row r="740" spans="1:6" x14ac:dyDescent="0.3">
      <c r="A740">
        <v>2023</v>
      </c>
      <c r="B740">
        <v>12</v>
      </c>
      <c r="C740" t="s">
        <v>48</v>
      </c>
      <c r="D740" t="s">
        <v>23</v>
      </c>
      <c r="E740">
        <v>31</v>
      </c>
      <c r="F740">
        <v>32685.32</v>
      </c>
    </row>
    <row r="741" spans="1:6" x14ac:dyDescent="0.3">
      <c r="A741">
        <v>2023</v>
      </c>
      <c r="B741">
        <v>12</v>
      </c>
      <c r="C741" t="s">
        <v>48</v>
      </c>
      <c r="D741" t="s">
        <v>24</v>
      </c>
      <c r="E741">
        <v>71</v>
      </c>
      <c r="F741">
        <v>53651.22</v>
      </c>
    </row>
    <row r="742" spans="1:6" x14ac:dyDescent="0.3">
      <c r="A742">
        <v>2023</v>
      </c>
      <c r="B742">
        <v>12</v>
      </c>
      <c r="C742" t="s">
        <v>48</v>
      </c>
      <c r="D742" t="s">
        <v>25</v>
      </c>
      <c r="E742">
        <v>125</v>
      </c>
      <c r="F742">
        <v>102833.05</v>
      </c>
    </row>
    <row r="743" spans="1:6" x14ac:dyDescent="0.3">
      <c r="A743">
        <v>2023</v>
      </c>
      <c r="B743">
        <v>12</v>
      </c>
      <c r="C743" t="s">
        <v>48</v>
      </c>
      <c r="D743" t="s">
        <v>26</v>
      </c>
      <c r="E743">
        <v>21</v>
      </c>
      <c r="F743">
        <v>18943.87</v>
      </c>
    </row>
    <row r="744" spans="1:6" x14ac:dyDescent="0.3">
      <c r="A744">
        <v>2023</v>
      </c>
      <c r="B744">
        <v>12</v>
      </c>
      <c r="C744" t="s">
        <v>48</v>
      </c>
      <c r="D744" t="s">
        <v>27</v>
      </c>
      <c r="E744">
        <v>97</v>
      </c>
      <c r="F744">
        <v>120718.85</v>
      </c>
    </row>
    <row r="745" spans="1:6" x14ac:dyDescent="0.3">
      <c r="A745">
        <v>2023</v>
      </c>
      <c r="B745">
        <v>12</v>
      </c>
      <c r="C745" t="s">
        <v>48</v>
      </c>
      <c r="D745" t="s">
        <v>28</v>
      </c>
      <c r="E745">
        <v>26</v>
      </c>
      <c r="F745">
        <v>18793.37</v>
      </c>
    </row>
    <row r="746" spans="1:6" x14ac:dyDescent="0.3">
      <c r="A746">
        <v>2023</v>
      </c>
      <c r="B746">
        <v>12</v>
      </c>
      <c r="C746" t="s">
        <v>48</v>
      </c>
      <c r="D746" t="s">
        <v>29</v>
      </c>
      <c r="E746">
        <v>70</v>
      </c>
      <c r="F746">
        <v>64039.1</v>
      </c>
    </row>
    <row r="747" spans="1:6" x14ac:dyDescent="0.3">
      <c r="A747">
        <v>2023</v>
      </c>
      <c r="B747">
        <v>12</v>
      </c>
      <c r="C747" t="s">
        <v>48</v>
      </c>
      <c r="D747" t="s">
        <v>30</v>
      </c>
      <c r="E747">
        <v>53</v>
      </c>
      <c r="F747">
        <v>38596.46</v>
      </c>
    </row>
    <row r="748" spans="1:6" x14ac:dyDescent="0.3">
      <c r="A748">
        <v>2023</v>
      </c>
      <c r="B748">
        <v>12</v>
      </c>
      <c r="C748" t="s">
        <v>48</v>
      </c>
      <c r="D748" t="s">
        <v>31</v>
      </c>
      <c r="E748">
        <v>197</v>
      </c>
      <c r="F748">
        <v>182789.56</v>
      </c>
    </row>
    <row r="749" spans="1:6" x14ac:dyDescent="0.3">
      <c r="A749">
        <v>2023</v>
      </c>
      <c r="B749">
        <v>12</v>
      </c>
      <c r="C749" t="s">
        <v>48</v>
      </c>
      <c r="D749" t="s">
        <v>32</v>
      </c>
      <c r="E749">
        <v>31</v>
      </c>
      <c r="F749">
        <v>27535.59</v>
      </c>
    </row>
    <row r="750" spans="1:6" x14ac:dyDescent="0.3">
      <c r="A750">
        <v>2023</v>
      </c>
      <c r="B750">
        <v>12</v>
      </c>
      <c r="C750" t="s">
        <v>48</v>
      </c>
      <c r="D750" t="s">
        <v>33</v>
      </c>
      <c r="E750">
        <v>160</v>
      </c>
      <c r="F750">
        <v>154073.60999999999</v>
      </c>
    </row>
    <row r="751" spans="1:6" x14ac:dyDescent="0.3">
      <c r="A751">
        <v>2023</v>
      </c>
      <c r="B751">
        <v>12</v>
      </c>
      <c r="C751" t="s">
        <v>48</v>
      </c>
      <c r="D751" t="s">
        <v>34</v>
      </c>
      <c r="E751">
        <v>77</v>
      </c>
      <c r="F751">
        <v>68704.89</v>
      </c>
    </row>
    <row r="752" spans="1:6" x14ac:dyDescent="0.3">
      <c r="A752">
        <v>2023</v>
      </c>
      <c r="B752">
        <v>12</v>
      </c>
      <c r="C752" t="s">
        <v>48</v>
      </c>
      <c r="D752" t="s">
        <v>49</v>
      </c>
      <c r="E752">
        <v>2</v>
      </c>
      <c r="F752">
        <v>1210</v>
      </c>
    </row>
    <row r="753" spans="1:6" x14ac:dyDescent="0.3">
      <c r="A753">
        <v>2023</v>
      </c>
      <c r="B753">
        <v>12</v>
      </c>
      <c r="C753" t="s">
        <v>48</v>
      </c>
      <c r="D753" t="s">
        <v>35</v>
      </c>
      <c r="E753">
        <v>35</v>
      </c>
      <c r="F753">
        <v>30851.62</v>
      </c>
    </row>
    <row r="754" spans="1:6" x14ac:dyDescent="0.3">
      <c r="A754">
        <v>2023</v>
      </c>
      <c r="B754">
        <v>12</v>
      </c>
      <c r="C754" t="s">
        <v>48</v>
      </c>
      <c r="D754" t="s">
        <v>36</v>
      </c>
      <c r="E754">
        <v>59</v>
      </c>
      <c r="F754">
        <v>49446.06</v>
      </c>
    </row>
    <row r="755" spans="1:6" x14ac:dyDescent="0.3">
      <c r="A755">
        <v>2023</v>
      </c>
      <c r="B755">
        <v>12</v>
      </c>
      <c r="C755" t="s">
        <v>48</v>
      </c>
      <c r="D755" t="s">
        <v>37</v>
      </c>
      <c r="E755">
        <v>40</v>
      </c>
      <c r="F755">
        <v>33507.56</v>
      </c>
    </row>
    <row r="756" spans="1:6" x14ac:dyDescent="0.3">
      <c r="A756">
        <v>2024</v>
      </c>
      <c r="B756">
        <v>1</v>
      </c>
      <c r="C756" t="s">
        <v>6</v>
      </c>
      <c r="D756" t="s">
        <v>7</v>
      </c>
      <c r="E756">
        <v>33</v>
      </c>
      <c r="F756">
        <v>34512.97</v>
      </c>
    </row>
    <row r="757" spans="1:6" x14ac:dyDescent="0.3">
      <c r="A757">
        <v>2024</v>
      </c>
      <c r="B757">
        <v>1</v>
      </c>
      <c r="C757" t="s">
        <v>6</v>
      </c>
      <c r="D757" t="s">
        <v>8</v>
      </c>
      <c r="E757">
        <v>121</v>
      </c>
      <c r="F757">
        <v>83580.320000000007</v>
      </c>
    </row>
    <row r="758" spans="1:6" x14ac:dyDescent="0.3">
      <c r="A758">
        <v>2024</v>
      </c>
      <c r="B758">
        <v>1</v>
      </c>
      <c r="C758" t="s">
        <v>6</v>
      </c>
      <c r="D758" t="s">
        <v>9</v>
      </c>
      <c r="E758">
        <v>11</v>
      </c>
      <c r="F758">
        <v>8398</v>
      </c>
    </row>
    <row r="759" spans="1:6" x14ac:dyDescent="0.3">
      <c r="A759">
        <v>2024</v>
      </c>
      <c r="B759">
        <v>1</v>
      </c>
      <c r="C759" t="s">
        <v>6</v>
      </c>
      <c r="D759" t="s">
        <v>10</v>
      </c>
      <c r="E759">
        <v>99</v>
      </c>
      <c r="F759">
        <v>97875.01</v>
      </c>
    </row>
    <row r="760" spans="1:6" x14ac:dyDescent="0.3">
      <c r="A760">
        <v>2024</v>
      </c>
      <c r="B760">
        <v>1</v>
      </c>
      <c r="C760" t="s">
        <v>6</v>
      </c>
      <c r="D760" t="s">
        <v>11</v>
      </c>
      <c r="E760">
        <v>56</v>
      </c>
      <c r="F760">
        <v>51935.14</v>
      </c>
    </row>
    <row r="761" spans="1:6" x14ac:dyDescent="0.3">
      <c r="A761">
        <v>2024</v>
      </c>
      <c r="B761">
        <v>1</v>
      </c>
      <c r="C761" t="s">
        <v>6</v>
      </c>
      <c r="D761" t="s">
        <v>12</v>
      </c>
      <c r="E761">
        <v>66</v>
      </c>
      <c r="F761">
        <v>52220.46</v>
      </c>
    </row>
    <row r="762" spans="1:6" x14ac:dyDescent="0.3">
      <c r="A762">
        <v>2024</v>
      </c>
      <c r="B762">
        <v>1</v>
      </c>
      <c r="C762" t="s">
        <v>6</v>
      </c>
      <c r="D762" t="s">
        <v>13</v>
      </c>
      <c r="E762">
        <v>68</v>
      </c>
      <c r="F762">
        <v>62212.42</v>
      </c>
    </row>
    <row r="763" spans="1:6" x14ac:dyDescent="0.3">
      <c r="A763">
        <v>2024</v>
      </c>
      <c r="B763">
        <v>1</v>
      </c>
      <c r="C763" t="s">
        <v>6</v>
      </c>
      <c r="D763" t="s">
        <v>14</v>
      </c>
      <c r="E763">
        <v>105</v>
      </c>
      <c r="F763">
        <v>73890.92</v>
      </c>
    </row>
    <row r="764" spans="1:6" x14ac:dyDescent="0.3">
      <c r="A764">
        <v>2024</v>
      </c>
      <c r="B764">
        <v>1</v>
      </c>
      <c r="C764" t="s">
        <v>6</v>
      </c>
      <c r="D764" t="s">
        <v>15</v>
      </c>
      <c r="E764">
        <v>28</v>
      </c>
      <c r="F764">
        <v>21124.27</v>
      </c>
    </row>
    <row r="765" spans="1:6" x14ac:dyDescent="0.3">
      <c r="A765">
        <v>2024</v>
      </c>
      <c r="B765">
        <v>1</v>
      </c>
      <c r="C765" t="s">
        <v>6</v>
      </c>
      <c r="D765" t="s">
        <v>16</v>
      </c>
      <c r="E765">
        <v>24</v>
      </c>
      <c r="F765">
        <v>31169.8</v>
      </c>
    </row>
    <row r="766" spans="1:6" x14ac:dyDescent="0.3">
      <c r="A766">
        <v>2024</v>
      </c>
      <c r="B766">
        <v>1</v>
      </c>
      <c r="C766" t="s">
        <v>6</v>
      </c>
      <c r="D766" t="s">
        <v>17</v>
      </c>
      <c r="E766">
        <v>104</v>
      </c>
      <c r="F766">
        <v>95829.66</v>
      </c>
    </row>
    <row r="767" spans="1:6" x14ac:dyDescent="0.3">
      <c r="A767">
        <v>2024</v>
      </c>
      <c r="B767">
        <v>1</v>
      </c>
      <c r="C767" t="s">
        <v>6</v>
      </c>
      <c r="D767" t="s">
        <v>18</v>
      </c>
      <c r="E767">
        <v>168</v>
      </c>
      <c r="F767">
        <v>147366.15</v>
      </c>
    </row>
    <row r="768" spans="1:6" x14ac:dyDescent="0.3">
      <c r="A768">
        <v>2024</v>
      </c>
      <c r="B768">
        <v>1</v>
      </c>
      <c r="C768" t="s">
        <v>6</v>
      </c>
      <c r="D768" t="s">
        <v>19</v>
      </c>
      <c r="E768">
        <v>108</v>
      </c>
      <c r="F768">
        <v>82460.13</v>
      </c>
    </row>
    <row r="769" spans="1:6" x14ac:dyDescent="0.3">
      <c r="A769">
        <v>2024</v>
      </c>
      <c r="B769">
        <v>1</v>
      </c>
      <c r="C769" t="s">
        <v>6</v>
      </c>
      <c r="D769" t="s">
        <v>20</v>
      </c>
      <c r="E769">
        <v>58</v>
      </c>
      <c r="F769">
        <v>43977.15</v>
      </c>
    </row>
    <row r="770" spans="1:6" x14ac:dyDescent="0.3">
      <c r="A770">
        <v>2024</v>
      </c>
      <c r="B770">
        <v>1</v>
      </c>
      <c r="C770" t="s">
        <v>6</v>
      </c>
      <c r="D770" t="s">
        <v>21</v>
      </c>
      <c r="E770">
        <v>89</v>
      </c>
      <c r="F770">
        <v>87692.69</v>
      </c>
    </row>
    <row r="771" spans="1:6" x14ac:dyDescent="0.3">
      <c r="A771">
        <v>2024</v>
      </c>
      <c r="B771">
        <v>1</v>
      </c>
      <c r="C771" t="s">
        <v>6</v>
      </c>
      <c r="D771" t="s">
        <v>22</v>
      </c>
      <c r="E771">
        <v>49</v>
      </c>
      <c r="F771">
        <v>36163.58</v>
      </c>
    </row>
    <row r="772" spans="1:6" x14ac:dyDescent="0.3">
      <c r="A772">
        <v>2024</v>
      </c>
      <c r="B772">
        <v>1</v>
      </c>
      <c r="C772" t="s">
        <v>6</v>
      </c>
      <c r="D772" t="s">
        <v>23</v>
      </c>
      <c r="E772">
        <v>20</v>
      </c>
      <c r="F772">
        <v>19328.73</v>
      </c>
    </row>
    <row r="773" spans="1:6" x14ac:dyDescent="0.3">
      <c r="A773">
        <v>2024</v>
      </c>
      <c r="B773">
        <v>1</v>
      </c>
      <c r="C773" t="s">
        <v>6</v>
      </c>
      <c r="D773" t="s">
        <v>24</v>
      </c>
      <c r="E773">
        <v>121</v>
      </c>
      <c r="F773">
        <v>86605.19</v>
      </c>
    </row>
    <row r="774" spans="1:6" x14ac:dyDescent="0.3">
      <c r="A774">
        <v>2024</v>
      </c>
      <c r="B774">
        <v>1</v>
      </c>
      <c r="C774" t="s">
        <v>6</v>
      </c>
      <c r="D774" t="s">
        <v>25</v>
      </c>
      <c r="E774">
        <v>98</v>
      </c>
      <c r="F774">
        <v>98693.62</v>
      </c>
    </row>
    <row r="775" spans="1:6" x14ac:dyDescent="0.3">
      <c r="A775">
        <v>2024</v>
      </c>
      <c r="B775">
        <v>1</v>
      </c>
      <c r="C775" t="s">
        <v>6</v>
      </c>
      <c r="D775" t="s">
        <v>26</v>
      </c>
      <c r="E775">
        <v>29</v>
      </c>
      <c r="F775">
        <v>23704.78</v>
      </c>
    </row>
    <row r="776" spans="1:6" x14ac:dyDescent="0.3">
      <c r="A776">
        <v>2024</v>
      </c>
      <c r="B776">
        <v>1</v>
      </c>
      <c r="C776" t="s">
        <v>6</v>
      </c>
      <c r="D776" t="s">
        <v>27</v>
      </c>
      <c r="E776">
        <v>140</v>
      </c>
      <c r="F776">
        <v>137629.85999999999</v>
      </c>
    </row>
    <row r="777" spans="1:6" x14ac:dyDescent="0.3">
      <c r="A777">
        <v>2024</v>
      </c>
      <c r="B777">
        <v>1</v>
      </c>
      <c r="C777" t="s">
        <v>6</v>
      </c>
      <c r="D777" t="s">
        <v>28</v>
      </c>
      <c r="E777">
        <v>59</v>
      </c>
      <c r="F777">
        <v>45614.95</v>
      </c>
    </row>
    <row r="778" spans="1:6" x14ac:dyDescent="0.3">
      <c r="A778">
        <v>2024</v>
      </c>
      <c r="B778">
        <v>1</v>
      </c>
      <c r="C778" t="s">
        <v>6</v>
      </c>
      <c r="D778" t="s">
        <v>29</v>
      </c>
      <c r="E778">
        <v>65</v>
      </c>
      <c r="F778">
        <v>57780.05</v>
      </c>
    </row>
    <row r="779" spans="1:6" x14ac:dyDescent="0.3">
      <c r="A779">
        <v>2024</v>
      </c>
      <c r="B779">
        <v>1</v>
      </c>
      <c r="C779" t="s">
        <v>6</v>
      </c>
      <c r="D779" t="s">
        <v>30</v>
      </c>
      <c r="E779">
        <v>51</v>
      </c>
      <c r="F779">
        <v>39065.65</v>
      </c>
    </row>
    <row r="780" spans="1:6" x14ac:dyDescent="0.3">
      <c r="A780">
        <v>2024</v>
      </c>
      <c r="B780">
        <v>1</v>
      </c>
      <c r="C780" t="s">
        <v>6</v>
      </c>
      <c r="D780" t="s">
        <v>31</v>
      </c>
      <c r="E780">
        <v>230</v>
      </c>
      <c r="F780">
        <v>206728.58</v>
      </c>
    </row>
    <row r="781" spans="1:6" x14ac:dyDescent="0.3">
      <c r="A781">
        <v>2024</v>
      </c>
      <c r="B781">
        <v>1</v>
      </c>
      <c r="C781" t="s">
        <v>6</v>
      </c>
      <c r="D781" t="s">
        <v>32</v>
      </c>
      <c r="E781">
        <v>41</v>
      </c>
      <c r="F781">
        <v>34770.07</v>
      </c>
    </row>
    <row r="782" spans="1:6" x14ac:dyDescent="0.3">
      <c r="A782">
        <v>2024</v>
      </c>
      <c r="B782">
        <v>1</v>
      </c>
      <c r="C782" t="s">
        <v>6</v>
      </c>
      <c r="D782" t="s">
        <v>33</v>
      </c>
      <c r="E782">
        <v>143</v>
      </c>
      <c r="F782">
        <v>136755.47</v>
      </c>
    </row>
    <row r="783" spans="1:6" x14ac:dyDescent="0.3">
      <c r="A783">
        <v>2024</v>
      </c>
      <c r="B783">
        <v>1</v>
      </c>
      <c r="C783" t="s">
        <v>6</v>
      </c>
      <c r="D783" t="s">
        <v>34</v>
      </c>
      <c r="E783">
        <v>75</v>
      </c>
      <c r="F783">
        <v>61448.160000000003</v>
      </c>
    </row>
    <row r="784" spans="1:6" x14ac:dyDescent="0.3">
      <c r="A784">
        <v>2024</v>
      </c>
      <c r="B784">
        <v>1</v>
      </c>
      <c r="C784" t="s">
        <v>6</v>
      </c>
      <c r="D784" t="s">
        <v>49</v>
      </c>
      <c r="E784">
        <v>2</v>
      </c>
      <c r="F784">
        <v>690</v>
      </c>
    </row>
    <row r="785" spans="1:6" x14ac:dyDescent="0.3">
      <c r="A785">
        <v>2024</v>
      </c>
      <c r="B785">
        <v>1</v>
      </c>
      <c r="C785" t="s">
        <v>6</v>
      </c>
      <c r="D785" t="s">
        <v>35</v>
      </c>
      <c r="E785">
        <v>49</v>
      </c>
      <c r="F785">
        <v>43525.94</v>
      </c>
    </row>
    <row r="786" spans="1:6" x14ac:dyDescent="0.3">
      <c r="A786">
        <v>2024</v>
      </c>
      <c r="B786">
        <v>1</v>
      </c>
      <c r="C786" t="s">
        <v>6</v>
      </c>
      <c r="D786" t="s">
        <v>36</v>
      </c>
      <c r="E786">
        <v>71</v>
      </c>
      <c r="F786">
        <v>60352.13</v>
      </c>
    </row>
    <row r="787" spans="1:6" x14ac:dyDescent="0.3">
      <c r="A787">
        <v>2024</v>
      </c>
      <c r="B787">
        <v>1</v>
      </c>
      <c r="C787" t="s">
        <v>6</v>
      </c>
      <c r="D787" t="s">
        <v>37</v>
      </c>
      <c r="E787">
        <v>48</v>
      </c>
      <c r="F787">
        <v>42073.07</v>
      </c>
    </row>
    <row r="788" spans="1:6" x14ac:dyDescent="0.3">
      <c r="A788">
        <v>2024</v>
      </c>
      <c r="B788">
        <v>2</v>
      </c>
      <c r="C788" t="s">
        <v>38</v>
      </c>
      <c r="D788" t="s">
        <v>7</v>
      </c>
      <c r="E788">
        <v>48</v>
      </c>
      <c r="F788">
        <v>42950.82</v>
      </c>
    </row>
    <row r="789" spans="1:6" x14ac:dyDescent="0.3">
      <c r="A789">
        <v>2024</v>
      </c>
      <c r="B789">
        <v>2</v>
      </c>
      <c r="C789" t="s">
        <v>38</v>
      </c>
      <c r="D789" t="s">
        <v>8</v>
      </c>
      <c r="E789">
        <v>131</v>
      </c>
      <c r="F789">
        <v>97658.66</v>
      </c>
    </row>
    <row r="790" spans="1:6" x14ac:dyDescent="0.3">
      <c r="A790">
        <v>2024</v>
      </c>
      <c r="B790">
        <v>2</v>
      </c>
      <c r="C790" t="s">
        <v>38</v>
      </c>
      <c r="D790" t="s">
        <v>9</v>
      </c>
      <c r="E790">
        <v>31</v>
      </c>
      <c r="F790">
        <v>26559.61</v>
      </c>
    </row>
    <row r="791" spans="1:6" x14ac:dyDescent="0.3">
      <c r="A791">
        <v>2024</v>
      </c>
      <c r="B791">
        <v>2</v>
      </c>
      <c r="C791" t="s">
        <v>38</v>
      </c>
      <c r="D791" t="s">
        <v>10</v>
      </c>
      <c r="E791">
        <v>76</v>
      </c>
      <c r="F791">
        <v>77114</v>
      </c>
    </row>
    <row r="792" spans="1:6" x14ac:dyDescent="0.3">
      <c r="A792">
        <v>2024</v>
      </c>
      <c r="B792">
        <v>2</v>
      </c>
      <c r="C792" t="s">
        <v>38</v>
      </c>
      <c r="D792" t="s">
        <v>11</v>
      </c>
      <c r="E792">
        <v>75</v>
      </c>
      <c r="F792">
        <v>79763.45</v>
      </c>
    </row>
    <row r="793" spans="1:6" x14ac:dyDescent="0.3">
      <c r="A793">
        <v>2024</v>
      </c>
      <c r="B793">
        <v>2</v>
      </c>
      <c r="C793" t="s">
        <v>38</v>
      </c>
      <c r="D793" t="s">
        <v>12</v>
      </c>
      <c r="E793">
        <v>80</v>
      </c>
      <c r="F793">
        <v>58463.42</v>
      </c>
    </row>
    <row r="794" spans="1:6" x14ac:dyDescent="0.3">
      <c r="A794">
        <v>2024</v>
      </c>
      <c r="B794">
        <v>2</v>
      </c>
      <c r="C794" t="s">
        <v>38</v>
      </c>
      <c r="D794" t="s">
        <v>13</v>
      </c>
      <c r="E794">
        <v>105</v>
      </c>
      <c r="F794">
        <v>78495.850000000006</v>
      </c>
    </row>
    <row r="795" spans="1:6" x14ac:dyDescent="0.3">
      <c r="A795">
        <v>2024</v>
      </c>
      <c r="B795">
        <v>2</v>
      </c>
      <c r="C795" t="s">
        <v>38</v>
      </c>
      <c r="D795" t="s">
        <v>14</v>
      </c>
      <c r="E795">
        <v>117</v>
      </c>
      <c r="F795">
        <v>84065.7</v>
      </c>
    </row>
    <row r="796" spans="1:6" x14ac:dyDescent="0.3">
      <c r="A796">
        <v>2024</v>
      </c>
      <c r="B796">
        <v>2</v>
      </c>
      <c r="C796" t="s">
        <v>38</v>
      </c>
      <c r="D796" t="s">
        <v>15</v>
      </c>
      <c r="E796">
        <v>31</v>
      </c>
      <c r="F796">
        <v>25333.99</v>
      </c>
    </row>
    <row r="797" spans="1:6" x14ac:dyDescent="0.3">
      <c r="A797">
        <v>2024</v>
      </c>
      <c r="B797">
        <v>2</v>
      </c>
      <c r="C797" t="s">
        <v>38</v>
      </c>
      <c r="D797" t="s">
        <v>16</v>
      </c>
      <c r="E797">
        <v>26</v>
      </c>
      <c r="F797">
        <v>21758.04</v>
      </c>
    </row>
    <row r="798" spans="1:6" x14ac:dyDescent="0.3">
      <c r="A798">
        <v>2024</v>
      </c>
      <c r="B798">
        <v>2</v>
      </c>
      <c r="C798" t="s">
        <v>38</v>
      </c>
      <c r="D798" t="s">
        <v>17</v>
      </c>
      <c r="E798">
        <v>110</v>
      </c>
      <c r="F798">
        <v>98724.94</v>
      </c>
    </row>
    <row r="799" spans="1:6" x14ac:dyDescent="0.3">
      <c r="A799">
        <v>2024</v>
      </c>
      <c r="B799">
        <v>2</v>
      </c>
      <c r="C799" t="s">
        <v>38</v>
      </c>
      <c r="D799" t="s">
        <v>18</v>
      </c>
      <c r="E799">
        <v>173</v>
      </c>
      <c r="F799">
        <v>153985.28</v>
      </c>
    </row>
    <row r="800" spans="1:6" x14ac:dyDescent="0.3">
      <c r="A800">
        <v>2024</v>
      </c>
      <c r="B800">
        <v>2</v>
      </c>
      <c r="C800" t="s">
        <v>38</v>
      </c>
      <c r="D800" t="s">
        <v>19</v>
      </c>
      <c r="E800">
        <v>113</v>
      </c>
      <c r="F800">
        <v>78727.87</v>
      </c>
    </row>
    <row r="801" spans="1:6" x14ac:dyDescent="0.3">
      <c r="A801">
        <v>2024</v>
      </c>
      <c r="B801">
        <v>2</v>
      </c>
      <c r="C801" t="s">
        <v>38</v>
      </c>
      <c r="D801" t="s">
        <v>20</v>
      </c>
      <c r="E801">
        <v>33</v>
      </c>
      <c r="F801">
        <v>23530.91</v>
      </c>
    </row>
    <row r="802" spans="1:6" x14ac:dyDescent="0.3">
      <c r="A802">
        <v>2024</v>
      </c>
      <c r="B802">
        <v>2</v>
      </c>
      <c r="C802" t="s">
        <v>38</v>
      </c>
      <c r="D802" t="s">
        <v>21</v>
      </c>
      <c r="E802">
        <v>91</v>
      </c>
      <c r="F802">
        <v>82300.28</v>
      </c>
    </row>
    <row r="803" spans="1:6" x14ac:dyDescent="0.3">
      <c r="A803">
        <v>2024</v>
      </c>
      <c r="B803">
        <v>2</v>
      </c>
      <c r="C803" t="s">
        <v>38</v>
      </c>
      <c r="D803" t="s">
        <v>22</v>
      </c>
      <c r="E803">
        <v>33</v>
      </c>
      <c r="F803">
        <v>22112.32</v>
      </c>
    </row>
    <row r="804" spans="1:6" x14ac:dyDescent="0.3">
      <c r="A804">
        <v>2024</v>
      </c>
      <c r="B804">
        <v>2</v>
      </c>
      <c r="C804" t="s">
        <v>38</v>
      </c>
      <c r="D804" t="s">
        <v>23</v>
      </c>
      <c r="E804">
        <v>42</v>
      </c>
      <c r="F804">
        <v>40801.03</v>
      </c>
    </row>
    <row r="805" spans="1:6" x14ac:dyDescent="0.3">
      <c r="A805">
        <v>2024</v>
      </c>
      <c r="B805">
        <v>2</v>
      </c>
      <c r="C805" t="s">
        <v>38</v>
      </c>
      <c r="D805" t="s">
        <v>24</v>
      </c>
      <c r="E805">
        <v>104</v>
      </c>
      <c r="F805">
        <v>72242.490000000005</v>
      </c>
    </row>
    <row r="806" spans="1:6" x14ac:dyDescent="0.3">
      <c r="A806">
        <v>2024</v>
      </c>
      <c r="B806">
        <v>2</v>
      </c>
      <c r="C806" t="s">
        <v>38</v>
      </c>
      <c r="D806" t="s">
        <v>25</v>
      </c>
      <c r="E806">
        <v>121</v>
      </c>
      <c r="F806">
        <v>99565.14</v>
      </c>
    </row>
    <row r="807" spans="1:6" x14ac:dyDescent="0.3">
      <c r="A807">
        <v>2024</v>
      </c>
      <c r="B807">
        <v>2</v>
      </c>
      <c r="C807" t="s">
        <v>38</v>
      </c>
      <c r="D807" t="s">
        <v>26</v>
      </c>
      <c r="E807">
        <v>49</v>
      </c>
      <c r="F807">
        <v>42570.47</v>
      </c>
    </row>
    <row r="808" spans="1:6" x14ac:dyDescent="0.3">
      <c r="A808">
        <v>2024</v>
      </c>
      <c r="B808">
        <v>2</v>
      </c>
      <c r="C808" t="s">
        <v>38</v>
      </c>
      <c r="D808" t="s">
        <v>27</v>
      </c>
      <c r="E808">
        <v>83</v>
      </c>
      <c r="F808">
        <v>90482.12</v>
      </c>
    </row>
    <row r="809" spans="1:6" x14ac:dyDescent="0.3">
      <c r="A809">
        <v>2024</v>
      </c>
      <c r="B809">
        <v>2</v>
      </c>
      <c r="C809" t="s">
        <v>38</v>
      </c>
      <c r="D809" t="s">
        <v>28</v>
      </c>
      <c r="E809">
        <v>53</v>
      </c>
      <c r="F809">
        <v>39976.69</v>
      </c>
    </row>
    <row r="810" spans="1:6" x14ac:dyDescent="0.3">
      <c r="A810">
        <v>2024</v>
      </c>
      <c r="B810">
        <v>2</v>
      </c>
      <c r="C810" t="s">
        <v>38</v>
      </c>
      <c r="D810" t="s">
        <v>29</v>
      </c>
      <c r="E810">
        <v>91</v>
      </c>
      <c r="F810">
        <v>87086.42</v>
      </c>
    </row>
    <row r="811" spans="1:6" x14ac:dyDescent="0.3">
      <c r="A811">
        <v>2024</v>
      </c>
      <c r="B811">
        <v>2</v>
      </c>
      <c r="C811" t="s">
        <v>38</v>
      </c>
      <c r="D811" t="s">
        <v>30</v>
      </c>
      <c r="E811">
        <v>63</v>
      </c>
      <c r="F811">
        <v>42891.94</v>
      </c>
    </row>
    <row r="812" spans="1:6" x14ac:dyDescent="0.3">
      <c r="A812">
        <v>2024</v>
      </c>
      <c r="B812">
        <v>2</v>
      </c>
      <c r="C812" t="s">
        <v>38</v>
      </c>
      <c r="D812" t="s">
        <v>31</v>
      </c>
      <c r="E812">
        <v>224</v>
      </c>
      <c r="F812">
        <v>226576.02</v>
      </c>
    </row>
    <row r="813" spans="1:6" x14ac:dyDescent="0.3">
      <c r="A813">
        <v>2024</v>
      </c>
      <c r="B813">
        <v>2</v>
      </c>
      <c r="C813" t="s">
        <v>38</v>
      </c>
      <c r="D813" t="s">
        <v>32</v>
      </c>
      <c r="E813">
        <v>53</v>
      </c>
      <c r="F813">
        <v>47143.54</v>
      </c>
    </row>
    <row r="814" spans="1:6" x14ac:dyDescent="0.3">
      <c r="A814">
        <v>2024</v>
      </c>
      <c r="B814">
        <v>2</v>
      </c>
      <c r="C814" t="s">
        <v>38</v>
      </c>
      <c r="D814" t="s">
        <v>33</v>
      </c>
      <c r="E814">
        <v>181</v>
      </c>
      <c r="F814">
        <v>168205.79</v>
      </c>
    </row>
    <row r="815" spans="1:6" x14ac:dyDescent="0.3">
      <c r="A815">
        <v>2024</v>
      </c>
      <c r="B815">
        <v>2</v>
      </c>
      <c r="C815" t="s">
        <v>38</v>
      </c>
      <c r="D815" t="s">
        <v>34</v>
      </c>
      <c r="E815">
        <v>87</v>
      </c>
      <c r="F815">
        <v>77385.03</v>
      </c>
    </row>
    <row r="816" spans="1:6" x14ac:dyDescent="0.3">
      <c r="A816">
        <v>2024</v>
      </c>
      <c r="B816">
        <v>2</v>
      </c>
      <c r="C816" t="s">
        <v>38</v>
      </c>
      <c r="D816" t="s">
        <v>49</v>
      </c>
      <c r="E816">
        <v>2</v>
      </c>
      <c r="F816">
        <v>1129</v>
      </c>
    </row>
    <row r="817" spans="1:6" x14ac:dyDescent="0.3">
      <c r="A817">
        <v>2024</v>
      </c>
      <c r="B817">
        <v>2</v>
      </c>
      <c r="C817" t="s">
        <v>38</v>
      </c>
      <c r="D817" t="s">
        <v>35</v>
      </c>
      <c r="E817">
        <v>49</v>
      </c>
      <c r="F817">
        <v>43612.68</v>
      </c>
    </row>
    <row r="818" spans="1:6" x14ac:dyDescent="0.3">
      <c r="A818">
        <v>2024</v>
      </c>
      <c r="B818">
        <v>2</v>
      </c>
      <c r="C818" t="s">
        <v>38</v>
      </c>
      <c r="D818" t="s">
        <v>36</v>
      </c>
      <c r="E818">
        <v>73</v>
      </c>
      <c r="F818">
        <v>65616.63</v>
      </c>
    </row>
    <row r="819" spans="1:6" x14ac:dyDescent="0.3">
      <c r="A819">
        <v>2024</v>
      </c>
      <c r="B819">
        <v>2</v>
      </c>
      <c r="C819" t="s">
        <v>38</v>
      </c>
      <c r="D819" t="s">
        <v>37</v>
      </c>
      <c r="E819">
        <v>58</v>
      </c>
      <c r="F819">
        <v>51035.06</v>
      </c>
    </row>
    <row r="820" spans="1:6" x14ac:dyDescent="0.3">
      <c r="A820">
        <v>2024</v>
      </c>
      <c r="B820">
        <v>3</v>
      </c>
      <c r="C820" t="s">
        <v>39</v>
      </c>
      <c r="D820" t="s">
        <v>7</v>
      </c>
      <c r="E820">
        <v>57</v>
      </c>
      <c r="F820">
        <v>50516.99</v>
      </c>
    </row>
    <row r="821" spans="1:6" x14ac:dyDescent="0.3">
      <c r="A821">
        <v>2024</v>
      </c>
      <c r="B821">
        <v>3</v>
      </c>
      <c r="C821" t="s">
        <v>39</v>
      </c>
      <c r="D821" t="s">
        <v>8</v>
      </c>
      <c r="E821">
        <v>110</v>
      </c>
      <c r="F821">
        <v>84447.79</v>
      </c>
    </row>
    <row r="822" spans="1:6" x14ac:dyDescent="0.3">
      <c r="A822">
        <v>2024</v>
      </c>
      <c r="B822">
        <v>3</v>
      </c>
      <c r="C822" t="s">
        <v>39</v>
      </c>
      <c r="D822" t="s">
        <v>9</v>
      </c>
      <c r="E822">
        <v>30</v>
      </c>
      <c r="F822">
        <v>23489.37</v>
      </c>
    </row>
    <row r="823" spans="1:6" x14ac:dyDescent="0.3">
      <c r="A823">
        <v>2024</v>
      </c>
      <c r="B823">
        <v>3</v>
      </c>
      <c r="C823" t="s">
        <v>39</v>
      </c>
      <c r="D823" t="s">
        <v>10</v>
      </c>
      <c r="E823">
        <v>127</v>
      </c>
      <c r="F823">
        <v>131593.49</v>
      </c>
    </row>
    <row r="824" spans="1:6" x14ac:dyDescent="0.3">
      <c r="A824">
        <v>2024</v>
      </c>
      <c r="B824">
        <v>3</v>
      </c>
      <c r="C824" t="s">
        <v>39</v>
      </c>
      <c r="D824" t="s">
        <v>11</v>
      </c>
      <c r="E824">
        <v>72</v>
      </c>
      <c r="F824">
        <v>60066.75</v>
      </c>
    </row>
    <row r="825" spans="1:6" x14ac:dyDescent="0.3">
      <c r="A825">
        <v>2024</v>
      </c>
      <c r="B825">
        <v>3</v>
      </c>
      <c r="C825" t="s">
        <v>39</v>
      </c>
      <c r="D825" t="s">
        <v>12</v>
      </c>
      <c r="E825">
        <v>126</v>
      </c>
      <c r="F825">
        <v>91809.46</v>
      </c>
    </row>
    <row r="826" spans="1:6" x14ac:dyDescent="0.3">
      <c r="A826">
        <v>2024</v>
      </c>
      <c r="B826">
        <v>3</v>
      </c>
      <c r="C826" t="s">
        <v>39</v>
      </c>
      <c r="D826" t="s">
        <v>13</v>
      </c>
      <c r="E826">
        <v>158</v>
      </c>
      <c r="F826">
        <v>120423</v>
      </c>
    </row>
    <row r="827" spans="1:6" x14ac:dyDescent="0.3">
      <c r="A827">
        <v>2024</v>
      </c>
      <c r="B827">
        <v>3</v>
      </c>
      <c r="C827" t="s">
        <v>39</v>
      </c>
      <c r="D827" t="s">
        <v>14</v>
      </c>
      <c r="E827">
        <v>136</v>
      </c>
      <c r="F827">
        <v>96369.79</v>
      </c>
    </row>
    <row r="828" spans="1:6" x14ac:dyDescent="0.3">
      <c r="A828">
        <v>2024</v>
      </c>
      <c r="B828">
        <v>3</v>
      </c>
      <c r="C828" t="s">
        <v>39</v>
      </c>
      <c r="D828" t="s">
        <v>15</v>
      </c>
      <c r="E828">
        <v>36</v>
      </c>
      <c r="F828">
        <v>32547.06</v>
      </c>
    </row>
    <row r="829" spans="1:6" x14ac:dyDescent="0.3">
      <c r="A829">
        <v>2024</v>
      </c>
      <c r="B829">
        <v>3</v>
      </c>
      <c r="C829" t="s">
        <v>39</v>
      </c>
      <c r="D829" t="s">
        <v>16</v>
      </c>
      <c r="E829">
        <v>147</v>
      </c>
      <c r="F829">
        <v>123796.86</v>
      </c>
    </row>
    <row r="830" spans="1:6" x14ac:dyDescent="0.3">
      <c r="A830">
        <v>2024</v>
      </c>
      <c r="B830">
        <v>3</v>
      </c>
      <c r="C830" t="s">
        <v>39</v>
      </c>
      <c r="D830" t="s">
        <v>17</v>
      </c>
      <c r="E830">
        <v>196</v>
      </c>
      <c r="F830">
        <v>155767.09</v>
      </c>
    </row>
    <row r="831" spans="1:6" x14ac:dyDescent="0.3">
      <c r="A831">
        <v>2024</v>
      </c>
      <c r="B831">
        <v>3</v>
      </c>
      <c r="C831" t="s">
        <v>39</v>
      </c>
      <c r="D831" t="s">
        <v>18</v>
      </c>
      <c r="E831">
        <v>210</v>
      </c>
      <c r="F831">
        <v>195599.77</v>
      </c>
    </row>
    <row r="832" spans="1:6" x14ac:dyDescent="0.3">
      <c r="A832">
        <v>2024</v>
      </c>
      <c r="B832">
        <v>3</v>
      </c>
      <c r="C832" t="s">
        <v>39</v>
      </c>
      <c r="D832" t="s">
        <v>19</v>
      </c>
      <c r="E832">
        <v>104</v>
      </c>
      <c r="F832">
        <v>76058.429999999993</v>
      </c>
    </row>
    <row r="833" spans="1:6" x14ac:dyDescent="0.3">
      <c r="A833">
        <v>2024</v>
      </c>
      <c r="B833">
        <v>3</v>
      </c>
      <c r="C833" t="s">
        <v>39</v>
      </c>
      <c r="D833" t="s">
        <v>20</v>
      </c>
      <c r="E833">
        <v>85</v>
      </c>
      <c r="F833">
        <v>63765.61</v>
      </c>
    </row>
    <row r="834" spans="1:6" x14ac:dyDescent="0.3">
      <c r="A834">
        <v>2024</v>
      </c>
      <c r="B834">
        <v>3</v>
      </c>
      <c r="C834" t="s">
        <v>39</v>
      </c>
      <c r="D834" t="s">
        <v>21</v>
      </c>
      <c r="E834">
        <v>260</v>
      </c>
      <c r="F834">
        <v>242319.75</v>
      </c>
    </row>
    <row r="835" spans="1:6" x14ac:dyDescent="0.3">
      <c r="A835">
        <v>2024</v>
      </c>
      <c r="B835">
        <v>3</v>
      </c>
      <c r="C835" t="s">
        <v>39</v>
      </c>
      <c r="D835" t="s">
        <v>22</v>
      </c>
      <c r="E835">
        <v>76</v>
      </c>
      <c r="F835">
        <v>50722.25</v>
      </c>
    </row>
    <row r="836" spans="1:6" x14ac:dyDescent="0.3">
      <c r="A836">
        <v>2024</v>
      </c>
      <c r="B836">
        <v>3</v>
      </c>
      <c r="C836" t="s">
        <v>39</v>
      </c>
      <c r="D836" t="s">
        <v>23</v>
      </c>
      <c r="E836">
        <v>66</v>
      </c>
      <c r="F836">
        <v>69237.16</v>
      </c>
    </row>
    <row r="837" spans="1:6" x14ac:dyDescent="0.3">
      <c r="A837">
        <v>2024</v>
      </c>
      <c r="B837">
        <v>3</v>
      </c>
      <c r="C837" t="s">
        <v>39</v>
      </c>
      <c r="D837" t="s">
        <v>24</v>
      </c>
      <c r="E837">
        <v>170</v>
      </c>
      <c r="F837">
        <v>121263.95</v>
      </c>
    </row>
    <row r="838" spans="1:6" x14ac:dyDescent="0.3">
      <c r="A838">
        <v>2024</v>
      </c>
      <c r="B838">
        <v>3</v>
      </c>
      <c r="C838" t="s">
        <v>39</v>
      </c>
      <c r="D838" t="s">
        <v>25</v>
      </c>
      <c r="E838">
        <v>134</v>
      </c>
      <c r="F838">
        <v>109334.42</v>
      </c>
    </row>
    <row r="839" spans="1:6" x14ac:dyDescent="0.3">
      <c r="A839">
        <v>2024</v>
      </c>
      <c r="B839">
        <v>3</v>
      </c>
      <c r="C839" t="s">
        <v>39</v>
      </c>
      <c r="D839" t="s">
        <v>26</v>
      </c>
      <c r="E839">
        <v>86</v>
      </c>
      <c r="F839">
        <v>76127.759999999995</v>
      </c>
    </row>
    <row r="840" spans="1:6" x14ac:dyDescent="0.3">
      <c r="A840">
        <v>2024</v>
      </c>
      <c r="B840">
        <v>3</v>
      </c>
      <c r="C840" t="s">
        <v>39</v>
      </c>
      <c r="D840" t="s">
        <v>27</v>
      </c>
      <c r="E840">
        <v>122</v>
      </c>
      <c r="F840">
        <v>126140.75</v>
      </c>
    </row>
    <row r="841" spans="1:6" x14ac:dyDescent="0.3">
      <c r="A841">
        <v>2024</v>
      </c>
      <c r="B841">
        <v>3</v>
      </c>
      <c r="C841" t="s">
        <v>39</v>
      </c>
      <c r="D841" t="s">
        <v>28</v>
      </c>
      <c r="E841">
        <v>54</v>
      </c>
      <c r="F841">
        <v>41348.82</v>
      </c>
    </row>
    <row r="842" spans="1:6" x14ac:dyDescent="0.3">
      <c r="A842">
        <v>2024</v>
      </c>
      <c r="B842">
        <v>3</v>
      </c>
      <c r="C842" t="s">
        <v>39</v>
      </c>
      <c r="D842" t="s">
        <v>29</v>
      </c>
      <c r="E842">
        <v>123</v>
      </c>
      <c r="F842">
        <v>108739.32</v>
      </c>
    </row>
    <row r="843" spans="1:6" x14ac:dyDescent="0.3">
      <c r="A843">
        <v>2024</v>
      </c>
      <c r="B843">
        <v>3</v>
      </c>
      <c r="C843" t="s">
        <v>39</v>
      </c>
      <c r="D843" t="s">
        <v>30</v>
      </c>
      <c r="E843">
        <v>47</v>
      </c>
      <c r="F843">
        <v>31546.45</v>
      </c>
    </row>
    <row r="844" spans="1:6" x14ac:dyDescent="0.3">
      <c r="A844">
        <v>2024</v>
      </c>
      <c r="B844">
        <v>3</v>
      </c>
      <c r="C844" t="s">
        <v>39</v>
      </c>
      <c r="D844" t="s">
        <v>31</v>
      </c>
      <c r="E844">
        <v>315</v>
      </c>
      <c r="F844">
        <v>295243.01</v>
      </c>
    </row>
    <row r="845" spans="1:6" x14ac:dyDescent="0.3">
      <c r="A845">
        <v>2024</v>
      </c>
      <c r="B845">
        <v>3</v>
      </c>
      <c r="C845" t="s">
        <v>39</v>
      </c>
      <c r="D845" t="s">
        <v>32</v>
      </c>
      <c r="E845">
        <v>92</v>
      </c>
      <c r="F845">
        <v>80545.279999999999</v>
      </c>
    </row>
    <row r="846" spans="1:6" x14ac:dyDescent="0.3">
      <c r="A846">
        <v>2024</v>
      </c>
      <c r="B846">
        <v>3</v>
      </c>
      <c r="C846" t="s">
        <v>39</v>
      </c>
      <c r="D846" t="s">
        <v>33</v>
      </c>
      <c r="E846">
        <v>214</v>
      </c>
      <c r="F846">
        <v>198320.72</v>
      </c>
    </row>
    <row r="847" spans="1:6" x14ac:dyDescent="0.3">
      <c r="A847">
        <v>2024</v>
      </c>
      <c r="B847">
        <v>3</v>
      </c>
      <c r="C847" t="s">
        <v>39</v>
      </c>
      <c r="D847" t="s">
        <v>34</v>
      </c>
      <c r="E847">
        <v>154</v>
      </c>
      <c r="F847">
        <v>144723.60999999999</v>
      </c>
    </row>
    <row r="848" spans="1:6" x14ac:dyDescent="0.3">
      <c r="A848">
        <v>2024</v>
      </c>
      <c r="B848">
        <v>3</v>
      </c>
      <c r="C848" t="s">
        <v>39</v>
      </c>
      <c r="D848" t="s">
        <v>49</v>
      </c>
      <c r="E848">
        <v>52</v>
      </c>
      <c r="F848">
        <v>31985.22</v>
      </c>
    </row>
    <row r="849" spans="1:6" x14ac:dyDescent="0.3">
      <c r="A849">
        <v>2024</v>
      </c>
      <c r="B849">
        <v>3</v>
      </c>
      <c r="C849" t="s">
        <v>39</v>
      </c>
      <c r="D849" t="s">
        <v>35</v>
      </c>
      <c r="E849">
        <v>94</v>
      </c>
      <c r="F849">
        <v>83248.009999999995</v>
      </c>
    </row>
    <row r="850" spans="1:6" x14ac:dyDescent="0.3">
      <c r="A850">
        <v>2024</v>
      </c>
      <c r="B850">
        <v>3</v>
      </c>
      <c r="C850" t="s">
        <v>39</v>
      </c>
      <c r="D850" t="s">
        <v>36</v>
      </c>
      <c r="E850">
        <v>136</v>
      </c>
      <c r="F850">
        <v>119571.82</v>
      </c>
    </row>
    <row r="851" spans="1:6" x14ac:dyDescent="0.3">
      <c r="A851">
        <v>2024</v>
      </c>
      <c r="B851">
        <v>3</v>
      </c>
      <c r="C851" t="s">
        <v>39</v>
      </c>
      <c r="D851" t="s">
        <v>37</v>
      </c>
      <c r="E851">
        <v>189</v>
      </c>
      <c r="F851">
        <v>165510.29</v>
      </c>
    </row>
    <row r="852" spans="1:6" x14ac:dyDescent="0.3">
      <c r="A852">
        <v>2024</v>
      </c>
      <c r="B852">
        <v>4</v>
      </c>
      <c r="C852" t="s">
        <v>40</v>
      </c>
      <c r="D852" t="s">
        <v>7</v>
      </c>
      <c r="E852">
        <v>203</v>
      </c>
      <c r="F852">
        <v>183753.61</v>
      </c>
    </row>
    <row r="853" spans="1:6" x14ac:dyDescent="0.3">
      <c r="A853">
        <v>2024</v>
      </c>
      <c r="B853">
        <v>4</v>
      </c>
      <c r="C853" t="s">
        <v>40</v>
      </c>
      <c r="D853" t="s">
        <v>8</v>
      </c>
      <c r="E853">
        <v>209</v>
      </c>
      <c r="F853">
        <v>154031.74</v>
      </c>
    </row>
    <row r="854" spans="1:6" x14ac:dyDescent="0.3">
      <c r="A854">
        <v>2024</v>
      </c>
      <c r="B854">
        <v>4</v>
      </c>
      <c r="C854" t="s">
        <v>40</v>
      </c>
      <c r="D854" t="s">
        <v>9</v>
      </c>
      <c r="E854">
        <v>174</v>
      </c>
      <c r="F854">
        <v>130613.96</v>
      </c>
    </row>
    <row r="855" spans="1:6" x14ac:dyDescent="0.3">
      <c r="A855">
        <v>2024</v>
      </c>
      <c r="B855">
        <v>4</v>
      </c>
      <c r="C855" t="s">
        <v>40</v>
      </c>
      <c r="D855" t="s">
        <v>10</v>
      </c>
      <c r="E855">
        <v>206</v>
      </c>
      <c r="F855">
        <v>207393.73</v>
      </c>
    </row>
    <row r="856" spans="1:6" x14ac:dyDescent="0.3">
      <c r="A856">
        <v>2024</v>
      </c>
      <c r="B856">
        <v>4</v>
      </c>
      <c r="C856" t="s">
        <v>40</v>
      </c>
      <c r="D856" t="s">
        <v>11</v>
      </c>
      <c r="E856">
        <v>165</v>
      </c>
      <c r="F856">
        <v>136967.56</v>
      </c>
    </row>
    <row r="857" spans="1:6" x14ac:dyDescent="0.3">
      <c r="A857">
        <v>2024</v>
      </c>
      <c r="B857">
        <v>4</v>
      </c>
      <c r="C857" t="s">
        <v>40</v>
      </c>
      <c r="D857" t="s">
        <v>12</v>
      </c>
      <c r="E857">
        <v>129</v>
      </c>
      <c r="F857">
        <v>111068.47</v>
      </c>
    </row>
    <row r="858" spans="1:6" x14ac:dyDescent="0.3">
      <c r="A858">
        <v>2024</v>
      </c>
      <c r="B858">
        <v>4</v>
      </c>
      <c r="C858" t="s">
        <v>40</v>
      </c>
      <c r="D858" t="s">
        <v>13</v>
      </c>
      <c r="E858">
        <v>183</v>
      </c>
      <c r="F858">
        <v>126084.66</v>
      </c>
    </row>
    <row r="859" spans="1:6" x14ac:dyDescent="0.3">
      <c r="A859">
        <v>2024</v>
      </c>
      <c r="B859">
        <v>4</v>
      </c>
      <c r="C859" t="s">
        <v>40</v>
      </c>
      <c r="D859" t="s">
        <v>14</v>
      </c>
      <c r="E859">
        <v>139</v>
      </c>
      <c r="F859">
        <v>102910.57</v>
      </c>
    </row>
    <row r="860" spans="1:6" x14ac:dyDescent="0.3">
      <c r="A860">
        <v>2024</v>
      </c>
      <c r="B860">
        <v>4</v>
      </c>
      <c r="C860" t="s">
        <v>40</v>
      </c>
      <c r="D860" t="s">
        <v>15</v>
      </c>
      <c r="E860">
        <v>57</v>
      </c>
      <c r="F860">
        <v>43745.91</v>
      </c>
    </row>
    <row r="861" spans="1:6" x14ac:dyDescent="0.3">
      <c r="A861">
        <v>2024</v>
      </c>
      <c r="B861">
        <v>4</v>
      </c>
      <c r="C861" t="s">
        <v>40</v>
      </c>
      <c r="D861" t="s">
        <v>16</v>
      </c>
      <c r="E861">
        <v>135</v>
      </c>
      <c r="F861">
        <v>110161.18</v>
      </c>
    </row>
    <row r="862" spans="1:6" x14ac:dyDescent="0.3">
      <c r="A862">
        <v>2024</v>
      </c>
      <c r="B862">
        <v>4</v>
      </c>
      <c r="C862" t="s">
        <v>40</v>
      </c>
      <c r="D862" t="s">
        <v>17</v>
      </c>
      <c r="E862">
        <v>623</v>
      </c>
      <c r="F862">
        <v>528236.1</v>
      </c>
    </row>
    <row r="863" spans="1:6" x14ac:dyDescent="0.3">
      <c r="A863">
        <v>2024</v>
      </c>
      <c r="B863">
        <v>4</v>
      </c>
      <c r="C863" t="s">
        <v>40</v>
      </c>
      <c r="D863" t="s">
        <v>18</v>
      </c>
      <c r="E863">
        <v>413</v>
      </c>
      <c r="F863">
        <v>374276.83</v>
      </c>
    </row>
    <row r="864" spans="1:6" x14ac:dyDescent="0.3">
      <c r="A864">
        <v>2024</v>
      </c>
      <c r="B864">
        <v>4</v>
      </c>
      <c r="C864" t="s">
        <v>40</v>
      </c>
      <c r="D864" t="s">
        <v>50</v>
      </c>
      <c r="E864">
        <v>84</v>
      </c>
      <c r="F864">
        <v>65667</v>
      </c>
    </row>
    <row r="865" spans="1:6" x14ac:dyDescent="0.3">
      <c r="A865">
        <v>2024</v>
      </c>
      <c r="B865">
        <v>4</v>
      </c>
      <c r="C865" t="s">
        <v>40</v>
      </c>
      <c r="D865" t="s">
        <v>19</v>
      </c>
      <c r="E865">
        <v>133</v>
      </c>
      <c r="F865">
        <v>98521.42</v>
      </c>
    </row>
    <row r="866" spans="1:6" x14ac:dyDescent="0.3">
      <c r="A866">
        <v>2024</v>
      </c>
      <c r="B866">
        <v>4</v>
      </c>
      <c r="C866" t="s">
        <v>40</v>
      </c>
      <c r="D866" t="s">
        <v>20</v>
      </c>
      <c r="E866">
        <v>187</v>
      </c>
      <c r="F866">
        <v>146526.54999999999</v>
      </c>
    </row>
    <row r="867" spans="1:6" x14ac:dyDescent="0.3">
      <c r="A867">
        <v>2024</v>
      </c>
      <c r="B867">
        <v>4</v>
      </c>
      <c r="C867" t="s">
        <v>40</v>
      </c>
      <c r="D867" t="s">
        <v>21</v>
      </c>
      <c r="E867">
        <v>330</v>
      </c>
      <c r="F867">
        <v>311328.84000000003</v>
      </c>
    </row>
    <row r="868" spans="1:6" x14ac:dyDescent="0.3">
      <c r="A868">
        <v>2024</v>
      </c>
      <c r="B868">
        <v>4</v>
      </c>
      <c r="C868" t="s">
        <v>40</v>
      </c>
      <c r="D868" t="s">
        <v>22</v>
      </c>
      <c r="E868">
        <v>164</v>
      </c>
      <c r="F868">
        <v>112968.08</v>
      </c>
    </row>
    <row r="869" spans="1:6" x14ac:dyDescent="0.3">
      <c r="A869">
        <v>2024</v>
      </c>
      <c r="B869">
        <v>4</v>
      </c>
      <c r="C869" t="s">
        <v>40</v>
      </c>
      <c r="D869" t="s">
        <v>23</v>
      </c>
      <c r="E869">
        <v>207</v>
      </c>
      <c r="F869">
        <v>207009.86</v>
      </c>
    </row>
    <row r="870" spans="1:6" x14ac:dyDescent="0.3">
      <c r="A870">
        <v>2024</v>
      </c>
      <c r="B870">
        <v>4</v>
      </c>
      <c r="C870" t="s">
        <v>40</v>
      </c>
      <c r="D870" t="s">
        <v>24</v>
      </c>
      <c r="E870">
        <v>204</v>
      </c>
      <c r="F870">
        <v>154258.87</v>
      </c>
    </row>
    <row r="871" spans="1:6" x14ac:dyDescent="0.3">
      <c r="A871">
        <v>2024</v>
      </c>
      <c r="B871">
        <v>4</v>
      </c>
      <c r="C871" t="s">
        <v>40</v>
      </c>
      <c r="D871" t="s">
        <v>25</v>
      </c>
      <c r="E871">
        <v>276</v>
      </c>
      <c r="F871">
        <v>226885.51</v>
      </c>
    </row>
    <row r="872" spans="1:6" x14ac:dyDescent="0.3">
      <c r="A872">
        <v>2024</v>
      </c>
      <c r="B872">
        <v>4</v>
      </c>
      <c r="C872" t="s">
        <v>40</v>
      </c>
      <c r="D872" t="s">
        <v>26</v>
      </c>
      <c r="E872">
        <v>142</v>
      </c>
      <c r="F872">
        <v>129759.84</v>
      </c>
    </row>
    <row r="873" spans="1:6" x14ac:dyDescent="0.3">
      <c r="A873">
        <v>2024</v>
      </c>
      <c r="B873">
        <v>4</v>
      </c>
      <c r="C873" t="s">
        <v>40</v>
      </c>
      <c r="D873" t="s">
        <v>27</v>
      </c>
      <c r="E873">
        <v>234</v>
      </c>
      <c r="F873">
        <v>215479.51</v>
      </c>
    </row>
    <row r="874" spans="1:6" x14ac:dyDescent="0.3">
      <c r="A874">
        <v>2024</v>
      </c>
      <c r="B874">
        <v>4</v>
      </c>
      <c r="C874" t="s">
        <v>40</v>
      </c>
      <c r="D874" t="s">
        <v>28</v>
      </c>
      <c r="E874">
        <v>70</v>
      </c>
      <c r="F874">
        <v>52082.17</v>
      </c>
    </row>
    <row r="875" spans="1:6" x14ac:dyDescent="0.3">
      <c r="A875">
        <v>2024</v>
      </c>
      <c r="B875">
        <v>4</v>
      </c>
      <c r="C875" t="s">
        <v>40</v>
      </c>
      <c r="D875" t="s">
        <v>29</v>
      </c>
      <c r="E875">
        <v>277</v>
      </c>
      <c r="F875">
        <v>227848.94</v>
      </c>
    </row>
    <row r="876" spans="1:6" x14ac:dyDescent="0.3">
      <c r="A876">
        <v>2024</v>
      </c>
      <c r="B876">
        <v>4</v>
      </c>
      <c r="C876" t="s">
        <v>40</v>
      </c>
      <c r="D876" t="s">
        <v>30</v>
      </c>
      <c r="E876">
        <v>45</v>
      </c>
      <c r="F876">
        <v>31737.37</v>
      </c>
    </row>
    <row r="877" spans="1:6" x14ac:dyDescent="0.3">
      <c r="A877">
        <v>2024</v>
      </c>
      <c r="B877">
        <v>4</v>
      </c>
      <c r="C877" t="s">
        <v>40</v>
      </c>
      <c r="D877" t="s">
        <v>31</v>
      </c>
      <c r="E877">
        <v>657</v>
      </c>
      <c r="F877">
        <v>604191.41</v>
      </c>
    </row>
    <row r="878" spans="1:6" x14ac:dyDescent="0.3">
      <c r="A878">
        <v>2024</v>
      </c>
      <c r="B878">
        <v>4</v>
      </c>
      <c r="C878" t="s">
        <v>40</v>
      </c>
      <c r="D878" t="s">
        <v>51</v>
      </c>
      <c r="E878">
        <v>59</v>
      </c>
      <c r="F878">
        <v>40099</v>
      </c>
    </row>
    <row r="879" spans="1:6" x14ac:dyDescent="0.3">
      <c r="A879">
        <v>2024</v>
      </c>
      <c r="B879">
        <v>4</v>
      </c>
      <c r="C879" t="s">
        <v>40</v>
      </c>
      <c r="D879" t="s">
        <v>32</v>
      </c>
      <c r="E879">
        <v>214</v>
      </c>
      <c r="F879">
        <v>181602.27</v>
      </c>
    </row>
    <row r="880" spans="1:6" x14ac:dyDescent="0.3">
      <c r="A880">
        <v>2024</v>
      </c>
      <c r="B880">
        <v>4</v>
      </c>
      <c r="C880" t="s">
        <v>40</v>
      </c>
      <c r="D880" t="s">
        <v>52</v>
      </c>
      <c r="E880">
        <v>1</v>
      </c>
      <c r="F880">
        <v>0</v>
      </c>
    </row>
    <row r="881" spans="1:6" x14ac:dyDescent="0.3">
      <c r="A881">
        <v>2024</v>
      </c>
      <c r="B881">
        <v>4</v>
      </c>
      <c r="C881" t="s">
        <v>40</v>
      </c>
      <c r="D881" t="s">
        <v>33</v>
      </c>
      <c r="E881">
        <v>339</v>
      </c>
      <c r="F881">
        <v>325273.19</v>
      </c>
    </row>
    <row r="882" spans="1:6" x14ac:dyDescent="0.3">
      <c r="A882">
        <v>2024</v>
      </c>
      <c r="B882">
        <v>4</v>
      </c>
      <c r="C882" t="s">
        <v>40</v>
      </c>
      <c r="D882" t="s">
        <v>34</v>
      </c>
      <c r="E882">
        <v>247</v>
      </c>
      <c r="F882">
        <v>202235.51</v>
      </c>
    </row>
    <row r="883" spans="1:6" x14ac:dyDescent="0.3">
      <c r="A883">
        <v>2024</v>
      </c>
      <c r="B883">
        <v>4</v>
      </c>
      <c r="C883" t="s">
        <v>40</v>
      </c>
      <c r="D883" t="s">
        <v>49</v>
      </c>
      <c r="E883">
        <v>87</v>
      </c>
      <c r="F883">
        <v>65077</v>
      </c>
    </row>
    <row r="884" spans="1:6" x14ac:dyDescent="0.3">
      <c r="A884">
        <v>2024</v>
      </c>
      <c r="B884">
        <v>4</v>
      </c>
      <c r="C884" t="s">
        <v>40</v>
      </c>
      <c r="D884" t="s">
        <v>53</v>
      </c>
      <c r="E884">
        <v>1</v>
      </c>
      <c r="F884">
        <v>0</v>
      </c>
    </row>
    <row r="885" spans="1:6" x14ac:dyDescent="0.3">
      <c r="A885">
        <v>2024</v>
      </c>
      <c r="B885">
        <v>4</v>
      </c>
      <c r="C885" t="s">
        <v>40</v>
      </c>
      <c r="D885" t="s">
        <v>35</v>
      </c>
      <c r="E885">
        <v>171</v>
      </c>
      <c r="F885">
        <v>147683.66</v>
      </c>
    </row>
    <row r="886" spans="1:6" x14ac:dyDescent="0.3">
      <c r="A886">
        <v>2024</v>
      </c>
      <c r="B886">
        <v>4</v>
      </c>
      <c r="C886" t="s">
        <v>40</v>
      </c>
      <c r="D886" t="s">
        <v>36</v>
      </c>
      <c r="E886">
        <v>241</v>
      </c>
      <c r="F886">
        <v>194290.78</v>
      </c>
    </row>
    <row r="887" spans="1:6" x14ac:dyDescent="0.3">
      <c r="A887">
        <v>2024</v>
      </c>
      <c r="B887">
        <v>4</v>
      </c>
      <c r="C887" t="s">
        <v>40</v>
      </c>
      <c r="D887" t="s">
        <v>37</v>
      </c>
      <c r="E887">
        <v>376</v>
      </c>
      <c r="F887">
        <v>315662.53000000003</v>
      </c>
    </row>
    <row r="888" spans="1:6" x14ac:dyDescent="0.3">
      <c r="A888">
        <v>2024</v>
      </c>
      <c r="B888">
        <v>5</v>
      </c>
      <c r="C888" t="s">
        <v>41</v>
      </c>
      <c r="D888" t="s">
        <v>7</v>
      </c>
      <c r="E888">
        <v>935</v>
      </c>
      <c r="F888">
        <v>842566.85</v>
      </c>
    </row>
    <row r="889" spans="1:6" x14ac:dyDescent="0.3">
      <c r="A889">
        <v>2024</v>
      </c>
      <c r="B889">
        <v>5</v>
      </c>
      <c r="C889" t="s">
        <v>41</v>
      </c>
      <c r="D889" t="s">
        <v>8</v>
      </c>
      <c r="E889">
        <v>334</v>
      </c>
      <c r="F889">
        <v>239269.41</v>
      </c>
    </row>
    <row r="890" spans="1:6" x14ac:dyDescent="0.3">
      <c r="A890">
        <v>2024</v>
      </c>
      <c r="B890">
        <v>5</v>
      </c>
      <c r="C890" t="s">
        <v>41</v>
      </c>
      <c r="D890" t="s">
        <v>9</v>
      </c>
      <c r="E890">
        <v>40</v>
      </c>
      <c r="F890">
        <v>25447.15</v>
      </c>
    </row>
    <row r="891" spans="1:6" x14ac:dyDescent="0.3">
      <c r="A891">
        <v>2024</v>
      </c>
      <c r="B891">
        <v>5</v>
      </c>
      <c r="C891" t="s">
        <v>41</v>
      </c>
      <c r="D891" t="s">
        <v>10</v>
      </c>
      <c r="E891">
        <v>477</v>
      </c>
      <c r="F891">
        <v>437649.78</v>
      </c>
    </row>
    <row r="892" spans="1:6" x14ac:dyDescent="0.3">
      <c r="A892">
        <v>2024</v>
      </c>
      <c r="B892">
        <v>5</v>
      </c>
      <c r="C892" t="s">
        <v>41</v>
      </c>
      <c r="D892" t="s">
        <v>11</v>
      </c>
      <c r="E892">
        <v>546</v>
      </c>
      <c r="F892">
        <v>437615.96</v>
      </c>
    </row>
    <row r="893" spans="1:6" x14ac:dyDescent="0.3">
      <c r="A893">
        <v>2024</v>
      </c>
      <c r="B893">
        <v>5</v>
      </c>
      <c r="C893" t="s">
        <v>41</v>
      </c>
      <c r="D893" t="s">
        <v>12</v>
      </c>
      <c r="E893">
        <v>173</v>
      </c>
      <c r="F893">
        <v>118527.56</v>
      </c>
    </row>
    <row r="894" spans="1:6" x14ac:dyDescent="0.3">
      <c r="A894">
        <v>2024</v>
      </c>
      <c r="B894">
        <v>5</v>
      </c>
      <c r="C894" t="s">
        <v>41</v>
      </c>
      <c r="D894" t="s">
        <v>13</v>
      </c>
      <c r="E894">
        <v>218</v>
      </c>
      <c r="F894">
        <v>141185.19</v>
      </c>
    </row>
    <row r="895" spans="1:6" x14ac:dyDescent="0.3">
      <c r="A895">
        <v>2024</v>
      </c>
      <c r="B895">
        <v>5</v>
      </c>
      <c r="C895" t="s">
        <v>41</v>
      </c>
      <c r="D895" t="s">
        <v>14</v>
      </c>
      <c r="E895">
        <v>235</v>
      </c>
      <c r="F895">
        <v>156909.56</v>
      </c>
    </row>
    <row r="896" spans="1:6" x14ac:dyDescent="0.3">
      <c r="A896">
        <v>2024</v>
      </c>
      <c r="B896">
        <v>5</v>
      </c>
      <c r="C896" t="s">
        <v>41</v>
      </c>
      <c r="D896" t="s">
        <v>15</v>
      </c>
      <c r="E896">
        <v>106</v>
      </c>
      <c r="F896">
        <v>76317.27</v>
      </c>
    </row>
    <row r="897" spans="1:6" x14ac:dyDescent="0.3">
      <c r="A897">
        <v>2024</v>
      </c>
      <c r="B897">
        <v>5</v>
      </c>
      <c r="C897" t="s">
        <v>41</v>
      </c>
      <c r="D897" t="s">
        <v>16</v>
      </c>
      <c r="E897">
        <v>122</v>
      </c>
      <c r="F897">
        <v>103861.13</v>
      </c>
    </row>
    <row r="898" spans="1:6" x14ac:dyDescent="0.3">
      <c r="A898">
        <v>2024</v>
      </c>
      <c r="B898">
        <v>5</v>
      </c>
      <c r="C898" t="s">
        <v>41</v>
      </c>
      <c r="D898" t="s">
        <v>17</v>
      </c>
      <c r="E898">
        <v>1234</v>
      </c>
      <c r="F898">
        <v>1006656.94</v>
      </c>
    </row>
    <row r="899" spans="1:6" x14ac:dyDescent="0.3">
      <c r="A899">
        <v>2024</v>
      </c>
      <c r="B899">
        <v>5</v>
      </c>
      <c r="C899" t="s">
        <v>41</v>
      </c>
      <c r="D899" t="s">
        <v>18</v>
      </c>
      <c r="E899">
        <v>703</v>
      </c>
      <c r="F899">
        <v>615347.81999999995</v>
      </c>
    </row>
    <row r="900" spans="1:6" x14ac:dyDescent="0.3">
      <c r="A900">
        <v>2024</v>
      </c>
      <c r="B900">
        <v>5</v>
      </c>
      <c r="C900" t="s">
        <v>41</v>
      </c>
      <c r="D900" t="s">
        <v>50</v>
      </c>
      <c r="E900">
        <v>727</v>
      </c>
      <c r="F900">
        <v>580335.47</v>
      </c>
    </row>
    <row r="901" spans="1:6" x14ac:dyDescent="0.3">
      <c r="A901">
        <v>2024</v>
      </c>
      <c r="B901">
        <v>5</v>
      </c>
      <c r="C901" t="s">
        <v>41</v>
      </c>
      <c r="D901" t="s">
        <v>19</v>
      </c>
      <c r="E901">
        <v>301</v>
      </c>
      <c r="F901">
        <v>210437.41</v>
      </c>
    </row>
    <row r="902" spans="1:6" x14ac:dyDescent="0.3">
      <c r="A902">
        <v>2024</v>
      </c>
      <c r="B902">
        <v>5</v>
      </c>
      <c r="C902" t="s">
        <v>41</v>
      </c>
      <c r="D902" t="s">
        <v>20</v>
      </c>
      <c r="E902">
        <v>253</v>
      </c>
      <c r="F902">
        <v>198512.16</v>
      </c>
    </row>
    <row r="903" spans="1:6" x14ac:dyDescent="0.3">
      <c r="A903">
        <v>2024</v>
      </c>
      <c r="B903">
        <v>5</v>
      </c>
      <c r="C903" t="s">
        <v>41</v>
      </c>
      <c r="D903" t="s">
        <v>21</v>
      </c>
      <c r="E903">
        <v>353</v>
      </c>
      <c r="F903">
        <v>317889.32</v>
      </c>
    </row>
    <row r="904" spans="1:6" x14ac:dyDescent="0.3">
      <c r="A904">
        <v>2024</v>
      </c>
      <c r="B904">
        <v>5</v>
      </c>
      <c r="C904" t="s">
        <v>41</v>
      </c>
      <c r="D904" t="s">
        <v>22</v>
      </c>
      <c r="E904">
        <v>223</v>
      </c>
      <c r="F904">
        <v>150957.13</v>
      </c>
    </row>
    <row r="905" spans="1:6" x14ac:dyDescent="0.3">
      <c r="A905">
        <v>2024</v>
      </c>
      <c r="B905">
        <v>5</v>
      </c>
      <c r="C905" t="s">
        <v>41</v>
      </c>
      <c r="D905" t="s">
        <v>23</v>
      </c>
      <c r="E905">
        <v>681</v>
      </c>
      <c r="F905">
        <v>634485.29</v>
      </c>
    </row>
    <row r="906" spans="1:6" x14ac:dyDescent="0.3">
      <c r="A906">
        <v>2024</v>
      </c>
      <c r="B906">
        <v>5</v>
      </c>
      <c r="C906" t="s">
        <v>41</v>
      </c>
      <c r="D906" t="s">
        <v>24</v>
      </c>
      <c r="E906">
        <v>243</v>
      </c>
      <c r="F906">
        <v>176119.49</v>
      </c>
    </row>
    <row r="907" spans="1:6" x14ac:dyDescent="0.3">
      <c r="A907">
        <v>2024</v>
      </c>
      <c r="B907">
        <v>5</v>
      </c>
      <c r="C907" t="s">
        <v>41</v>
      </c>
      <c r="D907" t="s">
        <v>25</v>
      </c>
      <c r="E907">
        <v>668</v>
      </c>
      <c r="F907">
        <v>541104.19999999995</v>
      </c>
    </row>
    <row r="908" spans="1:6" x14ac:dyDescent="0.3">
      <c r="A908">
        <v>2024</v>
      </c>
      <c r="B908">
        <v>5</v>
      </c>
      <c r="C908" t="s">
        <v>41</v>
      </c>
      <c r="D908" t="s">
        <v>26</v>
      </c>
      <c r="E908">
        <v>411</v>
      </c>
      <c r="F908">
        <v>338559.83</v>
      </c>
    </row>
    <row r="909" spans="1:6" x14ac:dyDescent="0.3">
      <c r="A909">
        <v>2024</v>
      </c>
      <c r="B909">
        <v>5</v>
      </c>
      <c r="C909" t="s">
        <v>41</v>
      </c>
      <c r="D909" t="s">
        <v>27</v>
      </c>
      <c r="E909">
        <v>523</v>
      </c>
      <c r="F909">
        <v>425556.41</v>
      </c>
    </row>
    <row r="910" spans="1:6" x14ac:dyDescent="0.3">
      <c r="A910">
        <v>2024</v>
      </c>
      <c r="B910">
        <v>5</v>
      </c>
      <c r="C910" t="s">
        <v>41</v>
      </c>
      <c r="D910" t="s">
        <v>28</v>
      </c>
      <c r="E910">
        <v>204</v>
      </c>
      <c r="F910">
        <v>155950.51</v>
      </c>
    </row>
    <row r="911" spans="1:6" x14ac:dyDescent="0.3">
      <c r="A911">
        <v>2024</v>
      </c>
      <c r="B911">
        <v>5</v>
      </c>
      <c r="C911" t="s">
        <v>41</v>
      </c>
      <c r="D911" t="s">
        <v>29</v>
      </c>
      <c r="E911">
        <v>729</v>
      </c>
      <c r="F911">
        <v>592281.84</v>
      </c>
    </row>
    <row r="912" spans="1:6" x14ac:dyDescent="0.3">
      <c r="A912">
        <v>2024</v>
      </c>
      <c r="B912">
        <v>5</v>
      </c>
      <c r="C912" t="s">
        <v>41</v>
      </c>
      <c r="D912" t="s">
        <v>30</v>
      </c>
      <c r="E912">
        <v>54</v>
      </c>
      <c r="F912">
        <v>38458.25</v>
      </c>
    </row>
    <row r="913" spans="1:6" x14ac:dyDescent="0.3">
      <c r="A913">
        <v>2024</v>
      </c>
      <c r="B913">
        <v>5</v>
      </c>
      <c r="C913" t="s">
        <v>41</v>
      </c>
      <c r="D913" t="s">
        <v>31</v>
      </c>
      <c r="E913">
        <v>868</v>
      </c>
      <c r="F913">
        <v>757356.38</v>
      </c>
    </row>
    <row r="914" spans="1:6" x14ac:dyDescent="0.3">
      <c r="A914">
        <v>2024</v>
      </c>
      <c r="B914">
        <v>5</v>
      </c>
      <c r="C914" t="s">
        <v>41</v>
      </c>
      <c r="D914" t="s">
        <v>51</v>
      </c>
      <c r="E914">
        <v>546</v>
      </c>
      <c r="F914">
        <v>357831.5</v>
      </c>
    </row>
    <row r="915" spans="1:6" x14ac:dyDescent="0.3">
      <c r="A915">
        <v>2024</v>
      </c>
      <c r="B915">
        <v>5</v>
      </c>
      <c r="C915" t="s">
        <v>41</v>
      </c>
      <c r="D915" t="s">
        <v>32</v>
      </c>
      <c r="E915">
        <v>445</v>
      </c>
      <c r="F915">
        <v>355015.78</v>
      </c>
    </row>
    <row r="916" spans="1:6" x14ac:dyDescent="0.3">
      <c r="A916">
        <v>2024</v>
      </c>
      <c r="B916">
        <v>5</v>
      </c>
      <c r="C916" t="s">
        <v>41</v>
      </c>
      <c r="D916" t="s">
        <v>52</v>
      </c>
      <c r="E916">
        <v>756</v>
      </c>
      <c r="F916">
        <v>652637.04</v>
      </c>
    </row>
    <row r="917" spans="1:6" x14ac:dyDescent="0.3">
      <c r="A917">
        <v>2024</v>
      </c>
      <c r="B917">
        <v>5</v>
      </c>
      <c r="C917" t="s">
        <v>41</v>
      </c>
      <c r="D917" t="s">
        <v>33</v>
      </c>
      <c r="E917">
        <v>1083</v>
      </c>
      <c r="F917">
        <v>924903.18</v>
      </c>
    </row>
    <row r="918" spans="1:6" x14ac:dyDescent="0.3">
      <c r="A918">
        <v>2024</v>
      </c>
      <c r="B918">
        <v>5</v>
      </c>
      <c r="C918" t="s">
        <v>41</v>
      </c>
      <c r="D918" t="s">
        <v>34</v>
      </c>
      <c r="E918">
        <v>924</v>
      </c>
      <c r="F918">
        <v>784190.5</v>
      </c>
    </row>
    <row r="919" spans="1:6" x14ac:dyDescent="0.3">
      <c r="A919">
        <v>2024</v>
      </c>
      <c r="B919">
        <v>5</v>
      </c>
      <c r="C919" t="s">
        <v>41</v>
      </c>
      <c r="D919" t="s">
        <v>49</v>
      </c>
      <c r="E919">
        <v>151</v>
      </c>
      <c r="F919">
        <v>97911.25</v>
      </c>
    </row>
    <row r="920" spans="1:6" x14ac:dyDescent="0.3">
      <c r="A920">
        <v>2024</v>
      </c>
      <c r="B920">
        <v>5</v>
      </c>
      <c r="C920" t="s">
        <v>41</v>
      </c>
      <c r="D920" t="s">
        <v>53</v>
      </c>
      <c r="E920">
        <v>662</v>
      </c>
      <c r="F920">
        <v>492179.63</v>
      </c>
    </row>
    <row r="921" spans="1:6" x14ac:dyDescent="0.3">
      <c r="A921">
        <v>2024</v>
      </c>
      <c r="B921">
        <v>5</v>
      </c>
      <c r="C921" t="s">
        <v>41</v>
      </c>
      <c r="D921" t="s">
        <v>35</v>
      </c>
      <c r="E921">
        <v>399</v>
      </c>
      <c r="F921">
        <v>327131.75</v>
      </c>
    </row>
    <row r="922" spans="1:6" x14ac:dyDescent="0.3">
      <c r="A922">
        <v>2024</v>
      </c>
      <c r="B922">
        <v>5</v>
      </c>
      <c r="C922" t="s">
        <v>41</v>
      </c>
      <c r="D922" t="s">
        <v>36</v>
      </c>
      <c r="E922">
        <v>254</v>
      </c>
      <c r="F922">
        <v>195224.21</v>
      </c>
    </row>
    <row r="923" spans="1:6" x14ac:dyDescent="0.3">
      <c r="A923">
        <v>2024</v>
      </c>
      <c r="B923">
        <v>5</v>
      </c>
      <c r="C923" t="s">
        <v>41</v>
      </c>
      <c r="D923" t="s">
        <v>37</v>
      </c>
      <c r="E923">
        <v>819</v>
      </c>
      <c r="F923">
        <v>681770.96</v>
      </c>
    </row>
    <row r="924" spans="1:6" x14ac:dyDescent="0.3">
      <c r="A924">
        <v>2024</v>
      </c>
      <c r="B924">
        <v>6</v>
      </c>
      <c r="C924" t="s">
        <v>42</v>
      </c>
      <c r="D924" t="s">
        <v>7</v>
      </c>
      <c r="E924">
        <v>680</v>
      </c>
      <c r="F924">
        <v>601848.17000000004</v>
      </c>
    </row>
    <row r="925" spans="1:6" x14ac:dyDescent="0.3">
      <c r="A925">
        <v>2024</v>
      </c>
      <c r="B925">
        <v>6</v>
      </c>
      <c r="C925" t="s">
        <v>42</v>
      </c>
      <c r="D925" t="s">
        <v>8</v>
      </c>
      <c r="E925">
        <v>305</v>
      </c>
      <c r="F925">
        <v>214098.85</v>
      </c>
    </row>
    <row r="926" spans="1:6" x14ac:dyDescent="0.3">
      <c r="A926">
        <v>2024</v>
      </c>
      <c r="B926">
        <v>6</v>
      </c>
      <c r="C926" t="s">
        <v>42</v>
      </c>
      <c r="D926" t="s">
        <v>9</v>
      </c>
      <c r="E926">
        <v>48</v>
      </c>
      <c r="F926">
        <v>33235.11</v>
      </c>
    </row>
    <row r="927" spans="1:6" x14ac:dyDescent="0.3">
      <c r="A927">
        <v>2024</v>
      </c>
      <c r="B927">
        <v>6</v>
      </c>
      <c r="C927" t="s">
        <v>42</v>
      </c>
      <c r="D927" t="s">
        <v>10</v>
      </c>
      <c r="E927">
        <v>358</v>
      </c>
      <c r="F927">
        <v>319607.5</v>
      </c>
    </row>
    <row r="928" spans="1:6" x14ac:dyDescent="0.3">
      <c r="A928">
        <v>2024</v>
      </c>
      <c r="B928">
        <v>6</v>
      </c>
      <c r="C928" t="s">
        <v>42</v>
      </c>
      <c r="D928" t="s">
        <v>11</v>
      </c>
      <c r="E928">
        <v>599</v>
      </c>
      <c r="F928">
        <v>482576.49</v>
      </c>
    </row>
    <row r="929" spans="1:6" x14ac:dyDescent="0.3">
      <c r="A929">
        <v>2024</v>
      </c>
      <c r="B929">
        <v>6</v>
      </c>
      <c r="C929" t="s">
        <v>42</v>
      </c>
      <c r="D929" t="s">
        <v>12</v>
      </c>
      <c r="E929">
        <v>164</v>
      </c>
      <c r="F929">
        <v>110714.04</v>
      </c>
    </row>
    <row r="930" spans="1:6" x14ac:dyDescent="0.3">
      <c r="A930">
        <v>2024</v>
      </c>
      <c r="B930">
        <v>6</v>
      </c>
      <c r="C930" t="s">
        <v>42</v>
      </c>
      <c r="D930" t="s">
        <v>13</v>
      </c>
      <c r="E930">
        <v>213</v>
      </c>
      <c r="F930">
        <v>144413.38</v>
      </c>
    </row>
    <row r="931" spans="1:6" x14ac:dyDescent="0.3">
      <c r="A931">
        <v>2024</v>
      </c>
      <c r="B931">
        <v>6</v>
      </c>
      <c r="C931" t="s">
        <v>42</v>
      </c>
      <c r="D931" t="s">
        <v>14</v>
      </c>
      <c r="E931">
        <v>238</v>
      </c>
      <c r="F931">
        <v>180487.84</v>
      </c>
    </row>
    <row r="932" spans="1:6" x14ac:dyDescent="0.3">
      <c r="A932">
        <v>2024</v>
      </c>
      <c r="B932">
        <v>6</v>
      </c>
      <c r="C932" t="s">
        <v>42</v>
      </c>
      <c r="D932" t="s">
        <v>15</v>
      </c>
      <c r="E932">
        <v>75</v>
      </c>
      <c r="F932">
        <v>50001.35</v>
      </c>
    </row>
    <row r="933" spans="1:6" x14ac:dyDescent="0.3">
      <c r="A933">
        <v>2024</v>
      </c>
      <c r="B933">
        <v>6</v>
      </c>
      <c r="C933" t="s">
        <v>42</v>
      </c>
      <c r="D933" t="s">
        <v>16</v>
      </c>
      <c r="E933">
        <v>94</v>
      </c>
      <c r="F933">
        <v>82345.72</v>
      </c>
    </row>
    <row r="934" spans="1:6" x14ac:dyDescent="0.3">
      <c r="A934">
        <v>2024</v>
      </c>
      <c r="B934">
        <v>6</v>
      </c>
      <c r="C934" t="s">
        <v>42</v>
      </c>
      <c r="D934" t="s">
        <v>17</v>
      </c>
      <c r="E934">
        <v>1225</v>
      </c>
      <c r="F934">
        <v>998577.37</v>
      </c>
    </row>
    <row r="935" spans="1:6" x14ac:dyDescent="0.3">
      <c r="A935">
        <v>2024</v>
      </c>
      <c r="B935">
        <v>6</v>
      </c>
      <c r="C935" t="s">
        <v>42</v>
      </c>
      <c r="D935" t="s">
        <v>18</v>
      </c>
      <c r="E935">
        <v>837</v>
      </c>
      <c r="F935">
        <v>732319.28</v>
      </c>
    </row>
    <row r="936" spans="1:6" x14ac:dyDescent="0.3">
      <c r="A936">
        <v>2024</v>
      </c>
      <c r="B936">
        <v>6</v>
      </c>
      <c r="C936" t="s">
        <v>42</v>
      </c>
      <c r="D936" t="s">
        <v>50</v>
      </c>
      <c r="E936">
        <v>689</v>
      </c>
      <c r="F936">
        <v>547658.56999999995</v>
      </c>
    </row>
    <row r="937" spans="1:6" x14ac:dyDescent="0.3">
      <c r="A937">
        <v>2024</v>
      </c>
      <c r="B937">
        <v>6</v>
      </c>
      <c r="C937" t="s">
        <v>42</v>
      </c>
      <c r="D937" t="s">
        <v>19</v>
      </c>
      <c r="E937">
        <v>293</v>
      </c>
      <c r="F937">
        <v>196065.63</v>
      </c>
    </row>
    <row r="938" spans="1:6" x14ac:dyDescent="0.3">
      <c r="A938">
        <v>2024</v>
      </c>
      <c r="B938">
        <v>6</v>
      </c>
      <c r="C938" t="s">
        <v>42</v>
      </c>
      <c r="D938" t="s">
        <v>20</v>
      </c>
      <c r="E938">
        <v>224</v>
      </c>
      <c r="F938">
        <v>173093.65</v>
      </c>
    </row>
    <row r="939" spans="1:6" x14ac:dyDescent="0.3">
      <c r="A939">
        <v>2024</v>
      </c>
      <c r="B939">
        <v>6</v>
      </c>
      <c r="C939" t="s">
        <v>42</v>
      </c>
      <c r="D939" t="s">
        <v>21</v>
      </c>
      <c r="E939">
        <v>382</v>
      </c>
      <c r="F939">
        <v>350236.43</v>
      </c>
    </row>
    <row r="940" spans="1:6" x14ac:dyDescent="0.3">
      <c r="A940">
        <v>2024</v>
      </c>
      <c r="B940">
        <v>6</v>
      </c>
      <c r="C940" t="s">
        <v>42</v>
      </c>
      <c r="D940" t="s">
        <v>22</v>
      </c>
      <c r="E940">
        <v>269</v>
      </c>
      <c r="F940">
        <v>184256.81</v>
      </c>
    </row>
    <row r="941" spans="1:6" x14ac:dyDescent="0.3">
      <c r="A941">
        <v>2024</v>
      </c>
      <c r="B941">
        <v>6</v>
      </c>
      <c r="C941" t="s">
        <v>42</v>
      </c>
      <c r="D941" t="s">
        <v>23</v>
      </c>
      <c r="E941">
        <v>560</v>
      </c>
      <c r="F941">
        <v>518998.31</v>
      </c>
    </row>
    <row r="942" spans="1:6" x14ac:dyDescent="0.3">
      <c r="A942">
        <v>2024</v>
      </c>
      <c r="B942">
        <v>6</v>
      </c>
      <c r="C942" t="s">
        <v>42</v>
      </c>
      <c r="D942" t="s">
        <v>24</v>
      </c>
      <c r="E942">
        <v>334</v>
      </c>
      <c r="F942">
        <v>239545.27</v>
      </c>
    </row>
    <row r="943" spans="1:6" x14ac:dyDescent="0.3">
      <c r="A943">
        <v>2024</v>
      </c>
      <c r="B943">
        <v>6</v>
      </c>
      <c r="C943" t="s">
        <v>42</v>
      </c>
      <c r="D943" t="s">
        <v>25</v>
      </c>
      <c r="E943">
        <v>715</v>
      </c>
      <c r="F943">
        <v>556825.26</v>
      </c>
    </row>
    <row r="944" spans="1:6" x14ac:dyDescent="0.3">
      <c r="A944">
        <v>2024</v>
      </c>
      <c r="B944">
        <v>6</v>
      </c>
      <c r="C944" t="s">
        <v>42</v>
      </c>
      <c r="D944" t="s">
        <v>26</v>
      </c>
      <c r="E944">
        <v>398</v>
      </c>
      <c r="F944">
        <v>342162.36</v>
      </c>
    </row>
    <row r="945" spans="1:6" x14ac:dyDescent="0.3">
      <c r="A945">
        <v>2024</v>
      </c>
      <c r="B945">
        <v>6</v>
      </c>
      <c r="C945" t="s">
        <v>42</v>
      </c>
      <c r="D945" t="s">
        <v>27</v>
      </c>
      <c r="E945">
        <v>352</v>
      </c>
      <c r="F945">
        <v>294431.98</v>
      </c>
    </row>
    <row r="946" spans="1:6" x14ac:dyDescent="0.3">
      <c r="A946">
        <v>2024</v>
      </c>
      <c r="B946">
        <v>6</v>
      </c>
      <c r="C946" t="s">
        <v>42</v>
      </c>
      <c r="D946" t="s">
        <v>28</v>
      </c>
      <c r="E946">
        <v>127</v>
      </c>
      <c r="F946">
        <v>84496.22</v>
      </c>
    </row>
    <row r="947" spans="1:6" x14ac:dyDescent="0.3">
      <c r="A947">
        <v>2024</v>
      </c>
      <c r="B947">
        <v>6</v>
      </c>
      <c r="C947" t="s">
        <v>42</v>
      </c>
      <c r="D947" t="s">
        <v>29</v>
      </c>
      <c r="E947">
        <v>523</v>
      </c>
      <c r="F947">
        <v>433311.05</v>
      </c>
    </row>
    <row r="948" spans="1:6" x14ac:dyDescent="0.3">
      <c r="A948">
        <v>2024</v>
      </c>
      <c r="B948">
        <v>6</v>
      </c>
      <c r="C948" t="s">
        <v>42</v>
      </c>
      <c r="D948" t="s">
        <v>30</v>
      </c>
      <c r="E948">
        <v>67</v>
      </c>
      <c r="F948">
        <v>56088.74</v>
      </c>
    </row>
    <row r="949" spans="1:6" x14ac:dyDescent="0.3">
      <c r="A949">
        <v>2024</v>
      </c>
      <c r="B949">
        <v>6</v>
      </c>
      <c r="C949" t="s">
        <v>42</v>
      </c>
      <c r="D949" t="s">
        <v>31</v>
      </c>
      <c r="E949">
        <v>690</v>
      </c>
      <c r="F949">
        <v>602131.1</v>
      </c>
    </row>
    <row r="950" spans="1:6" x14ac:dyDescent="0.3">
      <c r="A950">
        <v>2024</v>
      </c>
      <c r="B950">
        <v>6</v>
      </c>
      <c r="C950" t="s">
        <v>42</v>
      </c>
      <c r="D950" t="s">
        <v>51</v>
      </c>
      <c r="E950">
        <v>510</v>
      </c>
      <c r="F950">
        <v>342346.62</v>
      </c>
    </row>
    <row r="951" spans="1:6" x14ac:dyDescent="0.3">
      <c r="A951">
        <v>2024</v>
      </c>
      <c r="B951">
        <v>6</v>
      </c>
      <c r="C951" t="s">
        <v>42</v>
      </c>
      <c r="D951" t="s">
        <v>32</v>
      </c>
      <c r="E951">
        <v>288</v>
      </c>
      <c r="F951">
        <v>241428.73</v>
      </c>
    </row>
    <row r="952" spans="1:6" x14ac:dyDescent="0.3">
      <c r="A952">
        <v>2024</v>
      </c>
      <c r="B952">
        <v>6</v>
      </c>
      <c r="C952" t="s">
        <v>42</v>
      </c>
      <c r="D952" t="s">
        <v>52</v>
      </c>
      <c r="E952">
        <v>811</v>
      </c>
      <c r="F952">
        <v>697771.79</v>
      </c>
    </row>
    <row r="953" spans="1:6" x14ac:dyDescent="0.3">
      <c r="A953">
        <v>2024</v>
      </c>
      <c r="B953">
        <v>6</v>
      </c>
      <c r="C953" t="s">
        <v>42</v>
      </c>
      <c r="D953" t="s">
        <v>33</v>
      </c>
      <c r="E953">
        <v>1121</v>
      </c>
      <c r="F953">
        <v>938366.15</v>
      </c>
    </row>
    <row r="954" spans="1:6" x14ac:dyDescent="0.3">
      <c r="A954">
        <v>2024</v>
      </c>
      <c r="B954">
        <v>6</v>
      </c>
      <c r="C954" t="s">
        <v>42</v>
      </c>
      <c r="D954" t="s">
        <v>34</v>
      </c>
      <c r="E954">
        <v>805</v>
      </c>
      <c r="F954">
        <v>654917.06999999995</v>
      </c>
    </row>
    <row r="955" spans="1:6" x14ac:dyDescent="0.3">
      <c r="A955">
        <v>2024</v>
      </c>
      <c r="B955">
        <v>6</v>
      </c>
      <c r="C955" t="s">
        <v>42</v>
      </c>
      <c r="D955" t="s">
        <v>49</v>
      </c>
      <c r="E955">
        <v>95</v>
      </c>
      <c r="F955">
        <v>59817</v>
      </c>
    </row>
    <row r="956" spans="1:6" x14ac:dyDescent="0.3">
      <c r="A956">
        <v>2024</v>
      </c>
      <c r="B956">
        <v>6</v>
      </c>
      <c r="C956" t="s">
        <v>42</v>
      </c>
      <c r="D956" t="s">
        <v>53</v>
      </c>
      <c r="E956">
        <v>768</v>
      </c>
      <c r="F956">
        <v>560680.13</v>
      </c>
    </row>
    <row r="957" spans="1:6" x14ac:dyDescent="0.3">
      <c r="A957">
        <v>2024</v>
      </c>
      <c r="B957">
        <v>6</v>
      </c>
      <c r="C957" t="s">
        <v>42</v>
      </c>
      <c r="D957" t="s">
        <v>35</v>
      </c>
      <c r="E957">
        <v>308</v>
      </c>
      <c r="F957">
        <v>256378.58</v>
      </c>
    </row>
    <row r="958" spans="1:6" x14ac:dyDescent="0.3">
      <c r="A958">
        <v>2024</v>
      </c>
      <c r="B958">
        <v>6</v>
      </c>
      <c r="C958" t="s">
        <v>42</v>
      </c>
      <c r="D958" t="s">
        <v>36</v>
      </c>
      <c r="E958">
        <v>340</v>
      </c>
      <c r="F958">
        <v>249893.06</v>
      </c>
    </row>
    <row r="959" spans="1:6" x14ac:dyDescent="0.3">
      <c r="A959">
        <v>2024</v>
      </c>
      <c r="B959">
        <v>6</v>
      </c>
      <c r="C959" t="s">
        <v>42</v>
      </c>
      <c r="D959" t="s">
        <v>37</v>
      </c>
      <c r="E959">
        <v>658</v>
      </c>
      <c r="F959">
        <v>548636.97</v>
      </c>
    </row>
    <row r="960" spans="1:6" x14ac:dyDescent="0.3">
      <c r="A960">
        <v>2024</v>
      </c>
      <c r="B960">
        <v>7</v>
      </c>
      <c r="C960" t="s">
        <v>43</v>
      </c>
      <c r="D960" t="s">
        <v>7</v>
      </c>
      <c r="E960">
        <v>693</v>
      </c>
      <c r="F960">
        <v>595685.69999999995</v>
      </c>
    </row>
    <row r="961" spans="1:6" x14ac:dyDescent="0.3">
      <c r="A961">
        <v>2024</v>
      </c>
      <c r="B961">
        <v>7</v>
      </c>
      <c r="C961" t="s">
        <v>43</v>
      </c>
      <c r="D961" t="s">
        <v>8</v>
      </c>
      <c r="E961">
        <v>274</v>
      </c>
      <c r="F961">
        <v>191522.49</v>
      </c>
    </row>
    <row r="962" spans="1:6" x14ac:dyDescent="0.3">
      <c r="A962">
        <v>2024</v>
      </c>
      <c r="B962">
        <v>7</v>
      </c>
      <c r="C962" t="s">
        <v>43</v>
      </c>
      <c r="D962" t="s">
        <v>9</v>
      </c>
      <c r="E962">
        <v>61</v>
      </c>
      <c r="F962">
        <v>41550.28</v>
      </c>
    </row>
    <row r="963" spans="1:6" x14ac:dyDescent="0.3">
      <c r="A963">
        <v>2024</v>
      </c>
      <c r="B963">
        <v>7</v>
      </c>
      <c r="C963" t="s">
        <v>43</v>
      </c>
      <c r="D963" t="s">
        <v>10</v>
      </c>
      <c r="E963">
        <v>352</v>
      </c>
      <c r="F963">
        <v>309026.08</v>
      </c>
    </row>
    <row r="964" spans="1:6" x14ac:dyDescent="0.3">
      <c r="A964">
        <v>2024</v>
      </c>
      <c r="B964">
        <v>7</v>
      </c>
      <c r="C964" t="s">
        <v>43</v>
      </c>
      <c r="D964" t="s">
        <v>11</v>
      </c>
      <c r="E964">
        <v>725</v>
      </c>
      <c r="F964">
        <v>585119.44999999995</v>
      </c>
    </row>
    <row r="965" spans="1:6" x14ac:dyDescent="0.3">
      <c r="A965">
        <v>2024</v>
      </c>
      <c r="B965">
        <v>7</v>
      </c>
      <c r="C965" t="s">
        <v>43</v>
      </c>
      <c r="D965" t="s">
        <v>12</v>
      </c>
      <c r="E965">
        <v>252</v>
      </c>
      <c r="F965">
        <v>166333.21</v>
      </c>
    </row>
    <row r="966" spans="1:6" x14ac:dyDescent="0.3">
      <c r="A966">
        <v>2024</v>
      </c>
      <c r="B966">
        <v>7</v>
      </c>
      <c r="C966" t="s">
        <v>43</v>
      </c>
      <c r="D966" t="s">
        <v>13</v>
      </c>
      <c r="E966">
        <v>268</v>
      </c>
      <c r="F966">
        <v>172321.09</v>
      </c>
    </row>
    <row r="967" spans="1:6" x14ac:dyDescent="0.3">
      <c r="A967">
        <v>2024</v>
      </c>
      <c r="B967">
        <v>7</v>
      </c>
      <c r="C967" t="s">
        <v>43</v>
      </c>
      <c r="D967" t="s">
        <v>14</v>
      </c>
      <c r="E967">
        <v>228</v>
      </c>
      <c r="F967">
        <v>158829.01999999999</v>
      </c>
    </row>
    <row r="968" spans="1:6" x14ac:dyDescent="0.3">
      <c r="A968">
        <v>2024</v>
      </c>
      <c r="B968">
        <v>7</v>
      </c>
      <c r="C968" t="s">
        <v>43</v>
      </c>
      <c r="D968" t="s">
        <v>15</v>
      </c>
      <c r="E968">
        <v>90</v>
      </c>
      <c r="F968">
        <v>60017.18</v>
      </c>
    </row>
    <row r="969" spans="1:6" x14ac:dyDescent="0.3">
      <c r="A969">
        <v>2024</v>
      </c>
      <c r="B969">
        <v>7</v>
      </c>
      <c r="C969" t="s">
        <v>43</v>
      </c>
      <c r="D969" t="s">
        <v>16</v>
      </c>
      <c r="E969">
        <v>103</v>
      </c>
      <c r="F969">
        <v>77861.850000000006</v>
      </c>
    </row>
    <row r="970" spans="1:6" x14ac:dyDescent="0.3">
      <c r="A970">
        <v>2024</v>
      </c>
      <c r="B970">
        <v>7</v>
      </c>
      <c r="C970" t="s">
        <v>43</v>
      </c>
      <c r="D970" t="s">
        <v>17</v>
      </c>
      <c r="E970">
        <v>1115</v>
      </c>
      <c r="F970">
        <v>896079.27</v>
      </c>
    </row>
    <row r="971" spans="1:6" x14ac:dyDescent="0.3">
      <c r="A971">
        <v>2024</v>
      </c>
      <c r="B971">
        <v>7</v>
      </c>
      <c r="C971" t="s">
        <v>43</v>
      </c>
      <c r="D971" t="s">
        <v>18</v>
      </c>
      <c r="E971">
        <v>792</v>
      </c>
      <c r="F971">
        <v>686650.12</v>
      </c>
    </row>
    <row r="972" spans="1:6" x14ac:dyDescent="0.3">
      <c r="A972">
        <v>2024</v>
      </c>
      <c r="B972">
        <v>7</v>
      </c>
      <c r="C972" t="s">
        <v>43</v>
      </c>
      <c r="D972" t="s">
        <v>50</v>
      </c>
      <c r="E972">
        <v>978</v>
      </c>
      <c r="F972">
        <v>767607.2</v>
      </c>
    </row>
    <row r="973" spans="1:6" x14ac:dyDescent="0.3">
      <c r="A973">
        <v>2024</v>
      </c>
      <c r="B973">
        <v>7</v>
      </c>
      <c r="C973" t="s">
        <v>43</v>
      </c>
      <c r="D973" t="s">
        <v>19</v>
      </c>
      <c r="E973">
        <v>217</v>
      </c>
      <c r="F973">
        <v>149208.6</v>
      </c>
    </row>
    <row r="974" spans="1:6" x14ac:dyDescent="0.3">
      <c r="A974">
        <v>2024</v>
      </c>
      <c r="B974">
        <v>7</v>
      </c>
      <c r="C974" t="s">
        <v>43</v>
      </c>
      <c r="D974" t="s">
        <v>20</v>
      </c>
      <c r="E974">
        <v>196</v>
      </c>
      <c r="F974">
        <v>151833.98000000001</v>
      </c>
    </row>
    <row r="975" spans="1:6" x14ac:dyDescent="0.3">
      <c r="A975">
        <v>2024</v>
      </c>
      <c r="B975">
        <v>7</v>
      </c>
      <c r="C975" t="s">
        <v>43</v>
      </c>
      <c r="D975" t="s">
        <v>21</v>
      </c>
      <c r="E975">
        <v>412</v>
      </c>
      <c r="F975">
        <v>376673.35</v>
      </c>
    </row>
    <row r="976" spans="1:6" x14ac:dyDescent="0.3">
      <c r="A976">
        <v>2024</v>
      </c>
      <c r="B976">
        <v>7</v>
      </c>
      <c r="C976" t="s">
        <v>43</v>
      </c>
      <c r="D976" t="s">
        <v>22</v>
      </c>
      <c r="E976">
        <v>281</v>
      </c>
      <c r="F976">
        <v>186909.38</v>
      </c>
    </row>
    <row r="977" spans="1:6" x14ac:dyDescent="0.3">
      <c r="A977">
        <v>2024</v>
      </c>
      <c r="B977">
        <v>7</v>
      </c>
      <c r="C977" t="s">
        <v>43</v>
      </c>
      <c r="D977" t="s">
        <v>23</v>
      </c>
      <c r="E977">
        <v>452</v>
      </c>
      <c r="F977">
        <v>416428.96</v>
      </c>
    </row>
    <row r="978" spans="1:6" x14ac:dyDescent="0.3">
      <c r="A978">
        <v>2024</v>
      </c>
      <c r="B978">
        <v>7</v>
      </c>
      <c r="C978" t="s">
        <v>43</v>
      </c>
      <c r="D978" t="s">
        <v>24</v>
      </c>
      <c r="E978">
        <v>308</v>
      </c>
      <c r="F978">
        <v>227658.12</v>
      </c>
    </row>
    <row r="979" spans="1:6" x14ac:dyDescent="0.3">
      <c r="A979">
        <v>2024</v>
      </c>
      <c r="B979">
        <v>7</v>
      </c>
      <c r="C979" t="s">
        <v>43</v>
      </c>
      <c r="D979" t="s">
        <v>25</v>
      </c>
      <c r="E979">
        <v>577</v>
      </c>
      <c r="F979">
        <v>444208.91</v>
      </c>
    </row>
    <row r="980" spans="1:6" x14ac:dyDescent="0.3">
      <c r="A980">
        <v>2024</v>
      </c>
      <c r="B980">
        <v>7</v>
      </c>
      <c r="C980" t="s">
        <v>43</v>
      </c>
      <c r="D980" t="s">
        <v>26</v>
      </c>
      <c r="E980">
        <v>363</v>
      </c>
      <c r="F980">
        <v>288611.7</v>
      </c>
    </row>
    <row r="981" spans="1:6" x14ac:dyDescent="0.3">
      <c r="A981">
        <v>2024</v>
      </c>
      <c r="B981">
        <v>7</v>
      </c>
      <c r="C981" t="s">
        <v>43</v>
      </c>
      <c r="D981" t="s">
        <v>27</v>
      </c>
      <c r="E981">
        <v>342</v>
      </c>
      <c r="F981">
        <v>279433.28999999998</v>
      </c>
    </row>
    <row r="982" spans="1:6" x14ac:dyDescent="0.3">
      <c r="A982">
        <v>2024</v>
      </c>
      <c r="B982">
        <v>7</v>
      </c>
      <c r="C982" t="s">
        <v>43</v>
      </c>
      <c r="D982" t="s">
        <v>28</v>
      </c>
      <c r="E982">
        <v>92</v>
      </c>
      <c r="F982">
        <v>63968.42</v>
      </c>
    </row>
    <row r="983" spans="1:6" x14ac:dyDescent="0.3">
      <c r="A983">
        <v>2024</v>
      </c>
      <c r="B983">
        <v>7</v>
      </c>
      <c r="C983" t="s">
        <v>43</v>
      </c>
      <c r="D983" t="s">
        <v>29</v>
      </c>
      <c r="E983">
        <v>711</v>
      </c>
      <c r="F983">
        <v>570201.35</v>
      </c>
    </row>
    <row r="984" spans="1:6" x14ac:dyDescent="0.3">
      <c r="A984">
        <v>2024</v>
      </c>
      <c r="B984">
        <v>7</v>
      </c>
      <c r="C984" t="s">
        <v>43</v>
      </c>
      <c r="D984" t="s">
        <v>30</v>
      </c>
      <c r="E984">
        <v>58</v>
      </c>
      <c r="F984">
        <v>40585.599999999999</v>
      </c>
    </row>
    <row r="985" spans="1:6" x14ac:dyDescent="0.3">
      <c r="A985">
        <v>2024</v>
      </c>
      <c r="B985">
        <v>7</v>
      </c>
      <c r="C985" t="s">
        <v>43</v>
      </c>
      <c r="D985" t="s">
        <v>31</v>
      </c>
      <c r="E985">
        <v>700</v>
      </c>
      <c r="F985">
        <v>615774.05000000005</v>
      </c>
    </row>
    <row r="986" spans="1:6" x14ac:dyDescent="0.3">
      <c r="A986">
        <v>2024</v>
      </c>
      <c r="B986">
        <v>7</v>
      </c>
      <c r="C986" t="s">
        <v>43</v>
      </c>
      <c r="D986" t="s">
        <v>51</v>
      </c>
      <c r="E986">
        <v>583</v>
      </c>
      <c r="F986">
        <v>386244.44</v>
      </c>
    </row>
    <row r="987" spans="1:6" x14ac:dyDescent="0.3">
      <c r="A987">
        <v>2024</v>
      </c>
      <c r="B987">
        <v>7</v>
      </c>
      <c r="C987" t="s">
        <v>43</v>
      </c>
      <c r="D987" t="s">
        <v>32</v>
      </c>
      <c r="E987">
        <v>188</v>
      </c>
      <c r="F987">
        <v>146427.57999999999</v>
      </c>
    </row>
    <row r="988" spans="1:6" x14ac:dyDescent="0.3">
      <c r="A988">
        <v>2024</v>
      </c>
      <c r="B988">
        <v>7</v>
      </c>
      <c r="C988" t="s">
        <v>43</v>
      </c>
      <c r="D988" t="s">
        <v>52</v>
      </c>
      <c r="E988">
        <v>731</v>
      </c>
      <c r="F988">
        <v>622223.81000000006</v>
      </c>
    </row>
    <row r="989" spans="1:6" x14ac:dyDescent="0.3">
      <c r="A989">
        <v>2024</v>
      </c>
      <c r="B989">
        <v>7</v>
      </c>
      <c r="C989" t="s">
        <v>43</v>
      </c>
      <c r="D989" t="s">
        <v>33</v>
      </c>
      <c r="E989">
        <v>994</v>
      </c>
      <c r="F989">
        <v>819110.27</v>
      </c>
    </row>
    <row r="990" spans="1:6" x14ac:dyDescent="0.3">
      <c r="A990">
        <v>2024</v>
      </c>
      <c r="B990">
        <v>7</v>
      </c>
      <c r="C990" t="s">
        <v>43</v>
      </c>
      <c r="D990" t="s">
        <v>34</v>
      </c>
      <c r="E990">
        <v>1011</v>
      </c>
      <c r="F990">
        <v>822652.75</v>
      </c>
    </row>
    <row r="991" spans="1:6" x14ac:dyDescent="0.3">
      <c r="A991">
        <v>2024</v>
      </c>
      <c r="B991">
        <v>7</v>
      </c>
      <c r="C991" t="s">
        <v>43</v>
      </c>
      <c r="D991" t="s">
        <v>49</v>
      </c>
      <c r="E991">
        <v>70</v>
      </c>
      <c r="F991">
        <v>41332</v>
      </c>
    </row>
    <row r="992" spans="1:6" x14ac:dyDescent="0.3">
      <c r="A992">
        <v>2024</v>
      </c>
      <c r="B992">
        <v>7</v>
      </c>
      <c r="C992" t="s">
        <v>43</v>
      </c>
      <c r="D992" t="s">
        <v>53</v>
      </c>
      <c r="E992">
        <v>633</v>
      </c>
      <c r="F992">
        <v>452667.51</v>
      </c>
    </row>
    <row r="993" spans="1:6" x14ac:dyDescent="0.3">
      <c r="A993">
        <v>2024</v>
      </c>
      <c r="B993">
        <v>7</v>
      </c>
      <c r="C993" t="s">
        <v>43</v>
      </c>
      <c r="D993" t="s">
        <v>35</v>
      </c>
      <c r="E993">
        <v>476</v>
      </c>
      <c r="F993">
        <v>387415.93</v>
      </c>
    </row>
    <row r="994" spans="1:6" x14ac:dyDescent="0.3">
      <c r="A994">
        <v>2024</v>
      </c>
      <c r="B994">
        <v>7</v>
      </c>
      <c r="C994" t="s">
        <v>43</v>
      </c>
      <c r="D994" t="s">
        <v>36</v>
      </c>
      <c r="E994">
        <v>286</v>
      </c>
      <c r="F994">
        <v>216600.2</v>
      </c>
    </row>
    <row r="995" spans="1:6" x14ac:dyDescent="0.3">
      <c r="A995">
        <v>2024</v>
      </c>
      <c r="B995">
        <v>7</v>
      </c>
      <c r="C995" t="s">
        <v>43</v>
      </c>
      <c r="D995" t="s">
        <v>37</v>
      </c>
      <c r="E995">
        <v>675</v>
      </c>
      <c r="F995">
        <v>522906.54</v>
      </c>
    </row>
    <row r="996" spans="1:6" x14ac:dyDescent="0.3">
      <c r="A996">
        <v>2024</v>
      </c>
      <c r="B996">
        <v>8</v>
      </c>
      <c r="C996" t="s">
        <v>44</v>
      </c>
      <c r="D996" t="s">
        <v>7</v>
      </c>
      <c r="E996">
        <v>478</v>
      </c>
      <c r="F996">
        <v>395109.88</v>
      </c>
    </row>
    <row r="997" spans="1:6" x14ac:dyDescent="0.3">
      <c r="A997">
        <v>2024</v>
      </c>
      <c r="B997">
        <v>8</v>
      </c>
      <c r="C997" t="s">
        <v>44</v>
      </c>
      <c r="D997" t="s">
        <v>8</v>
      </c>
      <c r="E997">
        <v>218</v>
      </c>
      <c r="F997">
        <v>169608.68</v>
      </c>
    </row>
    <row r="998" spans="1:6" x14ac:dyDescent="0.3">
      <c r="A998">
        <v>2024</v>
      </c>
      <c r="B998">
        <v>8</v>
      </c>
      <c r="C998" t="s">
        <v>44</v>
      </c>
      <c r="D998" t="s">
        <v>9</v>
      </c>
      <c r="E998">
        <v>189</v>
      </c>
      <c r="F998">
        <v>140492.46</v>
      </c>
    </row>
    <row r="999" spans="1:6" x14ac:dyDescent="0.3">
      <c r="A999">
        <v>2024</v>
      </c>
      <c r="B999">
        <v>8</v>
      </c>
      <c r="C999" t="s">
        <v>44</v>
      </c>
      <c r="D999" t="s">
        <v>10</v>
      </c>
      <c r="E999">
        <v>213</v>
      </c>
      <c r="F999">
        <v>183191.35</v>
      </c>
    </row>
    <row r="1000" spans="1:6" x14ac:dyDescent="0.3">
      <c r="A1000">
        <v>2024</v>
      </c>
      <c r="B1000">
        <v>8</v>
      </c>
      <c r="C1000" t="s">
        <v>44</v>
      </c>
      <c r="D1000" t="s">
        <v>11</v>
      </c>
      <c r="E1000">
        <v>441</v>
      </c>
      <c r="F1000">
        <v>354494.63</v>
      </c>
    </row>
    <row r="1001" spans="1:6" x14ac:dyDescent="0.3">
      <c r="A1001">
        <v>2024</v>
      </c>
      <c r="B1001">
        <v>8</v>
      </c>
      <c r="C1001" t="s">
        <v>44</v>
      </c>
      <c r="D1001" t="s">
        <v>12</v>
      </c>
      <c r="E1001">
        <v>245</v>
      </c>
      <c r="F1001">
        <v>158680.01999999999</v>
      </c>
    </row>
    <row r="1002" spans="1:6" x14ac:dyDescent="0.3">
      <c r="A1002">
        <v>2024</v>
      </c>
      <c r="B1002">
        <v>8</v>
      </c>
      <c r="C1002" t="s">
        <v>44</v>
      </c>
      <c r="D1002" t="s">
        <v>13</v>
      </c>
      <c r="E1002">
        <v>270</v>
      </c>
      <c r="F1002">
        <v>173783.29</v>
      </c>
    </row>
    <row r="1003" spans="1:6" x14ac:dyDescent="0.3">
      <c r="A1003">
        <v>2024</v>
      </c>
      <c r="B1003">
        <v>8</v>
      </c>
      <c r="C1003" t="s">
        <v>44</v>
      </c>
      <c r="D1003" t="s">
        <v>14</v>
      </c>
      <c r="E1003">
        <v>167</v>
      </c>
      <c r="F1003">
        <v>116724.35</v>
      </c>
    </row>
    <row r="1004" spans="1:6" x14ac:dyDescent="0.3">
      <c r="A1004">
        <v>2024</v>
      </c>
      <c r="B1004">
        <v>8</v>
      </c>
      <c r="C1004" t="s">
        <v>44</v>
      </c>
      <c r="D1004" t="s">
        <v>15</v>
      </c>
      <c r="E1004">
        <v>61</v>
      </c>
      <c r="F1004">
        <v>44588.27</v>
      </c>
    </row>
    <row r="1005" spans="1:6" x14ac:dyDescent="0.3">
      <c r="A1005">
        <v>2024</v>
      </c>
      <c r="B1005">
        <v>8</v>
      </c>
      <c r="C1005" t="s">
        <v>44</v>
      </c>
      <c r="D1005" t="s">
        <v>16</v>
      </c>
      <c r="E1005">
        <v>133</v>
      </c>
      <c r="F1005">
        <v>125075.22</v>
      </c>
    </row>
    <row r="1006" spans="1:6" x14ac:dyDescent="0.3">
      <c r="A1006">
        <v>2024</v>
      </c>
      <c r="B1006">
        <v>8</v>
      </c>
      <c r="C1006" t="s">
        <v>44</v>
      </c>
      <c r="D1006" t="s">
        <v>17</v>
      </c>
      <c r="E1006">
        <v>656</v>
      </c>
      <c r="F1006">
        <v>508922.11</v>
      </c>
    </row>
    <row r="1007" spans="1:6" x14ac:dyDescent="0.3">
      <c r="A1007">
        <v>2024</v>
      </c>
      <c r="B1007">
        <v>8</v>
      </c>
      <c r="C1007" t="s">
        <v>44</v>
      </c>
      <c r="D1007" t="s">
        <v>18</v>
      </c>
      <c r="E1007">
        <v>535</v>
      </c>
      <c r="F1007">
        <v>469406.66</v>
      </c>
    </row>
    <row r="1008" spans="1:6" x14ac:dyDescent="0.3">
      <c r="A1008">
        <v>2024</v>
      </c>
      <c r="B1008">
        <v>8</v>
      </c>
      <c r="C1008" t="s">
        <v>44</v>
      </c>
      <c r="D1008" t="s">
        <v>50</v>
      </c>
      <c r="E1008">
        <v>459</v>
      </c>
      <c r="F1008">
        <v>358584</v>
      </c>
    </row>
    <row r="1009" spans="1:6" x14ac:dyDescent="0.3">
      <c r="A1009">
        <v>2024</v>
      </c>
      <c r="B1009">
        <v>8</v>
      </c>
      <c r="C1009" t="s">
        <v>44</v>
      </c>
      <c r="D1009" t="s">
        <v>19</v>
      </c>
      <c r="E1009">
        <v>142</v>
      </c>
      <c r="F1009">
        <v>93750.6</v>
      </c>
    </row>
    <row r="1010" spans="1:6" x14ac:dyDescent="0.3">
      <c r="A1010">
        <v>2024</v>
      </c>
      <c r="B1010">
        <v>8</v>
      </c>
      <c r="C1010" t="s">
        <v>44</v>
      </c>
      <c r="D1010" t="s">
        <v>20</v>
      </c>
      <c r="E1010">
        <v>153</v>
      </c>
      <c r="F1010">
        <v>138706.10999999999</v>
      </c>
    </row>
    <row r="1011" spans="1:6" x14ac:dyDescent="0.3">
      <c r="A1011">
        <v>2024</v>
      </c>
      <c r="B1011">
        <v>8</v>
      </c>
      <c r="C1011" t="s">
        <v>44</v>
      </c>
      <c r="D1011" t="s">
        <v>21</v>
      </c>
      <c r="E1011">
        <v>406</v>
      </c>
      <c r="F1011">
        <v>368950.82</v>
      </c>
    </row>
    <row r="1012" spans="1:6" x14ac:dyDescent="0.3">
      <c r="A1012">
        <v>2024</v>
      </c>
      <c r="B1012">
        <v>8</v>
      </c>
      <c r="C1012" t="s">
        <v>44</v>
      </c>
      <c r="D1012" t="s">
        <v>22</v>
      </c>
      <c r="E1012">
        <v>165</v>
      </c>
      <c r="F1012">
        <v>109653.82</v>
      </c>
    </row>
    <row r="1013" spans="1:6" x14ac:dyDescent="0.3">
      <c r="A1013">
        <v>2024</v>
      </c>
      <c r="B1013">
        <v>8</v>
      </c>
      <c r="C1013" t="s">
        <v>44</v>
      </c>
      <c r="D1013" t="s">
        <v>23</v>
      </c>
      <c r="E1013">
        <v>279</v>
      </c>
      <c r="F1013">
        <v>256976.73</v>
      </c>
    </row>
    <row r="1014" spans="1:6" x14ac:dyDescent="0.3">
      <c r="A1014">
        <v>2024</v>
      </c>
      <c r="B1014">
        <v>8</v>
      </c>
      <c r="C1014" t="s">
        <v>44</v>
      </c>
      <c r="D1014" t="s">
        <v>24</v>
      </c>
      <c r="E1014">
        <v>181</v>
      </c>
      <c r="F1014">
        <v>136218.43</v>
      </c>
    </row>
    <row r="1015" spans="1:6" x14ac:dyDescent="0.3">
      <c r="A1015">
        <v>2024</v>
      </c>
      <c r="B1015">
        <v>8</v>
      </c>
      <c r="C1015" t="s">
        <v>44</v>
      </c>
      <c r="D1015" t="s">
        <v>25</v>
      </c>
      <c r="E1015">
        <v>442</v>
      </c>
      <c r="F1015">
        <v>383201.99</v>
      </c>
    </row>
    <row r="1016" spans="1:6" x14ac:dyDescent="0.3">
      <c r="A1016">
        <v>2024</v>
      </c>
      <c r="B1016">
        <v>8</v>
      </c>
      <c r="C1016" t="s">
        <v>44</v>
      </c>
      <c r="D1016" t="s">
        <v>26</v>
      </c>
      <c r="E1016">
        <v>171</v>
      </c>
      <c r="F1016">
        <v>131336.84</v>
      </c>
    </row>
    <row r="1017" spans="1:6" x14ac:dyDescent="0.3">
      <c r="A1017">
        <v>2024</v>
      </c>
      <c r="B1017">
        <v>8</v>
      </c>
      <c r="C1017" t="s">
        <v>44</v>
      </c>
      <c r="D1017" t="s">
        <v>27</v>
      </c>
      <c r="E1017">
        <v>211</v>
      </c>
      <c r="F1017">
        <v>183440.72</v>
      </c>
    </row>
    <row r="1018" spans="1:6" x14ac:dyDescent="0.3">
      <c r="A1018">
        <v>2024</v>
      </c>
      <c r="B1018">
        <v>8</v>
      </c>
      <c r="C1018" t="s">
        <v>44</v>
      </c>
      <c r="D1018" t="s">
        <v>28</v>
      </c>
      <c r="E1018">
        <v>57</v>
      </c>
      <c r="F1018">
        <v>41102.32</v>
      </c>
    </row>
    <row r="1019" spans="1:6" x14ac:dyDescent="0.3">
      <c r="A1019">
        <v>2024</v>
      </c>
      <c r="B1019">
        <v>8</v>
      </c>
      <c r="C1019" t="s">
        <v>44</v>
      </c>
      <c r="D1019" t="s">
        <v>29</v>
      </c>
      <c r="E1019">
        <v>454</v>
      </c>
      <c r="F1019">
        <v>361776.11</v>
      </c>
    </row>
    <row r="1020" spans="1:6" x14ac:dyDescent="0.3">
      <c r="A1020">
        <v>2024</v>
      </c>
      <c r="B1020">
        <v>8</v>
      </c>
      <c r="C1020" t="s">
        <v>44</v>
      </c>
      <c r="D1020" t="s">
        <v>30</v>
      </c>
      <c r="E1020">
        <v>54</v>
      </c>
      <c r="F1020">
        <v>39148.699999999997</v>
      </c>
    </row>
    <row r="1021" spans="1:6" x14ac:dyDescent="0.3">
      <c r="A1021">
        <v>2024</v>
      </c>
      <c r="B1021">
        <v>8</v>
      </c>
      <c r="C1021" t="s">
        <v>44</v>
      </c>
      <c r="D1021" t="s">
        <v>31</v>
      </c>
      <c r="E1021">
        <v>682</v>
      </c>
      <c r="F1021">
        <v>598127.16</v>
      </c>
    </row>
    <row r="1022" spans="1:6" x14ac:dyDescent="0.3">
      <c r="A1022">
        <v>2024</v>
      </c>
      <c r="B1022">
        <v>8</v>
      </c>
      <c r="C1022" t="s">
        <v>44</v>
      </c>
      <c r="D1022" t="s">
        <v>51</v>
      </c>
      <c r="E1022">
        <v>127</v>
      </c>
      <c r="F1022">
        <v>80438.61</v>
      </c>
    </row>
    <row r="1023" spans="1:6" x14ac:dyDescent="0.3">
      <c r="A1023">
        <v>2024</v>
      </c>
      <c r="B1023">
        <v>8</v>
      </c>
      <c r="C1023" t="s">
        <v>44</v>
      </c>
      <c r="D1023" t="s">
        <v>32</v>
      </c>
      <c r="E1023">
        <v>201</v>
      </c>
      <c r="F1023">
        <v>139348.17000000001</v>
      </c>
    </row>
    <row r="1024" spans="1:6" x14ac:dyDescent="0.3">
      <c r="A1024">
        <v>2024</v>
      </c>
      <c r="B1024">
        <v>8</v>
      </c>
      <c r="C1024" t="s">
        <v>44</v>
      </c>
      <c r="D1024" t="s">
        <v>52</v>
      </c>
      <c r="E1024">
        <v>249</v>
      </c>
      <c r="F1024">
        <v>209913.16</v>
      </c>
    </row>
    <row r="1025" spans="1:6" x14ac:dyDescent="0.3">
      <c r="A1025">
        <v>2024</v>
      </c>
      <c r="B1025">
        <v>8</v>
      </c>
      <c r="C1025" t="s">
        <v>44</v>
      </c>
      <c r="D1025" t="s">
        <v>33</v>
      </c>
      <c r="E1025">
        <v>610</v>
      </c>
      <c r="F1025">
        <v>514651.71</v>
      </c>
    </row>
    <row r="1026" spans="1:6" x14ac:dyDescent="0.3">
      <c r="A1026">
        <v>2024</v>
      </c>
      <c r="B1026">
        <v>8</v>
      </c>
      <c r="C1026" t="s">
        <v>44</v>
      </c>
      <c r="D1026" t="s">
        <v>34</v>
      </c>
      <c r="E1026">
        <v>575</v>
      </c>
      <c r="F1026">
        <v>438023.71</v>
      </c>
    </row>
    <row r="1027" spans="1:6" x14ac:dyDescent="0.3">
      <c r="A1027">
        <v>2024</v>
      </c>
      <c r="B1027">
        <v>8</v>
      </c>
      <c r="C1027" t="s">
        <v>44</v>
      </c>
      <c r="D1027" t="s">
        <v>49</v>
      </c>
      <c r="E1027">
        <v>27</v>
      </c>
      <c r="F1027">
        <v>12185</v>
      </c>
    </row>
    <row r="1028" spans="1:6" x14ac:dyDescent="0.3">
      <c r="A1028">
        <v>2024</v>
      </c>
      <c r="B1028">
        <v>8</v>
      </c>
      <c r="C1028" t="s">
        <v>44</v>
      </c>
      <c r="D1028" t="s">
        <v>53</v>
      </c>
      <c r="E1028">
        <v>182</v>
      </c>
      <c r="F1028">
        <v>133080.87</v>
      </c>
    </row>
    <row r="1029" spans="1:6" x14ac:dyDescent="0.3">
      <c r="A1029">
        <v>2024</v>
      </c>
      <c r="B1029">
        <v>8</v>
      </c>
      <c r="C1029" t="s">
        <v>44</v>
      </c>
      <c r="D1029" t="s">
        <v>35</v>
      </c>
      <c r="E1029">
        <v>339</v>
      </c>
      <c r="F1029">
        <v>255868.48</v>
      </c>
    </row>
    <row r="1030" spans="1:6" x14ac:dyDescent="0.3">
      <c r="A1030">
        <v>2024</v>
      </c>
      <c r="B1030">
        <v>8</v>
      </c>
      <c r="C1030" t="s">
        <v>44</v>
      </c>
      <c r="D1030" t="s">
        <v>36</v>
      </c>
      <c r="E1030">
        <v>211</v>
      </c>
      <c r="F1030">
        <v>225818</v>
      </c>
    </row>
    <row r="1031" spans="1:6" x14ac:dyDescent="0.3">
      <c r="A1031">
        <v>2024</v>
      </c>
      <c r="B1031">
        <v>8</v>
      </c>
      <c r="C1031" t="s">
        <v>44</v>
      </c>
      <c r="D1031" t="s">
        <v>37</v>
      </c>
      <c r="E1031">
        <v>376</v>
      </c>
      <c r="F1031">
        <v>311977.2</v>
      </c>
    </row>
    <row r="1032" spans="1:6" x14ac:dyDescent="0.3">
      <c r="A1032">
        <v>2024</v>
      </c>
      <c r="B1032">
        <v>9</v>
      </c>
      <c r="C1032" t="s">
        <v>45</v>
      </c>
      <c r="D1032" t="s">
        <v>7</v>
      </c>
      <c r="E1032">
        <v>426</v>
      </c>
      <c r="F1032">
        <v>364062.45</v>
      </c>
    </row>
    <row r="1033" spans="1:6" x14ac:dyDescent="0.3">
      <c r="A1033">
        <v>2024</v>
      </c>
      <c r="B1033">
        <v>9</v>
      </c>
      <c r="C1033" t="s">
        <v>45</v>
      </c>
      <c r="D1033" t="s">
        <v>8</v>
      </c>
      <c r="E1033">
        <v>123</v>
      </c>
      <c r="F1033">
        <v>83486.11</v>
      </c>
    </row>
    <row r="1034" spans="1:6" x14ac:dyDescent="0.3">
      <c r="A1034">
        <v>2024</v>
      </c>
      <c r="B1034">
        <v>9</v>
      </c>
      <c r="C1034" t="s">
        <v>45</v>
      </c>
      <c r="D1034" t="s">
        <v>9</v>
      </c>
      <c r="E1034">
        <v>58</v>
      </c>
      <c r="F1034">
        <v>44303.85</v>
      </c>
    </row>
    <row r="1035" spans="1:6" x14ac:dyDescent="0.3">
      <c r="A1035">
        <v>2024</v>
      </c>
      <c r="B1035">
        <v>9</v>
      </c>
      <c r="C1035" t="s">
        <v>45</v>
      </c>
      <c r="D1035" t="s">
        <v>10</v>
      </c>
      <c r="E1035">
        <v>177</v>
      </c>
      <c r="F1035">
        <v>156439.45000000001</v>
      </c>
    </row>
    <row r="1036" spans="1:6" x14ac:dyDescent="0.3">
      <c r="A1036">
        <v>2024</v>
      </c>
      <c r="B1036">
        <v>9</v>
      </c>
      <c r="C1036" t="s">
        <v>45</v>
      </c>
      <c r="D1036" t="s">
        <v>11</v>
      </c>
      <c r="E1036">
        <v>245</v>
      </c>
      <c r="F1036">
        <v>196419.64</v>
      </c>
    </row>
    <row r="1037" spans="1:6" x14ac:dyDescent="0.3">
      <c r="A1037">
        <v>2024</v>
      </c>
      <c r="B1037">
        <v>9</v>
      </c>
      <c r="C1037" t="s">
        <v>45</v>
      </c>
      <c r="D1037" t="s">
        <v>12</v>
      </c>
      <c r="E1037">
        <v>170</v>
      </c>
      <c r="F1037">
        <v>110781.54</v>
      </c>
    </row>
    <row r="1038" spans="1:6" x14ac:dyDescent="0.3">
      <c r="A1038">
        <v>2024</v>
      </c>
      <c r="B1038">
        <v>9</v>
      </c>
      <c r="C1038" t="s">
        <v>45</v>
      </c>
      <c r="D1038" t="s">
        <v>13</v>
      </c>
      <c r="E1038">
        <v>199</v>
      </c>
      <c r="F1038">
        <v>142078.96</v>
      </c>
    </row>
    <row r="1039" spans="1:6" x14ac:dyDescent="0.3">
      <c r="A1039">
        <v>2024</v>
      </c>
      <c r="B1039">
        <v>9</v>
      </c>
      <c r="C1039" t="s">
        <v>45</v>
      </c>
      <c r="D1039" t="s">
        <v>14</v>
      </c>
      <c r="E1039">
        <v>158</v>
      </c>
      <c r="F1039">
        <v>111025.7</v>
      </c>
    </row>
    <row r="1040" spans="1:6" x14ac:dyDescent="0.3">
      <c r="A1040">
        <v>2024</v>
      </c>
      <c r="B1040">
        <v>9</v>
      </c>
      <c r="C1040" t="s">
        <v>45</v>
      </c>
      <c r="D1040" t="s">
        <v>15</v>
      </c>
      <c r="E1040">
        <v>62</v>
      </c>
      <c r="F1040">
        <v>51045.9</v>
      </c>
    </row>
    <row r="1041" spans="1:6" x14ac:dyDescent="0.3">
      <c r="A1041">
        <v>2024</v>
      </c>
      <c r="B1041">
        <v>9</v>
      </c>
      <c r="C1041" t="s">
        <v>45</v>
      </c>
      <c r="D1041" t="s">
        <v>16</v>
      </c>
      <c r="E1041">
        <v>64</v>
      </c>
      <c r="F1041">
        <v>59861.07</v>
      </c>
    </row>
    <row r="1042" spans="1:6" x14ac:dyDescent="0.3">
      <c r="A1042">
        <v>2024</v>
      </c>
      <c r="B1042">
        <v>9</v>
      </c>
      <c r="C1042" t="s">
        <v>45</v>
      </c>
      <c r="D1042" t="s">
        <v>17</v>
      </c>
      <c r="E1042">
        <v>412</v>
      </c>
      <c r="F1042">
        <v>322471.07</v>
      </c>
    </row>
    <row r="1043" spans="1:6" x14ac:dyDescent="0.3">
      <c r="A1043">
        <v>2024</v>
      </c>
      <c r="B1043">
        <v>9</v>
      </c>
      <c r="C1043" t="s">
        <v>45</v>
      </c>
      <c r="D1043" t="s">
        <v>18</v>
      </c>
      <c r="E1043">
        <v>280</v>
      </c>
      <c r="F1043">
        <v>262803.17</v>
      </c>
    </row>
    <row r="1044" spans="1:6" x14ac:dyDescent="0.3">
      <c r="A1044">
        <v>2024</v>
      </c>
      <c r="B1044">
        <v>9</v>
      </c>
      <c r="C1044" t="s">
        <v>45</v>
      </c>
      <c r="D1044" t="s">
        <v>50</v>
      </c>
      <c r="E1044">
        <v>42</v>
      </c>
      <c r="F1044">
        <v>31209</v>
      </c>
    </row>
    <row r="1045" spans="1:6" x14ac:dyDescent="0.3">
      <c r="A1045">
        <v>2024</v>
      </c>
      <c r="B1045">
        <v>9</v>
      </c>
      <c r="C1045" t="s">
        <v>45</v>
      </c>
      <c r="D1045" t="s">
        <v>19</v>
      </c>
      <c r="E1045">
        <v>93</v>
      </c>
      <c r="F1045">
        <v>62063.6</v>
      </c>
    </row>
    <row r="1046" spans="1:6" x14ac:dyDescent="0.3">
      <c r="A1046">
        <v>2024</v>
      </c>
      <c r="B1046">
        <v>9</v>
      </c>
      <c r="C1046" t="s">
        <v>45</v>
      </c>
      <c r="D1046" t="s">
        <v>20</v>
      </c>
      <c r="E1046">
        <v>108</v>
      </c>
      <c r="F1046">
        <v>83990.34</v>
      </c>
    </row>
    <row r="1047" spans="1:6" x14ac:dyDescent="0.3">
      <c r="A1047">
        <v>2024</v>
      </c>
      <c r="B1047">
        <v>9</v>
      </c>
      <c r="C1047" t="s">
        <v>45</v>
      </c>
      <c r="D1047" t="s">
        <v>21</v>
      </c>
      <c r="E1047">
        <v>372</v>
      </c>
      <c r="F1047">
        <v>347260.46</v>
      </c>
    </row>
    <row r="1048" spans="1:6" x14ac:dyDescent="0.3">
      <c r="A1048">
        <v>2024</v>
      </c>
      <c r="B1048">
        <v>9</v>
      </c>
      <c r="C1048" t="s">
        <v>45</v>
      </c>
      <c r="D1048" t="s">
        <v>22</v>
      </c>
      <c r="E1048">
        <v>197</v>
      </c>
      <c r="F1048">
        <v>137289.29999999999</v>
      </c>
    </row>
    <row r="1049" spans="1:6" x14ac:dyDescent="0.3">
      <c r="A1049">
        <v>2024</v>
      </c>
      <c r="B1049">
        <v>9</v>
      </c>
      <c r="C1049" t="s">
        <v>45</v>
      </c>
      <c r="D1049" t="s">
        <v>23</v>
      </c>
      <c r="E1049">
        <v>160</v>
      </c>
      <c r="F1049">
        <v>151973.72</v>
      </c>
    </row>
    <row r="1050" spans="1:6" x14ac:dyDescent="0.3">
      <c r="A1050">
        <v>2024</v>
      </c>
      <c r="B1050">
        <v>9</v>
      </c>
      <c r="C1050" t="s">
        <v>45</v>
      </c>
      <c r="D1050" t="s">
        <v>24</v>
      </c>
      <c r="E1050">
        <v>140</v>
      </c>
      <c r="F1050">
        <v>102728.19</v>
      </c>
    </row>
    <row r="1051" spans="1:6" x14ac:dyDescent="0.3">
      <c r="A1051">
        <v>2024</v>
      </c>
      <c r="B1051">
        <v>9</v>
      </c>
      <c r="C1051" t="s">
        <v>45</v>
      </c>
      <c r="D1051" t="s">
        <v>25</v>
      </c>
      <c r="E1051">
        <v>223</v>
      </c>
      <c r="F1051">
        <v>198261.07</v>
      </c>
    </row>
    <row r="1052" spans="1:6" x14ac:dyDescent="0.3">
      <c r="A1052">
        <v>2024</v>
      </c>
      <c r="B1052">
        <v>9</v>
      </c>
      <c r="C1052" t="s">
        <v>45</v>
      </c>
      <c r="D1052" t="s">
        <v>26</v>
      </c>
      <c r="E1052">
        <v>105</v>
      </c>
      <c r="F1052">
        <v>81641.64</v>
      </c>
    </row>
    <row r="1053" spans="1:6" x14ac:dyDescent="0.3">
      <c r="A1053">
        <v>2024</v>
      </c>
      <c r="B1053">
        <v>9</v>
      </c>
      <c r="C1053" t="s">
        <v>45</v>
      </c>
      <c r="D1053" t="s">
        <v>27</v>
      </c>
      <c r="E1053">
        <v>161</v>
      </c>
      <c r="F1053">
        <v>154011.38</v>
      </c>
    </row>
    <row r="1054" spans="1:6" x14ac:dyDescent="0.3">
      <c r="A1054">
        <v>2024</v>
      </c>
      <c r="B1054">
        <v>9</v>
      </c>
      <c r="C1054" t="s">
        <v>45</v>
      </c>
      <c r="D1054" t="s">
        <v>28</v>
      </c>
      <c r="E1054">
        <v>42</v>
      </c>
      <c r="F1054">
        <v>33150.519999999997</v>
      </c>
    </row>
    <row r="1055" spans="1:6" x14ac:dyDescent="0.3">
      <c r="A1055">
        <v>2024</v>
      </c>
      <c r="B1055">
        <v>9</v>
      </c>
      <c r="C1055" t="s">
        <v>45</v>
      </c>
      <c r="D1055" t="s">
        <v>29</v>
      </c>
      <c r="E1055">
        <v>293</v>
      </c>
      <c r="F1055">
        <v>232487.2</v>
      </c>
    </row>
    <row r="1056" spans="1:6" x14ac:dyDescent="0.3">
      <c r="A1056">
        <v>2024</v>
      </c>
      <c r="B1056">
        <v>9</v>
      </c>
      <c r="C1056" t="s">
        <v>45</v>
      </c>
      <c r="D1056" t="s">
        <v>30</v>
      </c>
      <c r="E1056">
        <v>66</v>
      </c>
      <c r="F1056">
        <v>45203.91</v>
      </c>
    </row>
    <row r="1057" spans="1:6" x14ac:dyDescent="0.3">
      <c r="A1057">
        <v>2024</v>
      </c>
      <c r="B1057">
        <v>9</v>
      </c>
      <c r="C1057" t="s">
        <v>45</v>
      </c>
      <c r="D1057" t="s">
        <v>31</v>
      </c>
      <c r="E1057">
        <v>531</v>
      </c>
      <c r="F1057">
        <v>515568.34</v>
      </c>
    </row>
    <row r="1058" spans="1:6" x14ac:dyDescent="0.3">
      <c r="A1058">
        <v>2024</v>
      </c>
      <c r="B1058">
        <v>9</v>
      </c>
      <c r="C1058" t="s">
        <v>45</v>
      </c>
      <c r="D1058" t="s">
        <v>51</v>
      </c>
      <c r="E1058">
        <v>28</v>
      </c>
      <c r="F1058">
        <v>19187.75</v>
      </c>
    </row>
    <row r="1059" spans="1:6" x14ac:dyDescent="0.3">
      <c r="A1059">
        <v>2024</v>
      </c>
      <c r="B1059">
        <v>9</v>
      </c>
      <c r="C1059" t="s">
        <v>45</v>
      </c>
      <c r="D1059" t="s">
        <v>32</v>
      </c>
      <c r="E1059">
        <v>191</v>
      </c>
      <c r="F1059">
        <v>155603.31</v>
      </c>
    </row>
    <row r="1060" spans="1:6" x14ac:dyDescent="0.3">
      <c r="A1060">
        <v>2024</v>
      </c>
      <c r="B1060">
        <v>9</v>
      </c>
      <c r="C1060" t="s">
        <v>45</v>
      </c>
      <c r="D1060" t="s">
        <v>52</v>
      </c>
      <c r="E1060">
        <v>52</v>
      </c>
      <c r="F1060">
        <v>45146.34</v>
      </c>
    </row>
    <row r="1061" spans="1:6" x14ac:dyDescent="0.3">
      <c r="A1061">
        <v>2024</v>
      </c>
      <c r="B1061">
        <v>9</v>
      </c>
      <c r="C1061" t="s">
        <v>45</v>
      </c>
      <c r="D1061" t="s">
        <v>33</v>
      </c>
      <c r="E1061">
        <v>377</v>
      </c>
      <c r="F1061">
        <v>336666.86</v>
      </c>
    </row>
    <row r="1062" spans="1:6" x14ac:dyDescent="0.3">
      <c r="A1062">
        <v>2024</v>
      </c>
      <c r="B1062">
        <v>9</v>
      </c>
      <c r="C1062" t="s">
        <v>45</v>
      </c>
      <c r="D1062" t="s">
        <v>34</v>
      </c>
      <c r="E1062">
        <v>244</v>
      </c>
      <c r="F1062">
        <v>199159.25</v>
      </c>
    </row>
    <row r="1063" spans="1:6" x14ac:dyDescent="0.3">
      <c r="A1063">
        <v>2024</v>
      </c>
      <c r="B1063">
        <v>9</v>
      </c>
      <c r="C1063" t="s">
        <v>45</v>
      </c>
      <c r="D1063" t="s">
        <v>49</v>
      </c>
      <c r="E1063">
        <v>15</v>
      </c>
      <c r="F1063">
        <v>7173.99</v>
      </c>
    </row>
    <row r="1064" spans="1:6" x14ac:dyDescent="0.3">
      <c r="A1064">
        <v>2024</v>
      </c>
      <c r="B1064">
        <v>9</v>
      </c>
      <c r="C1064" t="s">
        <v>45</v>
      </c>
      <c r="D1064" t="s">
        <v>53</v>
      </c>
      <c r="E1064">
        <v>16</v>
      </c>
      <c r="F1064">
        <v>12541.62</v>
      </c>
    </row>
    <row r="1065" spans="1:6" x14ac:dyDescent="0.3">
      <c r="A1065">
        <v>2024</v>
      </c>
      <c r="B1065">
        <v>9</v>
      </c>
      <c r="C1065" t="s">
        <v>45</v>
      </c>
      <c r="D1065" t="s">
        <v>35</v>
      </c>
      <c r="E1065">
        <v>199</v>
      </c>
      <c r="F1065">
        <v>164284.32</v>
      </c>
    </row>
    <row r="1066" spans="1:6" x14ac:dyDescent="0.3">
      <c r="A1066">
        <v>2024</v>
      </c>
      <c r="B1066">
        <v>9</v>
      </c>
      <c r="C1066" t="s">
        <v>45</v>
      </c>
      <c r="D1066" t="s">
        <v>36</v>
      </c>
      <c r="E1066">
        <v>139</v>
      </c>
      <c r="F1066">
        <v>116380.48</v>
      </c>
    </row>
    <row r="1067" spans="1:6" x14ac:dyDescent="0.3">
      <c r="A1067">
        <v>2024</v>
      </c>
      <c r="B1067">
        <v>9</v>
      </c>
      <c r="C1067" t="s">
        <v>45</v>
      </c>
      <c r="D1067" t="s">
        <v>37</v>
      </c>
      <c r="E1067">
        <v>274</v>
      </c>
      <c r="F1067">
        <v>235216.54</v>
      </c>
    </row>
    <row r="1068" spans="1:6" x14ac:dyDescent="0.3">
      <c r="A1068">
        <v>2024</v>
      </c>
      <c r="B1068">
        <v>10</v>
      </c>
      <c r="C1068" t="s">
        <v>46</v>
      </c>
      <c r="D1068" t="s">
        <v>7</v>
      </c>
      <c r="E1068">
        <v>108</v>
      </c>
      <c r="F1068">
        <v>102765.22</v>
      </c>
    </row>
    <row r="1069" spans="1:6" x14ac:dyDescent="0.3">
      <c r="A1069">
        <v>2024</v>
      </c>
      <c r="B1069">
        <v>10</v>
      </c>
      <c r="C1069" t="s">
        <v>46</v>
      </c>
      <c r="D1069" t="s">
        <v>8</v>
      </c>
      <c r="E1069">
        <v>129</v>
      </c>
      <c r="F1069">
        <v>89255.53</v>
      </c>
    </row>
    <row r="1070" spans="1:6" x14ac:dyDescent="0.3">
      <c r="A1070">
        <v>2024</v>
      </c>
      <c r="B1070">
        <v>10</v>
      </c>
      <c r="C1070" t="s">
        <v>46</v>
      </c>
      <c r="D1070" t="s">
        <v>9</v>
      </c>
      <c r="E1070">
        <v>41</v>
      </c>
      <c r="F1070">
        <v>31612.78</v>
      </c>
    </row>
    <row r="1071" spans="1:6" x14ac:dyDescent="0.3">
      <c r="A1071">
        <v>2024</v>
      </c>
      <c r="B1071">
        <v>10</v>
      </c>
      <c r="C1071" t="s">
        <v>46</v>
      </c>
      <c r="D1071" t="s">
        <v>10</v>
      </c>
      <c r="E1071">
        <v>168</v>
      </c>
      <c r="F1071">
        <v>179345.44</v>
      </c>
    </row>
    <row r="1072" spans="1:6" x14ac:dyDescent="0.3">
      <c r="A1072">
        <v>2024</v>
      </c>
      <c r="B1072">
        <v>10</v>
      </c>
      <c r="C1072" t="s">
        <v>46</v>
      </c>
      <c r="D1072" t="s">
        <v>11</v>
      </c>
      <c r="E1072">
        <v>134</v>
      </c>
      <c r="F1072">
        <v>109141.06</v>
      </c>
    </row>
    <row r="1073" spans="1:6" x14ac:dyDescent="0.3">
      <c r="A1073">
        <v>2024</v>
      </c>
      <c r="B1073">
        <v>10</v>
      </c>
      <c r="C1073" t="s">
        <v>46</v>
      </c>
      <c r="D1073" t="s">
        <v>12</v>
      </c>
      <c r="E1073">
        <v>135</v>
      </c>
      <c r="F1073">
        <v>102458.88</v>
      </c>
    </row>
    <row r="1074" spans="1:6" x14ac:dyDescent="0.3">
      <c r="A1074">
        <v>2024</v>
      </c>
      <c r="B1074">
        <v>10</v>
      </c>
      <c r="C1074" t="s">
        <v>46</v>
      </c>
      <c r="D1074" t="s">
        <v>13</v>
      </c>
      <c r="E1074">
        <v>155</v>
      </c>
      <c r="F1074">
        <v>118948.23</v>
      </c>
    </row>
    <row r="1075" spans="1:6" x14ac:dyDescent="0.3">
      <c r="A1075">
        <v>2024</v>
      </c>
      <c r="B1075">
        <v>10</v>
      </c>
      <c r="C1075" t="s">
        <v>46</v>
      </c>
      <c r="D1075" t="s">
        <v>14</v>
      </c>
      <c r="E1075">
        <v>161</v>
      </c>
      <c r="F1075">
        <v>119811.01</v>
      </c>
    </row>
    <row r="1076" spans="1:6" x14ac:dyDescent="0.3">
      <c r="A1076">
        <v>2024</v>
      </c>
      <c r="B1076">
        <v>10</v>
      </c>
      <c r="C1076" t="s">
        <v>46</v>
      </c>
      <c r="D1076" t="s">
        <v>15</v>
      </c>
      <c r="E1076">
        <v>51</v>
      </c>
      <c r="F1076">
        <v>36856.78</v>
      </c>
    </row>
    <row r="1077" spans="1:6" x14ac:dyDescent="0.3">
      <c r="A1077">
        <v>2024</v>
      </c>
      <c r="B1077">
        <v>10</v>
      </c>
      <c r="C1077" t="s">
        <v>46</v>
      </c>
      <c r="D1077" t="s">
        <v>16</v>
      </c>
      <c r="E1077">
        <v>63</v>
      </c>
      <c r="F1077">
        <v>49993.59</v>
      </c>
    </row>
    <row r="1078" spans="1:6" x14ac:dyDescent="0.3">
      <c r="A1078">
        <v>2024</v>
      </c>
      <c r="B1078">
        <v>10</v>
      </c>
      <c r="C1078" t="s">
        <v>46</v>
      </c>
      <c r="D1078" t="s">
        <v>17</v>
      </c>
      <c r="E1078">
        <v>245</v>
      </c>
      <c r="F1078">
        <v>212973.23</v>
      </c>
    </row>
    <row r="1079" spans="1:6" x14ac:dyDescent="0.3">
      <c r="A1079">
        <v>2024</v>
      </c>
      <c r="B1079">
        <v>10</v>
      </c>
      <c r="C1079" t="s">
        <v>46</v>
      </c>
      <c r="D1079" t="s">
        <v>18</v>
      </c>
      <c r="E1079">
        <v>231</v>
      </c>
      <c r="F1079">
        <v>210662.86</v>
      </c>
    </row>
    <row r="1080" spans="1:6" x14ac:dyDescent="0.3">
      <c r="A1080">
        <v>2024</v>
      </c>
      <c r="B1080">
        <v>10</v>
      </c>
      <c r="C1080" t="s">
        <v>46</v>
      </c>
      <c r="D1080" t="s">
        <v>50</v>
      </c>
      <c r="E1080">
        <v>24</v>
      </c>
      <c r="F1080">
        <v>35814</v>
      </c>
    </row>
    <row r="1081" spans="1:6" x14ac:dyDescent="0.3">
      <c r="A1081">
        <v>2024</v>
      </c>
      <c r="B1081">
        <v>10</v>
      </c>
      <c r="C1081" t="s">
        <v>46</v>
      </c>
      <c r="D1081" t="s">
        <v>19</v>
      </c>
      <c r="E1081">
        <v>115</v>
      </c>
      <c r="F1081">
        <v>80413.56</v>
      </c>
    </row>
    <row r="1082" spans="1:6" x14ac:dyDescent="0.3">
      <c r="A1082">
        <v>2024</v>
      </c>
      <c r="B1082">
        <v>10</v>
      </c>
      <c r="C1082" t="s">
        <v>46</v>
      </c>
      <c r="D1082" t="s">
        <v>20</v>
      </c>
      <c r="E1082">
        <v>172</v>
      </c>
      <c r="F1082">
        <v>169518.03</v>
      </c>
    </row>
    <row r="1083" spans="1:6" x14ac:dyDescent="0.3">
      <c r="A1083">
        <v>2024</v>
      </c>
      <c r="B1083">
        <v>10</v>
      </c>
      <c r="C1083" t="s">
        <v>46</v>
      </c>
      <c r="D1083" t="s">
        <v>21</v>
      </c>
      <c r="E1083">
        <v>243</v>
      </c>
      <c r="F1083">
        <v>238788.06</v>
      </c>
    </row>
    <row r="1084" spans="1:6" x14ac:dyDescent="0.3">
      <c r="A1084">
        <v>2024</v>
      </c>
      <c r="B1084">
        <v>10</v>
      </c>
      <c r="C1084" t="s">
        <v>46</v>
      </c>
      <c r="D1084" t="s">
        <v>22</v>
      </c>
      <c r="E1084">
        <v>129</v>
      </c>
      <c r="F1084">
        <v>92591.75</v>
      </c>
    </row>
    <row r="1085" spans="1:6" x14ac:dyDescent="0.3">
      <c r="A1085">
        <v>2024</v>
      </c>
      <c r="B1085">
        <v>10</v>
      </c>
      <c r="C1085" t="s">
        <v>46</v>
      </c>
      <c r="D1085" t="s">
        <v>23</v>
      </c>
      <c r="E1085">
        <v>123</v>
      </c>
      <c r="F1085">
        <v>139938.21</v>
      </c>
    </row>
    <row r="1086" spans="1:6" x14ac:dyDescent="0.3">
      <c r="A1086">
        <v>2024</v>
      </c>
      <c r="B1086">
        <v>10</v>
      </c>
      <c r="C1086" t="s">
        <v>46</v>
      </c>
      <c r="D1086" t="s">
        <v>24</v>
      </c>
      <c r="E1086">
        <v>229</v>
      </c>
      <c r="F1086">
        <v>169480.34</v>
      </c>
    </row>
    <row r="1087" spans="1:6" x14ac:dyDescent="0.3">
      <c r="A1087">
        <v>2024</v>
      </c>
      <c r="B1087">
        <v>10</v>
      </c>
      <c r="C1087" t="s">
        <v>46</v>
      </c>
      <c r="D1087" t="s">
        <v>25</v>
      </c>
      <c r="E1087">
        <v>215</v>
      </c>
      <c r="F1087">
        <v>189467.72</v>
      </c>
    </row>
    <row r="1088" spans="1:6" x14ac:dyDescent="0.3">
      <c r="A1088">
        <v>2024</v>
      </c>
      <c r="B1088">
        <v>10</v>
      </c>
      <c r="C1088" t="s">
        <v>46</v>
      </c>
      <c r="D1088" t="s">
        <v>26</v>
      </c>
      <c r="E1088">
        <v>95</v>
      </c>
      <c r="F1088">
        <v>83515.27</v>
      </c>
    </row>
    <row r="1089" spans="1:6" x14ac:dyDescent="0.3">
      <c r="A1089">
        <v>2024</v>
      </c>
      <c r="B1089">
        <v>10</v>
      </c>
      <c r="C1089" t="s">
        <v>46</v>
      </c>
      <c r="D1089" t="s">
        <v>27</v>
      </c>
      <c r="E1089">
        <v>157</v>
      </c>
      <c r="F1089">
        <v>155506.73000000001</v>
      </c>
    </row>
    <row r="1090" spans="1:6" x14ac:dyDescent="0.3">
      <c r="A1090">
        <v>2024</v>
      </c>
      <c r="B1090">
        <v>10</v>
      </c>
      <c r="C1090" t="s">
        <v>46</v>
      </c>
      <c r="D1090" t="s">
        <v>28</v>
      </c>
      <c r="E1090">
        <v>36</v>
      </c>
      <c r="F1090">
        <v>26511.99</v>
      </c>
    </row>
    <row r="1091" spans="1:6" x14ac:dyDescent="0.3">
      <c r="A1091">
        <v>2024</v>
      </c>
      <c r="B1091">
        <v>10</v>
      </c>
      <c r="C1091" t="s">
        <v>46</v>
      </c>
      <c r="D1091" t="s">
        <v>29</v>
      </c>
      <c r="E1091">
        <v>208</v>
      </c>
      <c r="F1091">
        <v>172604.25</v>
      </c>
    </row>
    <row r="1092" spans="1:6" x14ac:dyDescent="0.3">
      <c r="A1092">
        <v>2024</v>
      </c>
      <c r="B1092">
        <v>10</v>
      </c>
      <c r="C1092" t="s">
        <v>46</v>
      </c>
      <c r="D1092" t="s">
        <v>30</v>
      </c>
      <c r="E1092">
        <v>50</v>
      </c>
      <c r="F1092">
        <v>48726.64</v>
      </c>
    </row>
    <row r="1093" spans="1:6" x14ac:dyDescent="0.3">
      <c r="A1093">
        <v>2024</v>
      </c>
      <c r="B1093">
        <v>10</v>
      </c>
      <c r="C1093" t="s">
        <v>46</v>
      </c>
      <c r="D1093" t="s">
        <v>31</v>
      </c>
      <c r="E1093">
        <v>402</v>
      </c>
      <c r="F1093">
        <v>398946.33</v>
      </c>
    </row>
    <row r="1094" spans="1:6" x14ac:dyDescent="0.3">
      <c r="A1094">
        <v>2024</v>
      </c>
      <c r="B1094">
        <v>10</v>
      </c>
      <c r="C1094" t="s">
        <v>46</v>
      </c>
      <c r="D1094" t="s">
        <v>51</v>
      </c>
      <c r="E1094">
        <v>19</v>
      </c>
      <c r="F1094">
        <v>11320</v>
      </c>
    </row>
    <row r="1095" spans="1:6" x14ac:dyDescent="0.3">
      <c r="A1095">
        <v>2024</v>
      </c>
      <c r="B1095">
        <v>10</v>
      </c>
      <c r="C1095" t="s">
        <v>46</v>
      </c>
      <c r="D1095" t="s">
        <v>32</v>
      </c>
      <c r="E1095">
        <v>130</v>
      </c>
      <c r="F1095">
        <v>110566.51</v>
      </c>
    </row>
    <row r="1096" spans="1:6" x14ac:dyDescent="0.3">
      <c r="A1096">
        <v>2024</v>
      </c>
      <c r="B1096">
        <v>10</v>
      </c>
      <c r="C1096" t="s">
        <v>46</v>
      </c>
      <c r="D1096" t="s">
        <v>52</v>
      </c>
      <c r="E1096">
        <v>22</v>
      </c>
      <c r="F1096">
        <v>19656.12</v>
      </c>
    </row>
    <row r="1097" spans="1:6" x14ac:dyDescent="0.3">
      <c r="A1097">
        <v>2024</v>
      </c>
      <c r="B1097">
        <v>10</v>
      </c>
      <c r="C1097" t="s">
        <v>46</v>
      </c>
      <c r="D1097" t="s">
        <v>33</v>
      </c>
      <c r="E1097">
        <v>320</v>
      </c>
      <c r="F1097">
        <v>284545.5</v>
      </c>
    </row>
    <row r="1098" spans="1:6" x14ac:dyDescent="0.3">
      <c r="A1098">
        <v>2024</v>
      </c>
      <c r="B1098">
        <v>10</v>
      </c>
      <c r="C1098" t="s">
        <v>46</v>
      </c>
      <c r="D1098" t="s">
        <v>34</v>
      </c>
      <c r="E1098">
        <v>167</v>
      </c>
      <c r="F1098">
        <v>171830.68</v>
      </c>
    </row>
    <row r="1099" spans="1:6" x14ac:dyDescent="0.3">
      <c r="A1099">
        <v>2024</v>
      </c>
      <c r="B1099">
        <v>10</v>
      </c>
      <c r="C1099" t="s">
        <v>46</v>
      </c>
      <c r="D1099" t="s">
        <v>49</v>
      </c>
      <c r="E1099">
        <v>10</v>
      </c>
      <c r="F1099">
        <v>4793</v>
      </c>
    </row>
    <row r="1100" spans="1:6" x14ac:dyDescent="0.3">
      <c r="A1100">
        <v>2024</v>
      </c>
      <c r="B1100">
        <v>10</v>
      </c>
      <c r="C1100" t="s">
        <v>46</v>
      </c>
      <c r="D1100" t="s">
        <v>53</v>
      </c>
      <c r="E1100">
        <v>23</v>
      </c>
      <c r="F1100">
        <v>19518.12</v>
      </c>
    </row>
    <row r="1101" spans="1:6" x14ac:dyDescent="0.3">
      <c r="A1101">
        <v>2024</v>
      </c>
      <c r="B1101">
        <v>10</v>
      </c>
      <c r="C1101" t="s">
        <v>46</v>
      </c>
      <c r="D1101" t="s">
        <v>35</v>
      </c>
      <c r="E1101">
        <v>107</v>
      </c>
      <c r="F1101">
        <v>94472.7</v>
      </c>
    </row>
    <row r="1102" spans="1:6" x14ac:dyDescent="0.3">
      <c r="A1102">
        <v>2024</v>
      </c>
      <c r="B1102">
        <v>10</v>
      </c>
      <c r="C1102" t="s">
        <v>46</v>
      </c>
      <c r="D1102" t="s">
        <v>36</v>
      </c>
      <c r="E1102">
        <v>132</v>
      </c>
      <c r="F1102">
        <v>104032.34</v>
      </c>
    </row>
    <row r="1103" spans="1:6" x14ac:dyDescent="0.3">
      <c r="A1103">
        <v>2024</v>
      </c>
      <c r="B1103">
        <v>10</v>
      </c>
      <c r="C1103" t="s">
        <v>46</v>
      </c>
      <c r="D1103" t="s">
        <v>37</v>
      </c>
      <c r="E1103">
        <v>228</v>
      </c>
      <c r="F1103">
        <v>199393.72</v>
      </c>
    </row>
    <row r="1104" spans="1:6" x14ac:dyDescent="0.3">
      <c r="A1104">
        <v>2024</v>
      </c>
      <c r="B1104">
        <v>11</v>
      </c>
      <c r="C1104" t="s">
        <v>47</v>
      </c>
      <c r="D1104" t="s">
        <v>7</v>
      </c>
      <c r="E1104">
        <v>76</v>
      </c>
      <c r="F1104">
        <v>71601.350000000006</v>
      </c>
    </row>
    <row r="1105" spans="1:6" x14ac:dyDescent="0.3">
      <c r="A1105">
        <v>2024</v>
      </c>
      <c r="B1105">
        <v>11</v>
      </c>
      <c r="C1105" t="s">
        <v>47</v>
      </c>
      <c r="D1105" t="s">
        <v>8</v>
      </c>
      <c r="E1105">
        <v>110</v>
      </c>
      <c r="F1105">
        <v>87645.96</v>
      </c>
    </row>
    <row r="1106" spans="1:6" x14ac:dyDescent="0.3">
      <c r="A1106">
        <v>2024</v>
      </c>
      <c r="B1106">
        <v>11</v>
      </c>
      <c r="C1106" t="s">
        <v>47</v>
      </c>
      <c r="D1106" t="s">
        <v>9</v>
      </c>
      <c r="E1106">
        <v>47</v>
      </c>
      <c r="F1106">
        <v>57532.95</v>
      </c>
    </row>
    <row r="1107" spans="1:6" x14ac:dyDescent="0.3">
      <c r="A1107">
        <v>2024</v>
      </c>
      <c r="B1107">
        <v>11</v>
      </c>
      <c r="C1107" t="s">
        <v>47</v>
      </c>
      <c r="D1107" t="s">
        <v>10</v>
      </c>
      <c r="E1107">
        <v>97</v>
      </c>
      <c r="F1107">
        <v>103221.68</v>
      </c>
    </row>
    <row r="1108" spans="1:6" x14ac:dyDescent="0.3">
      <c r="A1108">
        <v>2024</v>
      </c>
      <c r="B1108">
        <v>11</v>
      </c>
      <c r="C1108" t="s">
        <v>47</v>
      </c>
      <c r="D1108" t="s">
        <v>11</v>
      </c>
      <c r="E1108">
        <v>63</v>
      </c>
      <c r="F1108">
        <v>56580.88</v>
      </c>
    </row>
    <row r="1109" spans="1:6" x14ac:dyDescent="0.3">
      <c r="A1109">
        <v>2024</v>
      </c>
      <c r="B1109">
        <v>11</v>
      </c>
      <c r="C1109" t="s">
        <v>47</v>
      </c>
      <c r="D1109" t="s">
        <v>12</v>
      </c>
      <c r="E1109">
        <v>75</v>
      </c>
      <c r="F1109">
        <v>65772.78</v>
      </c>
    </row>
    <row r="1110" spans="1:6" x14ac:dyDescent="0.3">
      <c r="A1110">
        <v>2024</v>
      </c>
      <c r="B1110">
        <v>11</v>
      </c>
      <c r="C1110" t="s">
        <v>47</v>
      </c>
      <c r="D1110" t="s">
        <v>13</v>
      </c>
      <c r="E1110">
        <v>128</v>
      </c>
      <c r="F1110">
        <v>98517.119999999995</v>
      </c>
    </row>
    <row r="1111" spans="1:6" x14ac:dyDescent="0.3">
      <c r="A1111">
        <v>2024</v>
      </c>
      <c r="B1111">
        <v>11</v>
      </c>
      <c r="C1111" t="s">
        <v>47</v>
      </c>
      <c r="D1111" t="s">
        <v>14</v>
      </c>
      <c r="E1111">
        <v>140</v>
      </c>
      <c r="F1111">
        <v>110295.23</v>
      </c>
    </row>
    <row r="1112" spans="1:6" x14ac:dyDescent="0.3">
      <c r="A1112">
        <v>2024</v>
      </c>
      <c r="B1112">
        <v>11</v>
      </c>
      <c r="C1112" t="s">
        <v>47</v>
      </c>
      <c r="D1112" t="s">
        <v>15</v>
      </c>
      <c r="E1112">
        <v>70</v>
      </c>
      <c r="F1112">
        <v>70851.42</v>
      </c>
    </row>
    <row r="1113" spans="1:6" x14ac:dyDescent="0.3">
      <c r="A1113">
        <v>2024</v>
      </c>
      <c r="B1113">
        <v>11</v>
      </c>
      <c r="C1113" t="s">
        <v>47</v>
      </c>
      <c r="D1113" t="s">
        <v>16</v>
      </c>
      <c r="E1113">
        <v>78</v>
      </c>
      <c r="F1113">
        <v>98002.32</v>
      </c>
    </row>
    <row r="1114" spans="1:6" x14ac:dyDescent="0.3">
      <c r="A1114">
        <v>2024</v>
      </c>
      <c r="B1114">
        <v>11</v>
      </c>
      <c r="C1114" t="s">
        <v>47</v>
      </c>
      <c r="D1114" t="s">
        <v>17</v>
      </c>
      <c r="E1114">
        <v>143</v>
      </c>
      <c r="F1114">
        <v>131967.29</v>
      </c>
    </row>
    <row r="1115" spans="1:6" x14ac:dyDescent="0.3">
      <c r="A1115">
        <v>2024</v>
      </c>
      <c r="B1115">
        <v>11</v>
      </c>
      <c r="C1115" t="s">
        <v>47</v>
      </c>
      <c r="D1115" t="s">
        <v>18</v>
      </c>
      <c r="E1115">
        <v>164</v>
      </c>
      <c r="F1115">
        <v>161895.07</v>
      </c>
    </row>
    <row r="1116" spans="1:6" x14ac:dyDescent="0.3">
      <c r="A1116">
        <v>2024</v>
      </c>
      <c r="B1116">
        <v>11</v>
      </c>
      <c r="C1116" t="s">
        <v>47</v>
      </c>
      <c r="D1116" t="s">
        <v>50</v>
      </c>
      <c r="E1116">
        <v>109</v>
      </c>
      <c r="F1116">
        <v>264199.55</v>
      </c>
    </row>
    <row r="1117" spans="1:6" x14ac:dyDescent="0.3">
      <c r="A1117">
        <v>2024</v>
      </c>
      <c r="B1117">
        <v>11</v>
      </c>
      <c r="C1117" t="s">
        <v>47</v>
      </c>
      <c r="D1117" t="s">
        <v>19</v>
      </c>
      <c r="E1117">
        <v>103</v>
      </c>
      <c r="F1117">
        <v>78522.679999999993</v>
      </c>
    </row>
    <row r="1118" spans="1:6" x14ac:dyDescent="0.3">
      <c r="A1118">
        <v>2024</v>
      </c>
      <c r="B1118">
        <v>11</v>
      </c>
      <c r="C1118" t="s">
        <v>47</v>
      </c>
      <c r="D1118" t="s">
        <v>20</v>
      </c>
      <c r="E1118">
        <v>86</v>
      </c>
      <c r="F1118">
        <v>76498.28</v>
      </c>
    </row>
    <row r="1119" spans="1:6" x14ac:dyDescent="0.3">
      <c r="A1119">
        <v>2024</v>
      </c>
      <c r="B1119">
        <v>11</v>
      </c>
      <c r="C1119" t="s">
        <v>47</v>
      </c>
      <c r="D1119" t="s">
        <v>21</v>
      </c>
      <c r="E1119">
        <v>124</v>
      </c>
      <c r="F1119">
        <v>126699.76</v>
      </c>
    </row>
    <row r="1120" spans="1:6" x14ac:dyDescent="0.3">
      <c r="A1120">
        <v>2024</v>
      </c>
      <c r="B1120">
        <v>11</v>
      </c>
      <c r="C1120" t="s">
        <v>47</v>
      </c>
      <c r="D1120" t="s">
        <v>22</v>
      </c>
      <c r="E1120">
        <v>83</v>
      </c>
      <c r="F1120">
        <v>69415.240000000005</v>
      </c>
    </row>
    <row r="1121" spans="1:6" x14ac:dyDescent="0.3">
      <c r="A1121">
        <v>2024</v>
      </c>
      <c r="B1121">
        <v>11</v>
      </c>
      <c r="C1121" t="s">
        <v>47</v>
      </c>
      <c r="D1121" t="s">
        <v>23</v>
      </c>
      <c r="E1121">
        <v>71</v>
      </c>
      <c r="F1121">
        <v>82703.8</v>
      </c>
    </row>
    <row r="1122" spans="1:6" x14ac:dyDescent="0.3">
      <c r="A1122">
        <v>2024</v>
      </c>
      <c r="B1122">
        <v>11</v>
      </c>
      <c r="C1122" t="s">
        <v>47</v>
      </c>
      <c r="D1122" t="s">
        <v>24</v>
      </c>
      <c r="E1122">
        <v>234</v>
      </c>
      <c r="F1122">
        <v>185253.34</v>
      </c>
    </row>
    <row r="1123" spans="1:6" x14ac:dyDescent="0.3">
      <c r="A1123">
        <v>2024</v>
      </c>
      <c r="B1123">
        <v>11</v>
      </c>
      <c r="C1123" t="s">
        <v>47</v>
      </c>
      <c r="D1123" t="s">
        <v>25</v>
      </c>
      <c r="E1123">
        <v>178</v>
      </c>
      <c r="F1123">
        <v>167164.99</v>
      </c>
    </row>
    <row r="1124" spans="1:6" x14ac:dyDescent="0.3">
      <c r="A1124">
        <v>2024</v>
      </c>
      <c r="B1124">
        <v>11</v>
      </c>
      <c r="C1124" t="s">
        <v>47</v>
      </c>
      <c r="D1124" t="s">
        <v>26</v>
      </c>
      <c r="E1124">
        <v>61</v>
      </c>
      <c r="F1124">
        <v>87189.52</v>
      </c>
    </row>
    <row r="1125" spans="1:6" x14ac:dyDescent="0.3">
      <c r="A1125">
        <v>2024</v>
      </c>
      <c r="B1125">
        <v>11</v>
      </c>
      <c r="C1125" t="s">
        <v>47</v>
      </c>
      <c r="D1125" t="s">
        <v>27</v>
      </c>
      <c r="E1125">
        <v>93</v>
      </c>
      <c r="F1125">
        <v>97001.72</v>
      </c>
    </row>
    <row r="1126" spans="1:6" x14ac:dyDescent="0.3">
      <c r="A1126">
        <v>2024</v>
      </c>
      <c r="B1126">
        <v>11</v>
      </c>
      <c r="C1126" t="s">
        <v>47</v>
      </c>
      <c r="D1126" t="s">
        <v>28</v>
      </c>
      <c r="E1126">
        <v>50</v>
      </c>
      <c r="F1126">
        <v>42880.31</v>
      </c>
    </row>
    <row r="1127" spans="1:6" x14ac:dyDescent="0.3">
      <c r="A1127">
        <v>2024</v>
      </c>
      <c r="B1127">
        <v>11</v>
      </c>
      <c r="C1127" t="s">
        <v>47</v>
      </c>
      <c r="D1127" t="s">
        <v>29</v>
      </c>
      <c r="E1127">
        <v>108</v>
      </c>
      <c r="F1127">
        <v>101692.34</v>
      </c>
    </row>
    <row r="1128" spans="1:6" x14ac:dyDescent="0.3">
      <c r="A1128">
        <v>2024</v>
      </c>
      <c r="B1128">
        <v>11</v>
      </c>
      <c r="C1128" t="s">
        <v>47</v>
      </c>
      <c r="D1128" t="s">
        <v>30</v>
      </c>
      <c r="E1128">
        <v>65</v>
      </c>
      <c r="F1128">
        <v>69407.94</v>
      </c>
    </row>
    <row r="1129" spans="1:6" x14ac:dyDescent="0.3">
      <c r="A1129">
        <v>2024</v>
      </c>
      <c r="B1129">
        <v>11</v>
      </c>
      <c r="C1129" t="s">
        <v>47</v>
      </c>
      <c r="D1129" t="s">
        <v>31</v>
      </c>
      <c r="E1129">
        <v>236</v>
      </c>
      <c r="F1129">
        <v>256293.51</v>
      </c>
    </row>
    <row r="1130" spans="1:6" x14ac:dyDescent="0.3">
      <c r="A1130">
        <v>2024</v>
      </c>
      <c r="B1130">
        <v>11</v>
      </c>
      <c r="C1130" t="s">
        <v>47</v>
      </c>
      <c r="D1130" t="s">
        <v>51</v>
      </c>
      <c r="E1130">
        <v>24</v>
      </c>
      <c r="F1130">
        <v>21743.63</v>
      </c>
    </row>
    <row r="1131" spans="1:6" x14ac:dyDescent="0.3">
      <c r="A1131">
        <v>2024</v>
      </c>
      <c r="B1131">
        <v>11</v>
      </c>
      <c r="C1131" t="s">
        <v>47</v>
      </c>
      <c r="D1131" t="s">
        <v>32</v>
      </c>
      <c r="E1131">
        <v>75</v>
      </c>
      <c r="F1131">
        <v>67494.259999999995</v>
      </c>
    </row>
    <row r="1132" spans="1:6" x14ac:dyDescent="0.3">
      <c r="A1132">
        <v>2024</v>
      </c>
      <c r="B1132">
        <v>11</v>
      </c>
      <c r="C1132" t="s">
        <v>47</v>
      </c>
      <c r="D1132" t="s">
        <v>52</v>
      </c>
      <c r="E1132">
        <v>11</v>
      </c>
      <c r="F1132">
        <v>11398.13</v>
      </c>
    </row>
    <row r="1133" spans="1:6" x14ac:dyDescent="0.3">
      <c r="A1133">
        <v>2024</v>
      </c>
      <c r="B1133">
        <v>11</v>
      </c>
      <c r="C1133" t="s">
        <v>47</v>
      </c>
      <c r="D1133" t="s">
        <v>33</v>
      </c>
      <c r="E1133">
        <v>182</v>
      </c>
      <c r="F1133">
        <v>171653.31</v>
      </c>
    </row>
    <row r="1134" spans="1:6" x14ac:dyDescent="0.3">
      <c r="A1134">
        <v>2024</v>
      </c>
      <c r="B1134">
        <v>11</v>
      </c>
      <c r="C1134" t="s">
        <v>47</v>
      </c>
      <c r="D1134" t="s">
        <v>34</v>
      </c>
      <c r="E1134">
        <v>95</v>
      </c>
      <c r="F1134">
        <v>88900.94</v>
      </c>
    </row>
    <row r="1135" spans="1:6" x14ac:dyDescent="0.3">
      <c r="A1135">
        <v>2024</v>
      </c>
      <c r="B1135">
        <v>11</v>
      </c>
      <c r="C1135" t="s">
        <v>47</v>
      </c>
      <c r="D1135" t="s">
        <v>49</v>
      </c>
      <c r="E1135">
        <v>15</v>
      </c>
      <c r="F1135">
        <v>9489</v>
      </c>
    </row>
    <row r="1136" spans="1:6" x14ac:dyDescent="0.3">
      <c r="A1136">
        <v>2024</v>
      </c>
      <c r="B1136">
        <v>11</v>
      </c>
      <c r="C1136" t="s">
        <v>47</v>
      </c>
      <c r="D1136" t="s">
        <v>53</v>
      </c>
      <c r="E1136">
        <v>16</v>
      </c>
      <c r="F1136">
        <v>14583.13</v>
      </c>
    </row>
    <row r="1137" spans="1:6" x14ac:dyDescent="0.3">
      <c r="A1137">
        <v>2024</v>
      </c>
      <c r="B1137">
        <v>11</v>
      </c>
      <c r="C1137" t="s">
        <v>47</v>
      </c>
      <c r="D1137" t="s">
        <v>35</v>
      </c>
      <c r="E1137">
        <v>56</v>
      </c>
      <c r="F1137">
        <v>48224.25</v>
      </c>
    </row>
    <row r="1138" spans="1:6" x14ac:dyDescent="0.3">
      <c r="A1138">
        <v>2024</v>
      </c>
      <c r="B1138">
        <v>11</v>
      </c>
      <c r="C1138" t="s">
        <v>47</v>
      </c>
      <c r="D1138" t="s">
        <v>36</v>
      </c>
      <c r="E1138">
        <v>87</v>
      </c>
      <c r="F1138">
        <v>75019.37</v>
      </c>
    </row>
    <row r="1139" spans="1:6" x14ac:dyDescent="0.3">
      <c r="A1139">
        <v>2024</v>
      </c>
      <c r="B1139">
        <v>11</v>
      </c>
      <c r="C1139" t="s">
        <v>47</v>
      </c>
      <c r="D1139" t="s">
        <v>37</v>
      </c>
      <c r="E1139">
        <v>115</v>
      </c>
      <c r="F1139">
        <v>121997.68</v>
      </c>
    </row>
    <row r="1140" spans="1:6" x14ac:dyDescent="0.3">
      <c r="A1140">
        <v>2024</v>
      </c>
      <c r="B1140">
        <v>12</v>
      </c>
      <c r="C1140" t="s">
        <v>48</v>
      </c>
      <c r="D1140" t="s">
        <v>7</v>
      </c>
      <c r="E1140">
        <v>26</v>
      </c>
      <c r="F1140">
        <v>25338.07</v>
      </c>
    </row>
    <row r="1141" spans="1:6" x14ac:dyDescent="0.3">
      <c r="A1141">
        <v>2024</v>
      </c>
      <c r="B1141">
        <v>12</v>
      </c>
      <c r="C1141" t="s">
        <v>48</v>
      </c>
      <c r="D1141" t="s">
        <v>8</v>
      </c>
      <c r="E1141">
        <v>167</v>
      </c>
      <c r="F1141">
        <v>136975.87</v>
      </c>
    </row>
    <row r="1142" spans="1:6" x14ac:dyDescent="0.3">
      <c r="A1142">
        <v>2024</v>
      </c>
      <c r="B1142">
        <v>12</v>
      </c>
      <c r="C1142" t="s">
        <v>48</v>
      </c>
      <c r="D1142" t="s">
        <v>9</v>
      </c>
      <c r="E1142">
        <v>23</v>
      </c>
      <c r="F1142">
        <v>14493.4</v>
      </c>
    </row>
    <row r="1143" spans="1:6" x14ac:dyDescent="0.3">
      <c r="A1143">
        <v>2024</v>
      </c>
      <c r="B1143">
        <v>12</v>
      </c>
      <c r="C1143" t="s">
        <v>48</v>
      </c>
      <c r="D1143" t="s">
        <v>10</v>
      </c>
      <c r="E1143">
        <v>58</v>
      </c>
      <c r="F1143">
        <v>55387.02</v>
      </c>
    </row>
    <row r="1144" spans="1:6" x14ac:dyDescent="0.3">
      <c r="A1144">
        <v>2024</v>
      </c>
      <c r="B1144">
        <v>12</v>
      </c>
      <c r="C1144" t="s">
        <v>48</v>
      </c>
      <c r="D1144" t="s">
        <v>11</v>
      </c>
      <c r="E1144">
        <v>43</v>
      </c>
      <c r="F1144">
        <v>35506.54</v>
      </c>
    </row>
    <row r="1145" spans="1:6" x14ac:dyDescent="0.3">
      <c r="A1145">
        <v>2024</v>
      </c>
      <c r="B1145">
        <v>12</v>
      </c>
      <c r="C1145" t="s">
        <v>48</v>
      </c>
      <c r="D1145" t="s">
        <v>12</v>
      </c>
      <c r="E1145">
        <v>57</v>
      </c>
      <c r="F1145">
        <v>41260.720000000001</v>
      </c>
    </row>
    <row r="1146" spans="1:6" x14ac:dyDescent="0.3">
      <c r="A1146">
        <v>2024</v>
      </c>
      <c r="B1146">
        <v>12</v>
      </c>
      <c r="C1146" t="s">
        <v>48</v>
      </c>
      <c r="D1146" t="s">
        <v>13</v>
      </c>
      <c r="E1146">
        <v>75</v>
      </c>
      <c r="F1146">
        <v>74920.05</v>
      </c>
    </row>
    <row r="1147" spans="1:6" x14ac:dyDescent="0.3">
      <c r="A1147">
        <v>2024</v>
      </c>
      <c r="B1147">
        <v>12</v>
      </c>
      <c r="C1147" t="s">
        <v>48</v>
      </c>
      <c r="D1147" t="s">
        <v>14</v>
      </c>
      <c r="E1147">
        <v>107</v>
      </c>
      <c r="F1147">
        <v>78065.73</v>
      </c>
    </row>
    <row r="1148" spans="1:6" x14ac:dyDescent="0.3">
      <c r="A1148">
        <v>2024</v>
      </c>
      <c r="B1148">
        <v>12</v>
      </c>
      <c r="C1148" t="s">
        <v>48</v>
      </c>
      <c r="D1148" t="s">
        <v>15</v>
      </c>
      <c r="E1148">
        <v>35</v>
      </c>
      <c r="F1148">
        <v>26811.69</v>
      </c>
    </row>
    <row r="1149" spans="1:6" x14ac:dyDescent="0.3">
      <c r="A1149">
        <v>2024</v>
      </c>
      <c r="B1149">
        <v>12</v>
      </c>
      <c r="C1149" t="s">
        <v>48</v>
      </c>
      <c r="D1149" t="s">
        <v>16</v>
      </c>
      <c r="E1149">
        <v>32</v>
      </c>
      <c r="F1149">
        <v>28193.57</v>
      </c>
    </row>
    <row r="1150" spans="1:6" x14ac:dyDescent="0.3">
      <c r="A1150">
        <v>2024</v>
      </c>
      <c r="B1150">
        <v>12</v>
      </c>
      <c r="C1150" t="s">
        <v>48</v>
      </c>
      <c r="D1150" t="s">
        <v>17</v>
      </c>
      <c r="E1150">
        <v>120</v>
      </c>
      <c r="F1150">
        <v>107817.02</v>
      </c>
    </row>
    <row r="1151" spans="1:6" x14ac:dyDescent="0.3">
      <c r="A1151">
        <v>2024</v>
      </c>
      <c r="B1151">
        <v>12</v>
      </c>
      <c r="C1151" t="s">
        <v>48</v>
      </c>
      <c r="D1151" t="s">
        <v>18</v>
      </c>
      <c r="E1151">
        <v>138</v>
      </c>
      <c r="F1151">
        <v>144735.63</v>
      </c>
    </row>
    <row r="1152" spans="1:6" x14ac:dyDescent="0.3">
      <c r="A1152">
        <v>2024</v>
      </c>
      <c r="B1152">
        <v>12</v>
      </c>
      <c r="C1152" t="s">
        <v>48</v>
      </c>
      <c r="D1152" t="s">
        <v>50</v>
      </c>
      <c r="E1152">
        <v>11</v>
      </c>
      <c r="F1152">
        <v>9546</v>
      </c>
    </row>
    <row r="1153" spans="1:6" x14ac:dyDescent="0.3">
      <c r="A1153">
        <v>2024</v>
      </c>
      <c r="B1153">
        <v>12</v>
      </c>
      <c r="C1153" t="s">
        <v>48</v>
      </c>
      <c r="D1153" t="s">
        <v>19</v>
      </c>
      <c r="E1153">
        <v>98</v>
      </c>
      <c r="F1153">
        <v>97021.4</v>
      </c>
    </row>
    <row r="1154" spans="1:6" x14ac:dyDescent="0.3">
      <c r="A1154">
        <v>2024</v>
      </c>
      <c r="B1154">
        <v>12</v>
      </c>
      <c r="C1154" t="s">
        <v>48</v>
      </c>
      <c r="D1154" t="s">
        <v>20</v>
      </c>
      <c r="E1154">
        <v>47</v>
      </c>
      <c r="F1154">
        <v>40768.839999999997</v>
      </c>
    </row>
    <row r="1155" spans="1:6" x14ac:dyDescent="0.3">
      <c r="A1155">
        <v>2024</v>
      </c>
      <c r="B1155">
        <v>12</v>
      </c>
      <c r="C1155" t="s">
        <v>48</v>
      </c>
      <c r="D1155" t="s">
        <v>21</v>
      </c>
      <c r="E1155">
        <v>79</v>
      </c>
      <c r="F1155">
        <v>76573.23</v>
      </c>
    </row>
    <row r="1156" spans="1:6" x14ac:dyDescent="0.3">
      <c r="A1156">
        <v>2024</v>
      </c>
      <c r="B1156">
        <v>12</v>
      </c>
      <c r="C1156" t="s">
        <v>48</v>
      </c>
      <c r="D1156" t="s">
        <v>22</v>
      </c>
      <c r="E1156">
        <v>72</v>
      </c>
      <c r="F1156">
        <v>59555.89</v>
      </c>
    </row>
    <row r="1157" spans="1:6" x14ac:dyDescent="0.3">
      <c r="A1157">
        <v>2024</v>
      </c>
      <c r="B1157">
        <v>12</v>
      </c>
      <c r="C1157" t="s">
        <v>48</v>
      </c>
      <c r="D1157" t="s">
        <v>23</v>
      </c>
      <c r="E1157">
        <v>46</v>
      </c>
      <c r="F1157">
        <v>47630.55</v>
      </c>
    </row>
    <row r="1158" spans="1:6" x14ac:dyDescent="0.3">
      <c r="A1158">
        <v>2024</v>
      </c>
      <c r="B1158">
        <v>12</v>
      </c>
      <c r="C1158" t="s">
        <v>48</v>
      </c>
      <c r="D1158" t="s">
        <v>24</v>
      </c>
      <c r="E1158">
        <v>137</v>
      </c>
      <c r="F1158">
        <v>111102.72</v>
      </c>
    </row>
    <row r="1159" spans="1:6" x14ac:dyDescent="0.3">
      <c r="A1159">
        <v>2024</v>
      </c>
      <c r="B1159">
        <v>12</v>
      </c>
      <c r="C1159" t="s">
        <v>48</v>
      </c>
      <c r="D1159" t="s">
        <v>25</v>
      </c>
      <c r="E1159">
        <v>117</v>
      </c>
      <c r="F1159">
        <v>109759.5</v>
      </c>
    </row>
    <row r="1160" spans="1:6" x14ac:dyDescent="0.3">
      <c r="A1160">
        <v>2024</v>
      </c>
      <c r="B1160">
        <v>12</v>
      </c>
      <c r="C1160" t="s">
        <v>48</v>
      </c>
      <c r="D1160" t="s">
        <v>26</v>
      </c>
      <c r="E1160">
        <v>53</v>
      </c>
      <c r="F1160">
        <v>50490.74</v>
      </c>
    </row>
    <row r="1161" spans="1:6" x14ac:dyDescent="0.3">
      <c r="A1161">
        <v>2024</v>
      </c>
      <c r="B1161">
        <v>12</v>
      </c>
      <c r="C1161" t="s">
        <v>48</v>
      </c>
      <c r="D1161" t="s">
        <v>27</v>
      </c>
      <c r="E1161">
        <v>80</v>
      </c>
      <c r="F1161">
        <v>86742.06</v>
      </c>
    </row>
    <row r="1162" spans="1:6" x14ac:dyDescent="0.3">
      <c r="A1162">
        <v>2024</v>
      </c>
      <c r="B1162">
        <v>12</v>
      </c>
      <c r="C1162" t="s">
        <v>48</v>
      </c>
      <c r="D1162" t="s">
        <v>28</v>
      </c>
      <c r="E1162">
        <v>31</v>
      </c>
      <c r="F1162">
        <v>28735.360000000001</v>
      </c>
    </row>
    <row r="1163" spans="1:6" x14ac:dyDescent="0.3">
      <c r="A1163">
        <v>2024</v>
      </c>
      <c r="B1163">
        <v>12</v>
      </c>
      <c r="C1163" t="s">
        <v>48</v>
      </c>
      <c r="D1163" t="s">
        <v>29</v>
      </c>
      <c r="E1163">
        <v>80</v>
      </c>
      <c r="F1163">
        <v>72945.789999999994</v>
      </c>
    </row>
    <row r="1164" spans="1:6" x14ac:dyDescent="0.3">
      <c r="A1164">
        <v>2024</v>
      </c>
      <c r="B1164">
        <v>12</v>
      </c>
      <c r="C1164" t="s">
        <v>48</v>
      </c>
      <c r="D1164" t="s">
        <v>30</v>
      </c>
      <c r="E1164">
        <v>35</v>
      </c>
      <c r="F1164">
        <v>41208.74</v>
      </c>
    </row>
    <row r="1165" spans="1:6" x14ac:dyDescent="0.3">
      <c r="A1165">
        <v>2024</v>
      </c>
      <c r="B1165">
        <v>12</v>
      </c>
      <c r="C1165" t="s">
        <v>48</v>
      </c>
      <c r="D1165" t="s">
        <v>31</v>
      </c>
      <c r="E1165">
        <v>219</v>
      </c>
      <c r="F1165">
        <v>212663.1</v>
      </c>
    </row>
    <row r="1166" spans="1:6" x14ac:dyDescent="0.3">
      <c r="A1166">
        <v>2024</v>
      </c>
      <c r="B1166">
        <v>12</v>
      </c>
      <c r="C1166" t="s">
        <v>48</v>
      </c>
      <c r="D1166" t="s">
        <v>51</v>
      </c>
      <c r="E1166">
        <v>27</v>
      </c>
      <c r="F1166">
        <v>20414</v>
      </c>
    </row>
    <row r="1167" spans="1:6" x14ac:dyDescent="0.3">
      <c r="A1167">
        <v>2024</v>
      </c>
      <c r="B1167">
        <v>12</v>
      </c>
      <c r="C1167" t="s">
        <v>48</v>
      </c>
      <c r="D1167" t="s">
        <v>32</v>
      </c>
      <c r="E1167">
        <v>43</v>
      </c>
      <c r="F1167">
        <v>38345.449999999997</v>
      </c>
    </row>
    <row r="1168" spans="1:6" x14ac:dyDescent="0.3">
      <c r="A1168">
        <v>2024</v>
      </c>
      <c r="B1168">
        <v>12</v>
      </c>
      <c r="C1168" t="s">
        <v>48</v>
      </c>
      <c r="D1168" t="s">
        <v>52</v>
      </c>
      <c r="E1168">
        <v>12</v>
      </c>
      <c r="F1168">
        <v>11923.52</v>
      </c>
    </row>
    <row r="1169" spans="1:6" x14ac:dyDescent="0.3">
      <c r="A1169">
        <v>2024</v>
      </c>
      <c r="B1169">
        <v>12</v>
      </c>
      <c r="C1169" t="s">
        <v>48</v>
      </c>
      <c r="D1169" t="s">
        <v>33</v>
      </c>
      <c r="E1169">
        <v>170</v>
      </c>
      <c r="F1169">
        <v>180077.13</v>
      </c>
    </row>
    <row r="1170" spans="1:6" x14ac:dyDescent="0.3">
      <c r="A1170">
        <v>2024</v>
      </c>
      <c r="B1170">
        <v>12</v>
      </c>
      <c r="C1170" t="s">
        <v>48</v>
      </c>
      <c r="D1170" t="s">
        <v>34</v>
      </c>
      <c r="E1170">
        <v>57</v>
      </c>
      <c r="F1170">
        <v>51705.36</v>
      </c>
    </row>
    <row r="1171" spans="1:6" x14ac:dyDescent="0.3">
      <c r="A1171">
        <v>2024</v>
      </c>
      <c r="B1171">
        <v>12</v>
      </c>
      <c r="C1171" t="s">
        <v>48</v>
      </c>
      <c r="D1171" t="s">
        <v>49</v>
      </c>
      <c r="E1171">
        <v>7</v>
      </c>
      <c r="F1171">
        <v>4440</v>
      </c>
    </row>
    <row r="1172" spans="1:6" x14ac:dyDescent="0.3">
      <c r="A1172">
        <v>2024</v>
      </c>
      <c r="B1172">
        <v>12</v>
      </c>
      <c r="C1172" t="s">
        <v>48</v>
      </c>
      <c r="D1172" t="s">
        <v>53</v>
      </c>
      <c r="E1172">
        <v>10</v>
      </c>
      <c r="F1172">
        <v>9641.74</v>
      </c>
    </row>
    <row r="1173" spans="1:6" x14ac:dyDescent="0.3">
      <c r="A1173">
        <v>2024</v>
      </c>
      <c r="B1173">
        <v>12</v>
      </c>
      <c r="C1173" t="s">
        <v>48</v>
      </c>
      <c r="D1173" t="s">
        <v>35</v>
      </c>
      <c r="E1173">
        <v>52</v>
      </c>
      <c r="F1173">
        <v>52229.75</v>
      </c>
    </row>
    <row r="1174" spans="1:6" x14ac:dyDescent="0.3">
      <c r="A1174">
        <v>2024</v>
      </c>
      <c r="B1174">
        <v>12</v>
      </c>
      <c r="C1174" t="s">
        <v>48</v>
      </c>
      <c r="D1174" t="s">
        <v>36</v>
      </c>
      <c r="E1174">
        <v>74</v>
      </c>
      <c r="F1174">
        <v>62673.7</v>
      </c>
    </row>
    <row r="1175" spans="1:6" x14ac:dyDescent="0.3">
      <c r="A1175">
        <v>2024</v>
      </c>
      <c r="B1175">
        <v>12</v>
      </c>
      <c r="C1175" t="s">
        <v>48</v>
      </c>
      <c r="D1175" t="s">
        <v>37</v>
      </c>
      <c r="E1175">
        <v>61</v>
      </c>
      <c r="F1175">
        <v>50441.86</v>
      </c>
    </row>
    <row r="1176" spans="1:6" x14ac:dyDescent="0.3">
      <c r="A1176">
        <v>2025</v>
      </c>
      <c r="B1176">
        <v>1</v>
      </c>
      <c r="C1176" t="s">
        <v>6</v>
      </c>
      <c r="D1176" t="s">
        <v>7</v>
      </c>
      <c r="E1176">
        <v>36</v>
      </c>
      <c r="F1176">
        <v>41059.230000000003</v>
      </c>
    </row>
    <row r="1177" spans="1:6" x14ac:dyDescent="0.3">
      <c r="A1177">
        <v>2025</v>
      </c>
      <c r="B1177">
        <v>1</v>
      </c>
      <c r="C1177" t="s">
        <v>6</v>
      </c>
      <c r="D1177" t="s">
        <v>8</v>
      </c>
      <c r="E1177">
        <v>136</v>
      </c>
      <c r="F1177">
        <v>138233.5</v>
      </c>
    </row>
    <row r="1178" spans="1:6" x14ac:dyDescent="0.3">
      <c r="A1178">
        <v>2025</v>
      </c>
      <c r="B1178">
        <v>1</v>
      </c>
      <c r="C1178" t="s">
        <v>6</v>
      </c>
      <c r="D1178" t="s">
        <v>9</v>
      </c>
      <c r="E1178">
        <v>12</v>
      </c>
      <c r="F1178">
        <v>8380.92</v>
      </c>
    </row>
    <row r="1179" spans="1:6" x14ac:dyDescent="0.3">
      <c r="A1179">
        <v>2025</v>
      </c>
      <c r="B1179">
        <v>1</v>
      </c>
      <c r="C1179" t="s">
        <v>6</v>
      </c>
      <c r="D1179" t="s">
        <v>10</v>
      </c>
      <c r="E1179">
        <v>62</v>
      </c>
      <c r="F1179">
        <v>64339</v>
      </c>
    </row>
    <row r="1180" spans="1:6" x14ac:dyDescent="0.3">
      <c r="A1180">
        <v>2025</v>
      </c>
      <c r="B1180">
        <v>1</v>
      </c>
      <c r="C1180" t="s">
        <v>6</v>
      </c>
      <c r="D1180" t="s">
        <v>11</v>
      </c>
      <c r="E1180">
        <v>60</v>
      </c>
      <c r="F1180">
        <v>60665.760000000002</v>
      </c>
    </row>
    <row r="1181" spans="1:6" x14ac:dyDescent="0.3">
      <c r="A1181">
        <v>2025</v>
      </c>
      <c r="B1181">
        <v>1</v>
      </c>
      <c r="C1181" t="s">
        <v>6</v>
      </c>
      <c r="D1181" t="s">
        <v>12</v>
      </c>
      <c r="E1181">
        <v>67</v>
      </c>
      <c r="F1181">
        <v>154884</v>
      </c>
    </row>
    <row r="1182" spans="1:6" x14ac:dyDescent="0.3">
      <c r="A1182">
        <v>2025</v>
      </c>
      <c r="B1182">
        <v>1</v>
      </c>
      <c r="C1182" t="s">
        <v>6</v>
      </c>
      <c r="D1182" t="s">
        <v>13</v>
      </c>
      <c r="E1182">
        <v>73</v>
      </c>
      <c r="F1182">
        <v>74659.259999999995</v>
      </c>
    </row>
    <row r="1183" spans="1:6" x14ac:dyDescent="0.3">
      <c r="A1183">
        <v>2025</v>
      </c>
      <c r="B1183">
        <v>1</v>
      </c>
      <c r="C1183" t="s">
        <v>6</v>
      </c>
      <c r="D1183" t="s">
        <v>14</v>
      </c>
      <c r="E1183">
        <v>136</v>
      </c>
      <c r="F1183">
        <v>123407.9</v>
      </c>
    </row>
    <row r="1184" spans="1:6" x14ac:dyDescent="0.3">
      <c r="A1184">
        <v>2025</v>
      </c>
      <c r="B1184">
        <v>1</v>
      </c>
      <c r="C1184" t="s">
        <v>6</v>
      </c>
      <c r="D1184" t="s">
        <v>15</v>
      </c>
      <c r="E1184">
        <v>64</v>
      </c>
      <c r="F1184">
        <v>55941.279999999999</v>
      </c>
    </row>
    <row r="1185" spans="1:6" x14ac:dyDescent="0.3">
      <c r="A1185">
        <v>2025</v>
      </c>
      <c r="B1185">
        <v>1</v>
      </c>
      <c r="C1185" t="s">
        <v>6</v>
      </c>
      <c r="D1185" t="s">
        <v>16</v>
      </c>
      <c r="E1185">
        <v>19</v>
      </c>
      <c r="F1185">
        <v>19779</v>
      </c>
    </row>
    <row r="1186" spans="1:6" x14ac:dyDescent="0.3">
      <c r="A1186">
        <v>2025</v>
      </c>
      <c r="B1186">
        <v>1</v>
      </c>
      <c r="C1186" t="s">
        <v>6</v>
      </c>
      <c r="D1186" t="s">
        <v>17</v>
      </c>
      <c r="E1186">
        <v>138</v>
      </c>
      <c r="F1186">
        <v>139473.04</v>
      </c>
    </row>
    <row r="1187" spans="1:6" x14ac:dyDescent="0.3">
      <c r="A1187">
        <v>2025</v>
      </c>
      <c r="B1187">
        <v>1</v>
      </c>
      <c r="C1187" t="s">
        <v>6</v>
      </c>
      <c r="D1187" t="s">
        <v>18</v>
      </c>
      <c r="E1187">
        <v>136</v>
      </c>
      <c r="F1187">
        <v>132936.44</v>
      </c>
    </row>
    <row r="1188" spans="1:6" x14ac:dyDescent="0.3">
      <c r="A1188">
        <v>2025</v>
      </c>
      <c r="B1188">
        <v>1</v>
      </c>
      <c r="C1188" t="s">
        <v>6</v>
      </c>
      <c r="D1188" t="s">
        <v>50</v>
      </c>
      <c r="E1188">
        <v>3</v>
      </c>
      <c r="F1188">
        <v>2637</v>
      </c>
    </row>
    <row r="1189" spans="1:6" x14ac:dyDescent="0.3">
      <c r="A1189">
        <v>2025</v>
      </c>
      <c r="B1189">
        <v>1</v>
      </c>
      <c r="C1189" t="s">
        <v>6</v>
      </c>
      <c r="D1189" t="s">
        <v>19</v>
      </c>
      <c r="E1189">
        <v>77</v>
      </c>
      <c r="F1189">
        <v>81403.61</v>
      </c>
    </row>
    <row r="1190" spans="1:6" x14ac:dyDescent="0.3">
      <c r="A1190">
        <v>2025</v>
      </c>
      <c r="B1190">
        <v>1</v>
      </c>
      <c r="C1190" t="s">
        <v>6</v>
      </c>
      <c r="D1190" t="s">
        <v>20</v>
      </c>
      <c r="E1190">
        <v>56</v>
      </c>
      <c r="F1190">
        <v>53090</v>
      </c>
    </row>
    <row r="1191" spans="1:6" x14ac:dyDescent="0.3">
      <c r="A1191">
        <v>2025</v>
      </c>
      <c r="B1191">
        <v>1</v>
      </c>
      <c r="C1191" t="s">
        <v>6</v>
      </c>
      <c r="D1191" t="s">
        <v>21</v>
      </c>
      <c r="E1191">
        <v>72</v>
      </c>
      <c r="F1191">
        <v>73988.649999999994</v>
      </c>
    </row>
    <row r="1192" spans="1:6" x14ac:dyDescent="0.3">
      <c r="A1192">
        <v>2025</v>
      </c>
      <c r="B1192">
        <v>1</v>
      </c>
      <c r="C1192" t="s">
        <v>6</v>
      </c>
      <c r="D1192" t="s">
        <v>22</v>
      </c>
      <c r="E1192">
        <v>157</v>
      </c>
      <c r="F1192">
        <v>112262</v>
      </c>
    </row>
    <row r="1193" spans="1:6" x14ac:dyDescent="0.3">
      <c r="A1193">
        <v>2025</v>
      </c>
      <c r="B1193">
        <v>1</v>
      </c>
      <c r="C1193" t="s">
        <v>6</v>
      </c>
      <c r="D1193" t="s">
        <v>23</v>
      </c>
      <c r="E1193">
        <v>36</v>
      </c>
      <c r="F1193">
        <v>38275</v>
      </c>
    </row>
    <row r="1194" spans="1:6" x14ac:dyDescent="0.3">
      <c r="A1194">
        <v>2025</v>
      </c>
      <c r="B1194">
        <v>1</v>
      </c>
      <c r="C1194" t="s">
        <v>6</v>
      </c>
      <c r="D1194" t="s">
        <v>24</v>
      </c>
      <c r="E1194">
        <v>152</v>
      </c>
      <c r="F1194">
        <v>117225.31</v>
      </c>
    </row>
    <row r="1195" spans="1:6" x14ac:dyDescent="0.3">
      <c r="A1195">
        <v>2025</v>
      </c>
      <c r="B1195">
        <v>1</v>
      </c>
      <c r="C1195" t="s">
        <v>6</v>
      </c>
      <c r="D1195" t="s">
        <v>25</v>
      </c>
      <c r="E1195">
        <v>170</v>
      </c>
      <c r="F1195">
        <v>146834.54999999999</v>
      </c>
    </row>
    <row r="1196" spans="1:6" x14ac:dyDescent="0.3">
      <c r="A1196">
        <v>2025</v>
      </c>
      <c r="B1196">
        <v>1</v>
      </c>
      <c r="C1196" t="s">
        <v>6</v>
      </c>
      <c r="D1196" t="s">
        <v>26</v>
      </c>
      <c r="E1196">
        <v>66</v>
      </c>
      <c r="F1196">
        <v>66573.25</v>
      </c>
    </row>
    <row r="1197" spans="1:6" x14ac:dyDescent="0.3">
      <c r="A1197">
        <v>2025</v>
      </c>
      <c r="B1197">
        <v>1</v>
      </c>
      <c r="C1197" t="s">
        <v>6</v>
      </c>
      <c r="D1197" t="s">
        <v>27</v>
      </c>
      <c r="E1197">
        <v>101</v>
      </c>
      <c r="F1197">
        <v>108973</v>
      </c>
    </row>
    <row r="1198" spans="1:6" x14ac:dyDescent="0.3">
      <c r="A1198">
        <v>2025</v>
      </c>
      <c r="B1198">
        <v>1</v>
      </c>
      <c r="C1198" t="s">
        <v>6</v>
      </c>
      <c r="D1198" t="s">
        <v>28</v>
      </c>
      <c r="E1198">
        <v>62</v>
      </c>
      <c r="F1198">
        <v>82587</v>
      </c>
    </row>
    <row r="1199" spans="1:6" x14ac:dyDescent="0.3">
      <c r="A1199">
        <v>2025</v>
      </c>
      <c r="B1199">
        <v>1</v>
      </c>
      <c r="C1199" t="s">
        <v>6</v>
      </c>
      <c r="D1199" t="s">
        <v>29</v>
      </c>
      <c r="E1199">
        <v>86</v>
      </c>
      <c r="F1199">
        <v>78121.45</v>
      </c>
    </row>
    <row r="1200" spans="1:6" x14ac:dyDescent="0.3">
      <c r="A1200">
        <v>2025</v>
      </c>
      <c r="B1200">
        <v>1</v>
      </c>
      <c r="C1200" t="s">
        <v>6</v>
      </c>
      <c r="D1200" t="s">
        <v>30</v>
      </c>
      <c r="E1200">
        <v>62</v>
      </c>
      <c r="F1200">
        <v>57594.879999999997</v>
      </c>
    </row>
    <row r="1201" spans="1:6" x14ac:dyDescent="0.3">
      <c r="A1201">
        <v>2025</v>
      </c>
      <c r="B1201">
        <v>1</v>
      </c>
      <c r="C1201" t="s">
        <v>6</v>
      </c>
      <c r="D1201" t="s">
        <v>31</v>
      </c>
      <c r="E1201">
        <v>207</v>
      </c>
      <c r="F1201">
        <v>208196.5</v>
      </c>
    </row>
    <row r="1202" spans="1:6" x14ac:dyDescent="0.3">
      <c r="A1202">
        <v>2025</v>
      </c>
      <c r="B1202">
        <v>1</v>
      </c>
      <c r="C1202" t="s">
        <v>6</v>
      </c>
      <c r="D1202" t="s">
        <v>51</v>
      </c>
      <c r="E1202">
        <v>45</v>
      </c>
      <c r="F1202">
        <v>43137.26</v>
      </c>
    </row>
    <row r="1203" spans="1:6" x14ac:dyDescent="0.3">
      <c r="A1203">
        <v>2025</v>
      </c>
      <c r="B1203">
        <v>1</v>
      </c>
      <c r="C1203" t="s">
        <v>6</v>
      </c>
      <c r="D1203" t="s">
        <v>32</v>
      </c>
      <c r="E1203">
        <v>46</v>
      </c>
      <c r="F1203">
        <v>38284</v>
      </c>
    </row>
    <row r="1204" spans="1:6" x14ac:dyDescent="0.3">
      <c r="A1204">
        <v>2025</v>
      </c>
      <c r="B1204">
        <v>1</v>
      </c>
      <c r="C1204" t="s">
        <v>6</v>
      </c>
      <c r="D1204" t="s">
        <v>52</v>
      </c>
      <c r="E1204">
        <v>7</v>
      </c>
      <c r="F1204">
        <v>4897.7</v>
      </c>
    </row>
    <row r="1205" spans="1:6" x14ac:dyDescent="0.3">
      <c r="A1205">
        <v>2025</v>
      </c>
      <c r="B1205">
        <v>1</v>
      </c>
      <c r="C1205" t="s">
        <v>6</v>
      </c>
      <c r="D1205" t="s">
        <v>33</v>
      </c>
      <c r="E1205">
        <v>179</v>
      </c>
      <c r="F1205">
        <v>182737.7</v>
      </c>
    </row>
    <row r="1206" spans="1:6" x14ac:dyDescent="0.3">
      <c r="A1206">
        <v>2025</v>
      </c>
      <c r="B1206">
        <v>1</v>
      </c>
      <c r="C1206" t="s">
        <v>6</v>
      </c>
      <c r="D1206" t="s">
        <v>34</v>
      </c>
      <c r="E1206">
        <v>76</v>
      </c>
      <c r="F1206">
        <v>68134.34</v>
      </c>
    </row>
    <row r="1207" spans="1:6" x14ac:dyDescent="0.3">
      <c r="A1207">
        <v>2025</v>
      </c>
      <c r="B1207">
        <v>1</v>
      </c>
      <c r="C1207" t="s">
        <v>6</v>
      </c>
      <c r="D1207" t="s">
        <v>49</v>
      </c>
      <c r="E1207">
        <v>10</v>
      </c>
      <c r="F1207">
        <v>7241</v>
      </c>
    </row>
    <row r="1208" spans="1:6" x14ac:dyDescent="0.3">
      <c r="A1208">
        <v>2025</v>
      </c>
      <c r="B1208">
        <v>1</v>
      </c>
      <c r="C1208" t="s">
        <v>6</v>
      </c>
      <c r="D1208" t="s">
        <v>53</v>
      </c>
      <c r="E1208">
        <v>9</v>
      </c>
      <c r="F1208">
        <v>8743.24</v>
      </c>
    </row>
    <row r="1209" spans="1:6" x14ac:dyDescent="0.3">
      <c r="A1209">
        <v>2025</v>
      </c>
      <c r="B1209">
        <v>1</v>
      </c>
      <c r="C1209" t="s">
        <v>6</v>
      </c>
      <c r="D1209" t="s">
        <v>35</v>
      </c>
      <c r="E1209">
        <v>39</v>
      </c>
      <c r="F1209">
        <v>38549</v>
      </c>
    </row>
    <row r="1210" spans="1:6" x14ac:dyDescent="0.3">
      <c r="A1210">
        <v>2025</v>
      </c>
      <c r="B1210">
        <v>1</v>
      </c>
      <c r="C1210" t="s">
        <v>6</v>
      </c>
      <c r="D1210" t="s">
        <v>36</v>
      </c>
      <c r="E1210">
        <v>80</v>
      </c>
      <c r="F1210">
        <v>77973.39</v>
      </c>
    </row>
    <row r="1211" spans="1:6" x14ac:dyDescent="0.3">
      <c r="A1211">
        <v>2025</v>
      </c>
      <c r="B1211">
        <v>1</v>
      </c>
      <c r="C1211" t="s">
        <v>6</v>
      </c>
      <c r="D1211" t="s">
        <v>37</v>
      </c>
      <c r="E1211">
        <v>62</v>
      </c>
      <c r="F1211">
        <v>58880.24</v>
      </c>
    </row>
    <row r="1212" spans="1:6" x14ac:dyDescent="0.3">
      <c r="A1212">
        <v>2025</v>
      </c>
      <c r="B1212">
        <v>2</v>
      </c>
      <c r="C1212" t="s">
        <v>38</v>
      </c>
      <c r="D1212" t="s">
        <v>7</v>
      </c>
      <c r="E1212">
        <v>38</v>
      </c>
      <c r="F1212">
        <v>32800</v>
      </c>
    </row>
    <row r="1213" spans="1:6" x14ac:dyDescent="0.3">
      <c r="A1213">
        <v>2025</v>
      </c>
      <c r="B1213">
        <v>2</v>
      </c>
      <c r="C1213" t="s">
        <v>38</v>
      </c>
      <c r="D1213" t="s">
        <v>8</v>
      </c>
      <c r="E1213">
        <v>110</v>
      </c>
      <c r="F1213">
        <v>136170</v>
      </c>
    </row>
    <row r="1214" spans="1:6" x14ac:dyDescent="0.3">
      <c r="A1214">
        <v>2025</v>
      </c>
      <c r="B1214">
        <v>2</v>
      </c>
      <c r="C1214" t="s">
        <v>38</v>
      </c>
      <c r="D1214" t="s">
        <v>9</v>
      </c>
      <c r="E1214">
        <v>19</v>
      </c>
      <c r="F1214">
        <v>22509</v>
      </c>
    </row>
    <row r="1215" spans="1:6" x14ac:dyDescent="0.3">
      <c r="A1215">
        <v>2025</v>
      </c>
      <c r="B1215">
        <v>2</v>
      </c>
      <c r="C1215" t="s">
        <v>38</v>
      </c>
      <c r="D1215" t="s">
        <v>10</v>
      </c>
      <c r="E1215">
        <v>60</v>
      </c>
      <c r="F1215">
        <v>62077</v>
      </c>
    </row>
    <row r="1216" spans="1:6" x14ac:dyDescent="0.3">
      <c r="A1216">
        <v>2025</v>
      </c>
      <c r="B1216">
        <v>2</v>
      </c>
      <c r="C1216" t="s">
        <v>38</v>
      </c>
      <c r="D1216" t="s">
        <v>11</v>
      </c>
      <c r="E1216">
        <v>36</v>
      </c>
      <c r="F1216">
        <v>29619.9</v>
      </c>
    </row>
    <row r="1217" spans="1:6" x14ac:dyDescent="0.3">
      <c r="A1217">
        <v>2025</v>
      </c>
      <c r="B1217">
        <v>2</v>
      </c>
      <c r="C1217" t="s">
        <v>38</v>
      </c>
      <c r="D1217" t="s">
        <v>12</v>
      </c>
      <c r="E1217">
        <v>62</v>
      </c>
      <c r="F1217">
        <v>102665</v>
      </c>
    </row>
    <row r="1218" spans="1:6" x14ac:dyDescent="0.3">
      <c r="A1218">
        <v>2025</v>
      </c>
      <c r="B1218">
        <v>2</v>
      </c>
      <c r="C1218" t="s">
        <v>38</v>
      </c>
      <c r="D1218" t="s">
        <v>13</v>
      </c>
      <c r="E1218">
        <v>68</v>
      </c>
      <c r="F1218">
        <v>59468</v>
      </c>
    </row>
    <row r="1219" spans="1:6" x14ac:dyDescent="0.3">
      <c r="A1219">
        <v>2025</v>
      </c>
      <c r="B1219">
        <v>2</v>
      </c>
      <c r="C1219" t="s">
        <v>38</v>
      </c>
      <c r="D1219" t="s">
        <v>14</v>
      </c>
      <c r="E1219">
        <v>152</v>
      </c>
      <c r="F1219">
        <v>124521.43</v>
      </c>
    </row>
    <row r="1220" spans="1:6" x14ac:dyDescent="0.3">
      <c r="A1220">
        <v>2025</v>
      </c>
      <c r="B1220">
        <v>2</v>
      </c>
      <c r="C1220" t="s">
        <v>38</v>
      </c>
      <c r="D1220" t="s">
        <v>15</v>
      </c>
      <c r="E1220">
        <v>33</v>
      </c>
      <c r="F1220">
        <v>25920</v>
      </c>
    </row>
    <row r="1221" spans="1:6" x14ac:dyDescent="0.3">
      <c r="A1221">
        <v>2025</v>
      </c>
      <c r="B1221">
        <v>2</v>
      </c>
      <c r="C1221" t="s">
        <v>38</v>
      </c>
      <c r="D1221" t="s">
        <v>16</v>
      </c>
      <c r="E1221">
        <v>17</v>
      </c>
      <c r="F1221">
        <v>16237</v>
      </c>
    </row>
    <row r="1222" spans="1:6" x14ac:dyDescent="0.3">
      <c r="A1222">
        <v>2025</v>
      </c>
      <c r="B1222">
        <v>2</v>
      </c>
      <c r="C1222" t="s">
        <v>38</v>
      </c>
      <c r="D1222" t="s">
        <v>54</v>
      </c>
      <c r="E1222">
        <v>1</v>
      </c>
      <c r="F1222">
        <v>788</v>
      </c>
    </row>
    <row r="1223" spans="1:6" x14ac:dyDescent="0.3">
      <c r="A1223">
        <v>2025</v>
      </c>
      <c r="B1223">
        <v>2</v>
      </c>
      <c r="C1223" t="s">
        <v>38</v>
      </c>
      <c r="D1223" t="s">
        <v>17</v>
      </c>
      <c r="E1223">
        <v>124</v>
      </c>
      <c r="F1223">
        <v>128683.62</v>
      </c>
    </row>
    <row r="1224" spans="1:6" x14ac:dyDescent="0.3">
      <c r="A1224">
        <v>2025</v>
      </c>
      <c r="B1224">
        <v>2</v>
      </c>
      <c r="C1224" t="s">
        <v>38</v>
      </c>
      <c r="D1224" t="s">
        <v>18</v>
      </c>
      <c r="E1224">
        <v>147</v>
      </c>
      <c r="F1224">
        <v>146968.51999999999</v>
      </c>
    </row>
    <row r="1225" spans="1:6" x14ac:dyDescent="0.3">
      <c r="A1225">
        <v>2025</v>
      </c>
      <c r="B1225">
        <v>2</v>
      </c>
      <c r="C1225" t="s">
        <v>38</v>
      </c>
      <c r="D1225" t="s">
        <v>50</v>
      </c>
      <c r="E1225">
        <v>10</v>
      </c>
      <c r="F1225">
        <v>7313</v>
      </c>
    </row>
    <row r="1226" spans="1:6" x14ac:dyDescent="0.3">
      <c r="A1226">
        <v>2025</v>
      </c>
      <c r="B1226">
        <v>2</v>
      </c>
      <c r="C1226" t="s">
        <v>38</v>
      </c>
      <c r="D1226" t="s">
        <v>19</v>
      </c>
      <c r="E1226">
        <v>94</v>
      </c>
      <c r="F1226">
        <v>124409.65</v>
      </c>
    </row>
    <row r="1227" spans="1:6" x14ac:dyDescent="0.3">
      <c r="A1227">
        <v>2025</v>
      </c>
      <c r="B1227">
        <v>2</v>
      </c>
      <c r="C1227" t="s">
        <v>38</v>
      </c>
      <c r="D1227" t="s">
        <v>20</v>
      </c>
      <c r="E1227">
        <v>40</v>
      </c>
      <c r="F1227">
        <v>36140.239999999998</v>
      </c>
    </row>
    <row r="1228" spans="1:6" x14ac:dyDescent="0.3">
      <c r="A1228">
        <v>2025</v>
      </c>
      <c r="B1228">
        <v>2</v>
      </c>
      <c r="C1228" t="s">
        <v>38</v>
      </c>
      <c r="D1228" t="s">
        <v>21</v>
      </c>
      <c r="E1228">
        <v>101</v>
      </c>
      <c r="F1228">
        <v>112033.92</v>
      </c>
    </row>
    <row r="1229" spans="1:6" x14ac:dyDescent="0.3">
      <c r="A1229">
        <v>2025</v>
      </c>
      <c r="B1229">
        <v>2</v>
      </c>
      <c r="C1229" t="s">
        <v>38</v>
      </c>
      <c r="D1229" t="s">
        <v>22</v>
      </c>
      <c r="E1229">
        <v>54</v>
      </c>
      <c r="F1229">
        <v>37743</v>
      </c>
    </row>
    <row r="1230" spans="1:6" x14ac:dyDescent="0.3">
      <c r="A1230">
        <v>2025</v>
      </c>
      <c r="B1230">
        <v>2</v>
      </c>
      <c r="C1230" t="s">
        <v>38</v>
      </c>
      <c r="D1230" t="s">
        <v>23</v>
      </c>
      <c r="E1230">
        <v>22</v>
      </c>
      <c r="F1230">
        <v>25439</v>
      </c>
    </row>
    <row r="1231" spans="1:6" x14ac:dyDescent="0.3">
      <c r="A1231">
        <v>2025</v>
      </c>
      <c r="B1231">
        <v>2</v>
      </c>
      <c r="C1231" t="s">
        <v>38</v>
      </c>
      <c r="D1231" t="s">
        <v>24</v>
      </c>
      <c r="E1231">
        <v>203</v>
      </c>
      <c r="F1231">
        <v>155864.29</v>
      </c>
    </row>
    <row r="1232" spans="1:6" x14ac:dyDescent="0.3">
      <c r="A1232">
        <v>2025</v>
      </c>
      <c r="B1232">
        <v>2</v>
      </c>
      <c r="C1232" t="s">
        <v>38</v>
      </c>
      <c r="D1232" t="s">
        <v>25</v>
      </c>
      <c r="E1232">
        <v>140</v>
      </c>
      <c r="F1232">
        <v>132406.76999999999</v>
      </c>
    </row>
    <row r="1233" spans="1:6" x14ac:dyDescent="0.3">
      <c r="A1233">
        <v>2025</v>
      </c>
      <c r="B1233">
        <v>2</v>
      </c>
      <c r="C1233" t="s">
        <v>38</v>
      </c>
      <c r="D1233" t="s">
        <v>26</v>
      </c>
      <c r="E1233">
        <v>69</v>
      </c>
      <c r="F1233">
        <v>68292.929999999993</v>
      </c>
    </row>
    <row r="1234" spans="1:6" x14ac:dyDescent="0.3">
      <c r="A1234">
        <v>2025</v>
      </c>
      <c r="B1234">
        <v>2</v>
      </c>
      <c r="C1234" t="s">
        <v>38</v>
      </c>
      <c r="D1234" t="s">
        <v>27</v>
      </c>
      <c r="E1234">
        <v>74</v>
      </c>
      <c r="F1234">
        <v>85449.5</v>
      </c>
    </row>
    <row r="1235" spans="1:6" x14ac:dyDescent="0.3">
      <c r="A1235">
        <v>2025</v>
      </c>
      <c r="B1235">
        <v>2</v>
      </c>
      <c r="C1235" t="s">
        <v>38</v>
      </c>
      <c r="D1235" t="s">
        <v>28</v>
      </c>
      <c r="E1235">
        <v>55</v>
      </c>
      <c r="F1235">
        <v>133457.5</v>
      </c>
    </row>
    <row r="1236" spans="1:6" x14ac:dyDescent="0.3">
      <c r="A1236">
        <v>2025</v>
      </c>
      <c r="B1236">
        <v>2</v>
      </c>
      <c r="C1236" t="s">
        <v>38</v>
      </c>
      <c r="D1236" t="s">
        <v>29</v>
      </c>
      <c r="E1236">
        <v>82</v>
      </c>
      <c r="F1236">
        <v>82075.88</v>
      </c>
    </row>
    <row r="1237" spans="1:6" x14ac:dyDescent="0.3">
      <c r="A1237">
        <v>2025</v>
      </c>
      <c r="B1237">
        <v>2</v>
      </c>
      <c r="C1237" t="s">
        <v>38</v>
      </c>
      <c r="D1237" t="s">
        <v>30</v>
      </c>
      <c r="E1237">
        <v>46</v>
      </c>
      <c r="F1237">
        <v>37154.65</v>
      </c>
    </row>
    <row r="1238" spans="1:6" x14ac:dyDescent="0.3">
      <c r="A1238">
        <v>2025</v>
      </c>
      <c r="B1238">
        <v>2</v>
      </c>
      <c r="C1238" t="s">
        <v>38</v>
      </c>
      <c r="D1238" t="s">
        <v>31</v>
      </c>
      <c r="E1238">
        <v>188</v>
      </c>
      <c r="F1238">
        <v>196701.59</v>
      </c>
    </row>
    <row r="1239" spans="1:6" x14ac:dyDescent="0.3">
      <c r="A1239">
        <v>2025</v>
      </c>
      <c r="B1239">
        <v>2</v>
      </c>
      <c r="C1239" t="s">
        <v>38</v>
      </c>
      <c r="D1239" t="s">
        <v>51</v>
      </c>
      <c r="E1239">
        <v>12</v>
      </c>
      <c r="F1239">
        <v>8589.1200000000008</v>
      </c>
    </row>
    <row r="1240" spans="1:6" x14ac:dyDescent="0.3">
      <c r="A1240">
        <v>2025</v>
      </c>
      <c r="B1240">
        <v>2</v>
      </c>
      <c r="C1240" t="s">
        <v>38</v>
      </c>
      <c r="D1240" t="s">
        <v>32</v>
      </c>
      <c r="E1240">
        <v>36</v>
      </c>
      <c r="F1240">
        <v>30549</v>
      </c>
    </row>
    <row r="1241" spans="1:6" x14ac:dyDescent="0.3">
      <c r="A1241">
        <v>2025</v>
      </c>
      <c r="B1241">
        <v>2</v>
      </c>
      <c r="C1241" t="s">
        <v>38</v>
      </c>
      <c r="D1241" t="s">
        <v>52</v>
      </c>
      <c r="E1241">
        <v>5</v>
      </c>
      <c r="F1241">
        <v>5002</v>
      </c>
    </row>
    <row r="1242" spans="1:6" x14ac:dyDescent="0.3">
      <c r="A1242">
        <v>2025</v>
      </c>
      <c r="B1242">
        <v>2</v>
      </c>
      <c r="C1242" t="s">
        <v>38</v>
      </c>
      <c r="D1242" t="s">
        <v>33</v>
      </c>
      <c r="E1242">
        <v>201</v>
      </c>
      <c r="F1242">
        <v>190040.05</v>
      </c>
    </row>
    <row r="1243" spans="1:6" x14ac:dyDescent="0.3">
      <c r="A1243">
        <v>2025</v>
      </c>
      <c r="B1243">
        <v>2</v>
      </c>
      <c r="C1243" t="s">
        <v>38</v>
      </c>
      <c r="D1243" t="s">
        <v>34</v>
      </c>
      <c r="E1243">
        <v>64</v>
      </c>
      <c r="F1243">
        <v>55341.71</v>
      </c>
    </row>
    <row r="1244" spans="1:6" x14ac:dyDescent="0.3">
      <c r="A1244">
        <v>2025</v>
      </c>
      <c r="B1244">
        <v>2</v>
      </c>
      <c r="C1244" t="s">
        <v>38</v>
      </c>
      <c r="D1244" t="s">
        <v>49</v>
      </c>
      <c r="E1244">
        <v>2</v>
      </c>
      <c r="F1244">
        <v>1270</v>
      </c>
    </row>
    <row r="1245" spans="1:6" x14ac:dyDescent="0.3">
      <c r="A1245">
        <v>2025</v>
      </c>
      <c r="B1245">
        <v>2</v>
      </c>
      <c r="C1245" t="s">
        <v>38</v>
      </c>
      <c r="D1245" t="s">
        <v>53</v>
      </c>
      <c r="E1245">
        <v>11</v>
      </c>
      <c r="F1245">
        <v>10777</v>
      </c>
    </row>
    <row r="1246" spans="1:6" x14ac:dyDescent="0.3">
      <c r="A1246">
        <v>2025</v>
      </c>
      <c r="B1246">
        <v>2</v>
      </c>
      <c r="C1246" t="s">
        <v>38</v>
      </c>
      <c r="D1246" t="s">
        <v>35</v>
      </c>
      <c r="E1246">
        <v>32</v>
      </c>
      <c r="F1246">
        <v>25961.22</v>
      </c>
    </row>
    <row r="1247" spans="1:6" x14ac:dyDescent="0.3">
      <c r="A1247">
        <v>2025</v>
      </c>
      <c r="B1247">
        <v>2</v>
      </c>
      <c r="C1247" t="s">
        <v>38</v>
      </c>
      <c r="D1247" t="s">
        <v>36</v>
      </c>
      <c r="E1247">
        <v>60</v>
      </c>
      <c r="F1247">
        <v>63910.400000000001</v>
      </c>
    </row>
    <row r="1248" spans="1:6" x14ac:dyDescent="0.3">
      <c r="A1248">
        <v>2025</v>
      </c>
      <c r="B1248">
        <v>2</v>
      </c>
      <c r="C1248" t="s">
        <v>38</v>
      </c>
      <c r="D1248" t="s">
        <v>37</v>
      </c>
      <c r="E1248">
        <v>47</v>
      </c>
      <c r="F1248">
        <v>53032.84</v>
      </c>
    </row>
    <row r="1249" spans="1:6" x14ac:dyDescent="0.3">
      <c r="A1249">
        <v>2025</v>
      </c>
      <c r="B1249">
        <v>3</v>
      </c>
      <c r="C1249" t="s">
        <v>39</v>
      </c>
      <c r="D1249" t="s">
        <v>7</v>
      </c>
      <c r="E1249">
        <v>133</v>
      </c>
      <c r="F1249">
        <v>117626.7</v>
      </c>
    </row>
    <row r="1250" spans="1:6" x14ac:dyDescent="0.3">
      <c r="A1250">
        <v>2025</v>
      </c>
      <c r="B1250">
        <v>3</v>
      </c>
      <c r="C1250" t="s">
        <v>39</v>
      </c>
      <c r="D1250" t="s">
        <v>8</v>
      </c>
      <c r="E1250">
        <v>220</v>
      </c>
      <c r="F1250">
        <v>199004.08</v>
      </c>
    </row>
    <row r="1251" spans="1:6" x14ac:dyDescent="0.3">
      <c r="A1251">
        <v>2025</v>
      </c>
      <c r="B1251">
        <v>3</v>
      </c>
      <c r="C1251" t="s">
        <v>39</v>
      </c>
      <c r="D1251" t="s">
        <v>9</v>
      </c>
      <c r="E1251">
        <v>43</v>
      </c>
      <c r="F1251">
        <v>26946</v>
      </c>
    </row>
    <row r="1252" spans="1:6" x14ac:dyDescent="0.3">
      <c r="A1252">
        <v>2025</v>
      </c>
      <c r="B1252">
        <v>3</v>
      </c>
      <c r="C1252" t="s">
        <v>39</v>
      </c>
      <c r="D1252" t="s">
        <v>10</v>
      </c>
      <c r="E1252">
        <v>164</v>
      </c>
      <c r="F1252">
        <v>178298.4</v>
      </c>
    </row>
    <row r="1253" spans="1:6" x14ac:dyDescent="0.3">
      <c r="A1253">
        <v>2025</v>
      </c>
      <c r="B1253">
        <v>3</v>
      </c>
      <c r="C1253" t="s">
        <v>39</v>
      </c>
      <c r="D1253" t="s">
        <v>11</v>
      </c>
      <c r="E1253">
        <v>82</v>
      </c>
      <c r="F1253">
        <v>70871.8</v>
      </c>
    </row>
    <row r="1254" spans="1:6" x14ac:dyDescent="0.3">
      <c r="A1254">
        <v>2025</v>
      </c>
      <c r="B1254">
        <v>3</v>
      </c>
      <c r="C1254" t="s">
        <v>39</v>
      </c>
      <c r="D1254" t="s">
        <v>12</v>
      </c>
      <c r="E1254">
        <v>116</v>
      </c>
      <c r="F1254">
        <v>178791.09</v>
      </c>
    </row>
    <row r="1255" spans="1:6" x14ac:dyDescent="0.3">
      <c r="A1255">
        <v>2025</v>
      </c>
      <c r="B1255">
        <v>3</v>
      </c>
      <c r="C1255" t="s">
        <v>39</v>
      </c>
      <c r="D1255" t="s">
        <v>13</v>
      </c>
      <c r="E1255">
        <v>132</v>
      </c>
      <c r="F1255">
        <v>118642</v>
      </c>
    </row>
    <row r="1256" spans="1:6" x14ac:dyDescent="0.3">
      <c r="A1256">
        <v>2025</v>
      </c>
      <c r="B1256">
        <v>3</v>
      </c>
      <c r="C1256" t="s">
        <v>39</v>
      </c>
      <c r="D1256" t="s">
        <v>14</v>
      </c>
      <c r="E1256">
        <v>214</v>
      </c>
      <c r="F1256">
        <v>178796</v>
      </c>
    </row>
    <row r="1257" spans="1:6" x14ac:dyDescent="0.3">
      <c r="A1257">
        <v>2025</v>
      </c>
      <c r="B1257">
        <v>3</v>
      </c>
      <c r="C1257" t="s">
        <v>39</v>
      </c>
      <c r="D1257" t="s">
        <v>15</v>
      </c>
      <c r="E1257">
        <v>79</v>
      </c>
      <c r="F1257">
        <v>54676.75</v>
      </c>
    </row>
    <row r="1258" spans="1:6" x14ac:dyDescent="0.3">
      <c r="A1258">
        <v>2025</v>
      </c>
      <c r="B1258">
        <v>3</v>
      </c>
      <c r="C1258" t="s">
        <v>39</v>
      </c>
      <c r="D1258" t="s">
        <v>16</v>
      </c>
      <c r="E1258">
        <v>109</v>
      </c>
      <c r="F1258">
        <v>91693</v>
      </c>
    </row>
    <row r="1259" spans="1:6" x14ac:dyDescent="0.3">
      <c r="A1259">
        <v>2025</v>
      </c>
      <c r="B1259">
        <v>3</v>
      </c>
      <c r="C1259" t="s">
        <v>39</v>
      </c>
      <c r="D1259" t="s">
        <v>17</v>
      </c>
      <c r="E1259">
        <v>211</v>
      </c>
      <c r="F1259">
        <v>209996.63</v>
      </c>
    </row>
    <row r="1260" spans="1:6" x14ac:dyDescent="0.3">
      <c r="A1260">
        <v>2025</v>
      </c>
      <c r="B1260">
        <v>3</v>
      </c>
      <c r="C1260" t="s">
        <v>39</v>
      </c>
      <c r="D1260" t="s">
        <v>18</v>
      </c>
      <c r="E1260">
        <v>259</v>
      </c>
      <c r="F1260">
        <v>240799.44</v>
      </c>
    </row>
    <row r="1261" spans="1:6" x14ac:dyDescent="0.3">
      <c r="A1261">
        <v>2025</v>
      </c>
      <c r="B1261">
        <v>3</v>
      </c>
      <c r="C1261" t="s">
        <v>39</v>
      </c>
      <c r="D1261" t="s">
        <v>50</v>
      </c>
      <c r="E1261">
        <v>52</v>
      </c>
      <c r="F1261">
        <v>120367</v>
      </c>
    </row>
    <row r="1262" spans="1:6" x14ac:dyDescent="0.3">
      <c r="A1262">
        <v>2025</v>
      </c>
      <c r="B1262">
        <v>3</v>
      </c>
      <c r="C1262" t="s">
        <v>39</v>
      </c>
      <c r="D1262" t="s">
        <v>19</v>
      </c>
      <c r="E1262">
        <v>161</v>
      </c>
      <c r="F1262">
        <v>146552.25</v>
      </c>
    </row>
    <row r="1263" spans="1:6" x14ac:dyDescent="0.3">
      <c r="A1263">
        <v>2025</v>
      </c>
      <c r="B1263">
        <v>3</v>
      </c>
      <c r="C1263" t="s">
        <v>39</v>
      </c>
      <c r="D1263" t="s">
        <v>20</v>
      </c>
      <c r="E1263">
        <v>162</v>
      </c>
      <c r="F1263">
        <v>136721.5</v>
      </c>
    </row>
    <row r="1264" spans="1:6" x14ac:dyDescent="0.3">
      <c r="A1264">
        <v>2025</v>
      </c>
      <c r="B1264">
        <v>3</v>
      </c>
      <c r="C1264" t="s">
        <v>39</v>
      </c>
      <c r="D1264" t="s">
        <v>21</v>
      </c>
      <c r="E1264">
        <v>268</v>
      </c>
      <c r="F1264">
        <v>263190.40000000002</v>
      </c>
    </row>
    <row r="1265" spans="1:6" x14ac:dyDescent="0.3">
      <c r="A1265">
        <v>2025</v>
      </c>
      <c r="B1265">
        <v>3</v>
      </c>
      <c r="C1265" t="s">
        <v>39</v>
      </c>
      <c r="D1265" t="s">
        <v>22</v>
      </c>
      <c r="E1265">
        <v>105</v>
      </c>
      <c r="F1265">
        <v>78280</v>
      </c>
    </row>
    <row r="1266" spans="1:6" x14ac:dyDescent="0.3">
      <c r="A1266">
        <v>2025</v>
      </c>
      <c r="B1266">
        <v>3</v>
      </c>
      <c r="C1266" t="s">
        <v>39</v>
      </c>
      <c r="D1266" t="s">
        <v>23</v>
      </c>
      <c r="E1266">
        <v>69</v>
      </c>
      <c r="F1266">
        <v>64982</v>
      </c>
    </row>
    <row r="1267" spans="1:6" x14ac:dyDescent="0.3">
      <c r="A1267">
        <v>2025</v>
      </c>
      <c r="B1267">
        <v>3</v>
      </c>
      <c r="C1267" t="s">
        <v>39</v>
      </c>
      <c r="D1267" t="s">
        <v>24</v>
      </c>
      <c r="E1267">
        <v>239</v>
      </c>
      <c r="F1267">
        <v>198445.65</v>
      </c>
    </row>
    <row r="1268" spans="1:6" x14ac:dyDescent="0.3">
      <c r="A1268">
        <v>2025</v>
      </c>
      <c r="B1268">
        <v>3</v>
      </c>
      <c r="C1268" t="s">
        <v>39</v>
      </c>
      <c r="D1268" t="s">
        <v>25</v>
      </c>
      <c r="E1268">
        <v>217</v>
      </c>
      <c r="F1268">
        <v>189580.72</v>
      </c>
    </row>
    <row r="1269" spans="1:6" x14ac:dyDescent="0.3">
      <c r="A1269">
        <v>2025</v>
      </c>
      <c r="B1269">
        <v>3</v>
      </c>
      <c r="C1269" t="s">
        <v>39</v>
      </c>
      <c r="D1269" t="s">
        <v>26</v>
      </c>
      <c r="E1269">
        <v>93</v>
      </c>
      <c r="F1269">
        <v>96540.5</v>
      </c>
    </row>
    <row r="1270" spans="1:6" x14ac:dyDescent="0.3">
      <c r="A1270">
        <v>2025</v>
      </c>
      <c r="B1270">
        <v>3</v>
      </c>
      <c r="C1270" t="s">
        <v>39</v>
      </c>
      <c r="D1270" t="s">
        <v>27</v>
      </c>
      <c r="E1270">
        <v>194</v>
      </c>
      <c r="F1270">
        <v>212246.22</v>
      </c>
    </row>
    <row r="1271" spans="1:6" x14ac:dyDescent="0.3">
      <c r="A1271">
        <v>2025</v>
      </c>
      <c r="B1271">
        <v>3</v>
      </c>
      <c r="C1271" t="s">
        <v>39</v>
      </c>
      <c r="D1271" t="s">
        <v>28</v>
      </c>
      <c r="E1271">
        <v>101</v>
      </c>
      <c r="F1271">
        <v>141580</v>
      </c>
    </row>
    <row r="1272" spans="1:6" x14ac:dyDescent="0.3">
      <c r="A1272">
        <v>2025</v>
      </c>
      <c r="B1272">
        <v>3</v>
      </c>
      <c r="C1272" t="s">
        <v>39</v>
      </c>
      <c r="D1272" t="s">
        <v>29</v>
      </c>
      <c r="E1272">
        <v>118</v>
      </c>
      <c r="F1272">
        <v>96824.2</v>
      </c>
    </row>
    <row r="1273" spans="1:6" x14ac:dyDescent="0.3">
      <c r="A1273">
        <v>2025</v>
      </c>
      <c r="B1273">
        <v>3</v>
      </c>
      <c r="C1273" t="s">
        <v>39</v>
      </c>
      <c r="D1273" t="s">
        <v>30</v>
      </c>
      <c r="E1273">
        <v>90</v>
      </c>
      <c r="F1273">
        <v>74200</v>
      </c>
    </row>
    <row r="1274" spans="1:6" x14ac:dyDescent="0.3">
      <c r="A1274">
        <v>2025</v>
      </c>
      <c r="B1274">
        <v>3</v>
      </c>
      <c r="C1274" t="s">
        <v>39</v>
      </c>
      <c r="D1274" t="s">
        <v>31</v>
      </c>
      <c r="E1274">
        <v>332</v>
      </c>
      <c r="F1274">
        <v>316543.67</v>
      </c>
    </row>
    <row r="1275" spans="1:6" x14ac:dyDescent="0.3">
      <c r="A1275">
        <v>2025</v>
      </c>
      <c r="B1275">
        <v>3</v>
      </c>
      <c r="C1275" t="s">
        <v>39</v>
      </c>
      <c r="D1275" t="s">
        <v>51</v>
      </c>
      <c r="E1275">
        <v>23</v>
      </c>
      <c r="F1275">
        <v>18656</v>
      </c>
    </row>
    <row r="1276" spans="1:6" x14ac:dyDescent="0.3">
      <c r="A1276">
        <v>2025</v>
      </c>
      <c r="B1276">
        <v>3</v>
      </c>
      <c r="C1276" t="s">
        <v>39</v>
      </c>
      <c r="D1276" t="s">
        <v>32</v>
      </c>
      <c r="E1276">
        <v>103</v>
      </c>
      <c r="F1276">
        <v>92287.46</v>
      </c>
    </row>
    <row r="1277" spans="1:6" x14ac:dyDescent="0.3">
      <c r="A1277">
        <v>2025</v>
      </c>
      <c r="B1277">
        <v>3</v>
      </c>
      <c r="C1277" t="s">
        <v>39</v>
      </c>
      <c r="D1277" t="s">
        <v>52</v>
      </c>
      <c r="E1277">
        <v>3</v>
      </c>
      <c r="F1277">
        <v>3958</v>
      </c>
    </row>
    <row r="1278" spans="1:6" x14ac:dyDescent="0.3">
      <c r="A1278">
        <v>2025</v>
      </c>
      <c r="B1278">
        <v>3</v>
      </c>
      <c r="C1278" t="s">
        <v>39</v>
      </c>
      <c r="D1278" t="s">
        <v>33</v>
      </c>
      <c r="E1278">
        <v>222</v>
      </c>
      <c r="F1278">
        <v>205192.79</v>
      </c>
    </row>
    <row r="1279" spans="1:6" x14ac:dyDescent="0.3">
      <c r="A1279">
        <v>2025</v>
      </c>
      <c r="B1279">
        <v>3</v>
      </c>
      <c r="C1279" t="s">
        <v>39</v>
      </c>
      <c r="D1279" t="s">
        <v>34</v>
      </c>
      <c r="E1279">
        <v>181</v>
      </c>
      <c r="F1279">
        <v>153550.1</v>
      </c>
    </row>
    <row r="1280" spans="1:6" x14ac:dyDescent="0.3">
      <c r="A1280">
        <v>2025</v>
      </c>
      <c r="B1280">
        <v>3</v>
      </c>
      <c r="C1280" t="s">
        <v>39</v>
      </c>
      <c r="D1280" t="s">
        <v>49</v>
      </c>
      <c r="E1280">
        <v>345</v>
      </c>
      <c r="F1280">
        <v>267288.92</v>
      </c>
    </row>
    <row r="1281" spans="1:6" x14ac:dyDescent="0.3">
      <c r="A1281">
        <v>2025</v>
      </c>
      <c r="B1281">
        <v>3</v>
      </c>
      <c r="C1281" t="s">
        <v>39</v>
      </c>
      <c r="D1281" t="s">
        <v>53</v>
      </c>
      <c r="E1281">
        <v>21</v>
      </c>
      <c r="F1281">
        <v>18017</v>
      </c>
    </row>
    <row r="1282" spans="1:6" x14ac:dyDescent="0.3">
      <c r="A1282">
        <v>2025</v>
      </c>
      <c r="B1282">
        <v>3</v>
      </c>
      <c r="C1282" t="s">
        <v>39</v>
      </c>
      <c r="D1282" t="s">
        <v>35</v>
      </c>
      <c r="E1282">
        <v>110</v>
      </c>
      <c r="F1282">
        <v>86049</v>
      </c>
    </row>
    <row r="1283" spans="1:6" x14ac:dyDescent="0.3">
      <c r="A1283">
        <v>2025</v>
      </c>
      <c r="B1283">
        <v>3</v>
      </c>
      <c r="C1283" t="s">
        <v>39</v>
      </c>
      <c r="D1283" t="s">
        <v>36</v>
      </c>
      <c r="E1283">
        <v>236</v>
      </c>
      <c r="F1283">
        <v>240337.7</v>
      </c>
    </row>
    <row r="1284" spans="1:6" x14ac:dyDescent="0.3">
      <c r="A1284">
        <v>2025</v>
      </c>
      <c r="B1284">
        <v>3</v>
      </c>
      <c r="C1284" t="s">
        <v>39</v>
      </c>
      <c r="D1284" t="s">
        <v>37</v>
      </c>
      <c r="E1284">
        <v>196</v>
      </c>
      <c r="F1284">
        <v>185322.96</v>
      </c>
    </row>
    <row r="1285" spans="1:6" x14ac:dyDescent="0.3">
      <c r="A1285">
        <v>2025</v>
      </c>
      <c r="B1285">
        <v>4</v>
      </c>
      <c r="C1285" t="s">
        <v>40</v>
      </c>
      <c r="D1285" t="s">
        <v>7</v>
      </c>
      <c r="E1285">
        <v>428</v>
      </c>
      <c r="F1285">
        <v>362532.96</v>
      </c>
    </row>
    <row r="1286" spans="1:6" x14ac:dyDescent="0.3">
      <c r="A1286">
        <v>2025</v>
      </c>
      <c r="B1286">
        <v>4</v>
      </c>
      <c r="C1286" t="s">
        <v>40</v>
      </c>
      <c r="D1286" t="s">
        <v>8</v>
      </c>
      <c r="E1286">
        <v>185</v>
      </c>
      <c r="F1286">
        <v>187848</v>
      </c>
    </row>
    <row r="1287" spans="1:6" x14ac:dyDescent="0.3">
      <c r="A1287">
        <v>2025</v>
      </c>
      <c r="B1287">
        <v>4</v>
      </c>
      <c r="C1287" t="s">
        <v>40</v>
      </c>
      <c r="D1287" t="s">
        <v>9</v>
      </c>
      <c r="E1287">
        <v>90</v>
      </c>
      <c r="F1287">
        <v>58924.44</v>
      </c>
    </row>
    <row r="1288" spans="1:6" x14ac:dyDescent="0.3">
      <c r="A1288">
        <v>2025</v>
      </c>
      <c r="B1288">
        <v>4</v>
      </c>
      <c r="C1288" t="s">
        <v>40</v>
      </c>
      <c r="D1288" t="s">
        <v>10</v>
      </c>
      <c r="E1288">
        <v>601</v>
      </c>
      <c r="F1288">
        <v>522099.72</v>
      </c>
    </row>
    <row r="1289" spans="1:6" x14ac:dyDescent="0.3">
      <c r="A1289">
        <v>2025</v>
      </c>
      <c r="B1289">
        <v>4</v>
      </c>
      <c r="C1289" t="s">
        <v>40</v>
      </c>
      <c r="D1289" t="s">
        <v>11</v>
      </c>
      <c r="E1289">
        <v>204</v>
      </c>
      <c r="F1289">
        <v>164981.20000000001</v>
      </c>
    </row>
    <row r="1290" spans="1:6" x14ac:dyDescent="0.3">
      <c r="A1290">
        <v>2025</v>
      </c>
      <c r="B1290">
        <v>4</v>
      </c>
      <c r="C1290" t="s">
        <v>40</v>
      </c>
      <c r="D1290" t="s">
        <v>12</v>
      </c>
      <c r="E1290">
        <v>188</v>
      </c>
      <c r="F1290">
        <v>202277</v>
      </c>
    </row>
    <row r="1291" spans="1:6" x14ac:dyDescent="0.3">
      <c r="A1291">
        <v>2025</v>
      </c>
      <c r="B1291">
        <v>4</v>
      </c>
      <c r="C1291" t="s">
        <v>40</v>
      </c>
      <c r="D1291" t="s">
        <v>13</v>
      </c>
      <c r="E1291">
        <v>212</v>
      </c>
      <c r="F1291">
        <v>165447.79999999999</v>
      </c>
    </row>
    <row r="1292" spans="1:6" x14ac:dyDescent="0.3">
      <c r="A1292">
        <v>2025</v>
      </c>
      <c r="B1292">
        <v>4</v>
      </c>
      <c r="C1292" t="s">
        <v>40</v>
      </c>
      <c r="D1292" t="s">
        <v>14</v>
      </c>
      <c r="E1292">
        <v>310</v>
      </c>
      <c r="F1292">
        <v>213383.28</v>
      </c>
    </row>
    <row r="1293" spans="1:6" x14ac:dyDescent="0.3">
      <c r="A1293">
        <v>2025</v>
      </c>
      <c r="B1293">
        <v>4</v>
      </c>
      <c r="C1293" t="s">
        <v>40</v>
      </c>
      <c r="D1293" t="s">
        <v>15</v>
      </c>
      <c r="E1293">
        <v>66</v>
      </c>
      <c r="F1293">
        <v>52368.5</v>
      </c>
    </row>
    <row r="1294" spans="1:6" x14ac:dyDescent="0.3">
      <c r="A1294">
        <v>2025</v>
      </c>
      <c r="B1294">
        <v>4</v>
      </c>
      <c r="C1294" t="s">
        <v>40</v>
      </c>
      <c r="D1294" t="s">
        <v>16</v>
      </c>
      <c r="E1294">
        <v>87</v>
      </c>
      <c r="F1294">
        <v>66655.16</v>
      </c>
    </row>
    <row r="1295" spans="1:6" x14ac:dyDescent="0.3">
      <c r="A1295">
        <v>2025</v>
      </c>
      <c r="B1295">
        <v>4</v>
      </c>
      <c r="C1295" t="s">
        <v>40</v>
      </c>
      <c r="D1295" t="s">
        <v>54</v>
      </c>
      <c r="E1295">
        <v>401</v>
      </c>
      <c r="F1295">
        <v>325342.31</v>
      </c>
    </row>
    <row r="1296" spans="1:6" x14ac:dyDescent="0.3">
      <c r="A1296">
        <v>2025</v>
      </c>
      <c r="B1296">
        <v>4</v>
      </c>
      <c r="C1296" t="s">
        <v>40</v>
      </c>
      <c r="D1296" t="s">
        <v>17</v>
      </c>
      <c r="E1296">
        <v>407</v>
      </c>
      <c r="F1296">
        <v>410768.28</v>
      </c>
    </row>
    <row r="1297" spans="1:6" x14ac:dyDescent="0.3">
      <c r="A1297">
        <v>2025</v>
      </c>
      <c r="B1297">
        <v>4</v>
      </c>
      <c r="C1297" t="s">
        <v>40</v>
      </c>
      <c r="D1297" t="s">
        <v>18</v>
      </c>
      <c r="E1297">
        <v>549</v>
      </c>
      <c r="F1297">
        <v>513567.52</v>
      </c>
    </row>
    <row r="1298" spans="1:6" x14ac:dyDescent="0.3">
      <c r="A1298">
        <v>2025</v>
      </c>
      <c r="B1298">
        <v>4</v>
      </c>
      <c r="C1298" t="s">
        <v>40</v>
      </c>
      <c r="D1298" t="s">
        <v>50</v>
      </c>
      <c r="E1298">
        <v>462</v>
      </c>
      <c r="F1298">
        <v>374020.27</v>
      </c>
    </row>
    <row r="1299" spans="1:6" x14ac:dyDescent="0.3">
      <c r="A1299">
        <v>2025</v>
      </c>
      <c r="B1299">
        <v>4</v>
      </c>
      <c r="C1299" t="s">
        <v>40</v>
      </c>
      <c r="D1299" t="s">
        <v>55</v>
      </c>
      <c r="E1299">
        <v>55</v>
      </c>
      <c r="F1299">
        <v>41064</v>
      </c>
    </row>
    <row r="1300" spans="1:6" x14ac:dyDescent="0.3">
      <c r="A1300">
        <v>2025</v>
      </c>
      <c r="B1300">
        <v>4</v>
      </c>
      <c r="C1300" t="s">
        <v>40</v>
      </c>
      <c r="D1300" t="s">
        <v>19</v>
      </c>
      <c r="E1300">
        <v>188</v>
      </c>
      <c r="F1300">
        <v>147525</v>
      </c>
    </row>
    <row r="1301" spans="1:6" x14ac:dyDescent="0.3">
      <c r="A1301">
        <v>2025</v>
      </c>
      <c r="B1301">
        <v>4</v>
      </c>
      <c r="C1301" t="s">
        <v>40</v>
      </c>
      <c r="D1301" t="s">
        <v>20</v>
      </c>
      <c r="E1301">
        <v>191</v>
      </c>
      <c r="F1301">
        <v>173091.24</v>
      </c>
    </row>
    <row r="1302" spans="1:6" x14ac:dyDescent="0.3">
      <c r="A1302">
        <v>2025</v>
      </c>
      <c r="B1302">
        <v>4</v>
      </c>
      <c r="C1302" t="s">
        <v>40</v>
      </c>
      <c r="D1302" t="s">
        <v>21</v>
      </c>
      <c r="E1302">
        <v>393</v>
      </c>
      <c r="F1302">
        <v>368244.27</v>
      </c>
    </row>
    <row r="1303" spans="1:6" x14ac:dyDescent="0.3">
      <c r="A1303">
        <v>2025</v>
      </c>
      <c r="B1303">
        <v>4</v>
      </c>
      <c r="C1303" t="s">
        <v>40</v>
      </c>
      <c r="D1303" t="s">
        <v>22</v>
      </c>
      <c r="E1303">
        <v>280</v>
      </c>
      <c r="F1303">
        <v>196130.06</v>
      </c>
    </row>
    <row r="1304" spans="1:6" x14ac:dyDescent="0.3">
      <c r="A1304">
        <v>2025</v>
      </c>
      <c r="B1304">
        <v>4</v>
      </c>
      <c r="C1304" t="s">
        <v>40</v>
      </c>
      <c r="D1304" t="s">
        <v>23</v>
      </c>
      <c r="E1304">
        <v>252</v>
      </c>
      <c r="F1304">
        <v>246051.46</v>
      </c>
    </row>
    <row r="1305" spans="1:6" x14ac:dyDescent="0.3">
      <c r="A1305">
        <v>2025</v>
      </c>
      <c r="B1305">
        <v>4</v>
      </c>
      <c r="C1305" t="s">
        <v>40</v>
      </c>
      <c r="D1305" t="s">
        <v>24</v>
      </c>
      <c r="E1305">
        <v>204</v>
      </c>
      <c r="F1305">
        <v>148582.23000000001</v>
      </c>
    </row>
    <row r="1306" spans="1:6" x14ac:dyDescent="0.3">
      <c r="A1306">
        <v>2025</v>
      </c>
      <c r="B1306">
        <v>4</v>
      </c>
      <c r="C1306" t="s">
        <v>40</v>
      </c>
      <c r="D1306" t="s">
        <v>25</v>
      </c>
      <c r="E1306">
        <v>382</v>
      </c>
      <c r="F1306">
        <v>313997</v>
      </c>
    </row>
    <row r="1307" spans="1:6" x14ac:dyDescent="0.3">
      <c r="A1307">
        <v>2025</v>
      </c>
      <c r="B1307">
        <v>4</v>
      </c>
      <c r="C1307" t="s">
        <v>40</v>
      </c>
      <c r="D1307" t="s">
        <v>26</v>
      </c>
      <c r="E1307">
        <v>614</v>
      </c>
      <c r="F1307">
        <v>535045.6</v>
      </c>
    </row>
    <row r="1308" spans="1:6" x14ac:dyDescent="0.3">
      <c r="A1308">
        <v>2025</v>
      </c>
      <c r="B1308">
        <v>4</v>
      </c>
      <c r="C1308" t="s">
        <v>40</v>
      </c>
      <c r="D1308" t="s">
        <v>27</v>
      </c>
      <c r="E1308">
        <v>232</v>
      </c>
      <c r="F1308">
        <v>231137</v>
      </c>
    </row>
    <row r="1309" spans="1:6" x14ac:dyDescent="0.3">
      <c r="A1309">
        <v>2025</v>
      </c>
      <c r="B1309">
        <v>4</v>
      </c>
      <c r="C1309" t="s">
        <v>40</v>
      </c>
      <c r="D1309" t="s">
        <v>28</v>
      </c>
      <c r="E1309">
        <v>108</v>
      </c>
      <c r="F1309">
        <v>181156</v>
      </c>
    </row>
    <row r="1310" spans="1:6" x14ac:dyDescent="0.3">
      <c r="A1310">
        <v>2025</v>
      </c>
      <c r="B1310">
        <v>4</v>
      </c>
      <c r="C1310" t="s">
        <v>40</v>
      </c>
      <c r="D1310" t="s">
        <v>29</v>
      </c>
      <c r="E1310">
        <v>251</v>
      </c>
      <c r="F1310">
        <v>194927.2</v>
      </c>
    </row>
    <row r="1311" spans="1:6" x14ac:dyDescent="0.3">
      <c r="A1311">
        <v>2025</v>
      </c>
      <c r="B1311">
        <v>4</v>
      </c>
      <c r="C1311" t="s">
        <v>40</v>
      </c>
      <c r="D1311" t="s">
        <v>30</v>
      </c>
      <c r="E1311">
        <v>79</v>
      </c>
      <c r="F1311">
        <v>90914</v>
      </c>
    </row>
    <row r="1312" spans="1:6" x14ac:dyDescent="0.3">
      <c r="A1312">
        <v>2025</v>
      </c>
      <c r="B1312">
        <v>4</v>
      </c>
      <c r="C1312" t="s">
        <v>40</v>
      </c>
      <c r="D1312" t="s">
        <v>31</v>
      </c>
      <c r="E1312">
        <v>766</v>
      </c>
      <c r="F1312">
        <v>784345.82</v>
      </c>
    </row>
    <row r="1313" spans="1:6" x14ac:dyDescent="0.3">
      <c r="A1313">
        <v>2025</v>
      </c>
      <c r="B1313">
        <v>4</v>
      </c>
      <c r="C1313" t="s">
        <v>40</v>
      </c>
      <c r="D1313" t="s">
        <v>51</v>
      </c>
      <c r="E1313">
        <v>201</v>
      </c>
      <c r="F1313">
        <v>136298</v>
      </c>
    </row>
    <row r="1314" spans="1:6" x14ac:dyDescent="0.3">
      <c r="A1314">
        <v>2025</v>
      </c>
      <c r="B1314">
        <v>4</v>
      </c>
      <c r="C1314" t="s">
        <v>40</v>
      </c>
      <c r="D1314" t="s">
        <v>32</v>
      </c>
      <c r="E1314">
        <v>747</v>
      </c>
      <c r="F1314">
        <v>614387.93999999994</v>
      </c>
    </row>
    <row r="1315" spans="1:6" x14ac:dyDescent="0.3">
      <c r="A1315">
        <v>2025</v>
      </c>
      <c r="B1315">
        <v>4</v>
      </c>
      <c r="C1315" t="s">
        <v>40</v>
      </c>
      <c r="D1315" t="s">
        <v>52</v>
      </c>
      <c r="E1315">
        <v>121</v>
      </c>
      <c r="F1315">
        <v>102674</v>
      </c>
    </row>
    <row r="1316" spans="1:6" x14ac:dyDescent="0.3">
      <c r="A1316">
        <v>2025</v>
      </c>
      <c r="B1316">
        <v>4</v>
      </c>
      <c r="C1316" t="s">
        <v>40</v>
      </c>
      <c r="D1316" t="s">
        <v>33</v>
      </c>
      <c r="E1316">
        <v>811</v>
      </c>
      <c r="F1316">
        <v>725014.85</v>
      </c>
    </row>
    <row r="1317" spans="1:6" x14ac:dyDescent="0.3">
      <c r="A1317">
        <v>2025</v>
      </c>
      <c r="B1317">
        <v>4</v>
      </c>
      <c r="C1317" t="s">
        <v>40</v>
      </c>
      <c r="D1317" t="s">
        <v>34</v>
      </c>
      <c r="E1317">
        <v>403</v>
      </c>
      <c r="F1317">
        <v>346659.08</v>
      </c>
    </row>
    <row r="1318" spans="1:6" x14ac:dyDescent="0.3">
      <c r="A1318">
        <v>2025</v>
      </c>
      <c r="B1318">
        <v>4</v>
      </c>
      <c r="C1318" t="s">
        <v>40</v>
      </c>
      <c r="D1318" t="s">
        <v>56</v>
      </c>
      <c r="E1318">
        <v>92</v>
      </c>
      <c r="F1318">
        <v>76353</v>
      </c>
    </row>
    <row r="1319" spans="1:6" x14ac:dyDescent="0.3">
      <c r="A1319">
        <v>2025</v>
      </c>
      <c r="B1319">
        <v>4</v>
      </c>
      <c r="C1319" t="s">
        <v>40</v>
      </c>
      <c r="D1319" t="s">
        <v>57</v>
      </c>
      <c r="E1319">
        <v>127</v>
      </c>
      <c r="F1319">
        <v>100770.8</v>
      </c>
    </row>
    <row r="1320" spans="1:6" x14ac:dyDescent="0.3">
      <c r="A1320">
        <v>2025</v>
      </c>
      <c r="B1320">
        <v>4</v>
      </c>
      <c r="C1320" t="s">
        <v>40</v>
      </c>
      <c r="D1320" t="s">
        <v>49</v>
      </c>
      <c r="E1320">
        <v>315</v>
      </c>
      <c r="F1320">
        <v>239573</v>
      </c>
    </row>
    <row r="1321" spans="1:6" x14ac:dyDescent="0.3">
      <c r="A1321">
        <v>2025</v>
      </c>
      <c r="B1321">
        <v>4</v>
      </c>
      <c r="C1321" t="s">
        <v>40</v>
      </c>
      <c r="D1321" t="s">
        <v>53</v>
      </c>
      <c r="E1321">
        <v>71</v>
      </c>
      <c r="F1321">
        <v>57420.92</v>
      </c>
    </row>
    <row r="1322" spans="1:6" x14ac:dyDescent="0.3">
      <c r="A1322">
        <v>2025</v>
      </c>
      <c r="B1322">
        <v>4</v>
      </c>
      <c r="C1322" t="s">
        <v>40</v>
      </c>
      <c r="D1322" t="s">
        <v>35</v>
      </c>
      <c r="E1322">
        <v>348</v>
      </c>
      <c r="F1322">
        <v>294526.73</v>
      </c>
    </row>
    <row r="1323" spans="1:6" x14ac:dyDescent="0.3">
      <c r="A1323">
        <v>2025</v>
      </c>
      <c r="B1323">
        <v>4</v>
      </c>
      <c r="C1323" t="s">
        <v>40</v>
      </c>
      <c r="D1323" t="s">
        <v>36</v>
      </c>
      <c r="E1323">
        <v>188</v>
      </c>
      <c r="F1323">
        <v>190153.60000000001</v>
      </c>
    </row>
    <row r="1324" spans="1:6" x14ac:dyDescent="0.3">
      <c r="A1324">
        <v>2025</v>
      </c>
      <c r="B1324">
        <v>4</v>
      </c>
      <c r="C1324" t="s">
        <v>40</v>
      </c>
      <c r="D1324" t="s">
        <v>37</v>
      </c>
      <c r="E1324">
        <v>284</v>
      </c>
      <c r="F1324">
        <v>264193.78000000003</v>
      </c>
    </row>
    <row r="1325" spans="1:6" x14ac:dyDescent="0.3">
      <c r="A1325">
        <v>2025</v>
      </c>
      <c r="B1325">
        <v>5</v>
      </c>
      <c r="C1325" t="s">
        <v>41</v>
      </c>
      <c r="D1325" t="s">
        <v>7</v>
      </c>
      <c r="E1325">
        <v>1218</v>
      </c>
      <c r="F1325">
        <v>1040959.79</v>
      </c>
    </row>
    <row r="1326" spans="1:6" x14ac:dyDescent="0.3">
      <c r="A1326">
        <v>2025</v>
      </c>
      <c r="B1326">
        <v>5</v>
      </c>
      <c r="C1326" t="s">
        <v>41</v>
      </c>
      <c r="D1326" t="s">
        <v>8</v>
      </c>
      <c r="E1326">
        <v>349</v>
      </c>
      <c r="F1326">
        <v>357529.67</v>
      </c>
    </row>
    <row r="1327" spans="1:6" x14ac:dyDescent="0.3">
      <c r="A1327">
        <v>2025</v>
      </c>
      <c r="B1327">
        <v>5</v>
      </c>
      <c r="C1327" t="s">
        <v>41</v>
      </c>
      <c r="D1327" t="s">
        <v>9</v>
      </c>
      <c r="E1327">
        <v>162</v>
      </c>
      <c r="F1327">
        <v>115493</v>
      </c>
    </row>
    <row r="1328" spans="1:6" x14ac:dyDescent="0.3">
      <c r="A1328">
        <v>2025</v>
      </c>
      <c r="B1328">
        <v>5</v>
      </c>
      <c r="C1328" t="s">
        <v>41</v>
      </c>
      <c r="D1328" t="s">
        <v>10</v>
      </c>
      <c r="E1328">
        <v>664</v>
      </c>
      <c r="F1328">
        <v>560875.89</v>
      </c>
    </row>
    <row r="1329" spans="1:6" x14ac:dyDescent="0.3">
      <c r="A1329">
        <v>2025</v>
      </c>
      <c r="B1329">
        <v>5</v>
      </c>
      <c r="C1329" t="s">
        <v>41</v>
      </c>
      <c r="D1329" t="s">
        <v>11</v>
      </c>
      <c r="E1329">
        <v>486</v>
      </c>
      <c r="F1329">
        <v>388496.85</v>
      </c>
    </row>
    <row r="1330" spans="1:6" x14ac:dyDescent="0.3">
      <c r="A1330">
        <v>2025</v>
      </c>
      <c r="B1330">
        <v>5</v>
      </c>
      <c r="C1330" t="s">
        <v>41</v>
      </c>
      <c r="D1330" t="s">
        <v>12</v>
      </c>
      <c r="E1330">
        <v>188</v>
      </c>
      <c r="F1330">
        <v>205431.51</v>
      </c>
    </row>
    <row r="1331" spans="1:6" x14ac:dyDescent="0.3">
      <c r="A1331">
        <v>2025</v>
      </c>
      <c r="B1331">
        <v>5</v>
      </c>
      <c r="C1331" t="s">
        <v>41</v>
      </c>
      <c r="D1331" t="s">
        <v>13</v>
      </c>
      <c r="E1331">
        <v>203</v>
      </c>
      <c r="F1331">
        <v>164377.29999999999</v>
      </c>
    </row>
    <row r="1332" spans="1:6" x14ac:dyDescent="0.3">
      <c r="A1332">
        <v>2025</v>
      </c>
      <c r="B1332">
        <v>5</v>
      </c>
      <c r="C1332" t="s">
        <v>41</v>
      </c>
      <c r="D1332" t="s">
        <v>14</v>
      </c>
      <c r="E1332">
        <v>339</v>
      </c>
      <c r="F1332">
        <v>271315</v>
      </c>
    </row>
    <row r="1333" spans="1:6" x14ac:dyDescent="0.3">
      <c r="A1333">
        <v>2025</v>
      </c>
      <c r="B1333">
        <v>5</v>
      </c>
      <c r="C1333" t="s">
        <v>41</v>
      </c>
      <c r="D1333" t="s">
        <v>15</v>
      </c>
      <c r="E1333">
        <v>75</v>
      </c>
      <c r="F1333">
        <v>64338.96</v>
      </c>
    </row>
    <row r="1334" spans="1:6" x14ac:dyDescent="0.3">
      <c r="A1334">
        <v>2025</v>
      </c>
      <c r="B1334">
        <v>5</v>
      </c>
      <c r="C1334" t="s">
        <v>41</v>
      </c>
      <c r="D1334" t="s">
        <v>16</v>
      </c>
      <c r="E1334">
        <v>75</v>
      </c>
      <c r="F1334">
        <v>59712</v>
      </c>
    </row>
    <row r="1335" spans="1:6" x14ac:dyDescent="0.3">
      <c r="A1335">
        <v>2025</v>
      </c>
      <c r="B1335">
        <v>5</v>
      </c>
      <c r="C1335" t="s">
        <v>41</v>
      </c>
      <c r="D1335" t="s">
        <v>54</v>
      </c>
      <c r="E1335">
        <v>1467</v>
      </c>
      <c r="F1335">
        <v>1193592.58</v>
      </c>
    </row>
    <row r="1336" spans="1:6" x14ac:dyDescent="0.3">
      <c r="A1336">
        <v>2025</v>
      </c>
      <c r="B1336">
        <v>5</v>
      </c>
      <c r="C1336" t="s">
        <v>41</v>
      </c>
      <c r="D1336" t="s">
        <v>17</v>
      </c>
      <c r="E1336">
        <v>552</v>
      </c>
      <c r="F1336">
        <v>541653.07999999996</v>
      </c>
    </row>
    <row r="1337" spans="1:6" x14ac:dyDescent="0.3">
      <c r="A1337">
        <v>2025</v>
      </c>
      <c r="B1337">
        <v>5</v>
      </c>
      <c r="C1337" t="s">
        <v>41</v>
      </c>
      <c r="D1337" t="s">
        <v>18</v>
      </c>
      <c r="E1337">
        <v>956</v>
      </c>
      <c r="F1337">
        <v>828949.97</v>
      </c>
    </row>
    <row r="1338" spans="1:6" x14ac:dyDescent="0.3">
      <c r="A1338">
        <v>2025</v>
      </c>
      <c r="B1338">
        <v>5</v>
      </c>
      <c r="C1338" t="s">
        <v>41</v>
      </c>
      <c r="D1338" t="s">
        <v>50</v>
      </c>
      <c r="E1338">
        <v>1409</v>
      </c>
      <c r="F1338">
        <v>1134195.6399999999</v>
      </c>
    </row>
    <row r="1339" spans="1:6" x14ac:dyDescent="0.3">
      <c r="A1339">
        <v>2025</v>
      </c>
      <c r="B1339">
        <v>5</v>
      </c>
      <c r="C1339" t="s">
        <v>41</v>
      </c>
      <c r="D1339" t="s">
        <v>55</v>
      </c>
      <c r="E1339">
        <v>1003</v>
      </c>
      <c r="F1339">
        <v>768405.42</v>
      </c>
    </row>
    <row r="1340" spans="1:6" x14ac:dyDescent="0.3">
      <c r="A1340">
        <v>2025</v>
      </c>
      <c r="B1340">
        <v>5</v>
      </c>
      <c r="C1340" t="s">
        <v>41</v>
      </c>
      <c r="D1340" t="s">
        <v>19</v>
      </c>
      <c r="E1340">
        <v>265</v>
      </c>
      <c r="F1340">
        <v>197530.32</v>
      </c>
    </row>
    <row r="1341" spans="1:6" x14ac:dyDescent="0.3">
      <c r="A1341">
        <v>2025</v>
      </c>
      <c r="B1341">
        <v>5</v>
      </c>
      <c r="C1341" t="s">
        <v>41</v>
      </c>
      <c r="D1341" t="s">
        <v>20</v>
      </c>
      <c r="E1341">
        <v>645</v>
      </c>
      <c r="F1341">
        <v>455656.92</v>
      </c>
    </row>
    <row r="1342" spans="1:6" x14ac:dyDescent="0.3">
      <c r="A1342">
        <v>2025</v>
      </c>
      <c r="B1342">
        <v>5</v>
      </c>
      <c r="C1342" t="s">
        <v>41</v>
      </c>
      <c r="D1342" t="s">
        <v>21</v>
      </c>
      <c r="E1342">
        <v>818</v>
      </c>
      <c r="F1342">
        <v>625100.19999999995</v>
      </c>
    </row>
    <row r="1343" spans="1:6" x14ac:dyDescent="0.3">
      <c r="A1343">
        <v>2025</v>
      </c>
      <c r="B1343">
        <v>5</v>
      </c>
      <c r="C1343" t="s">
        <v>41</v>
      </c>
      <c r="D1343" t="s">
        <v>22</v>
      </c>
      <c r="E1343">
        <v>335</v>
      </c>
      <c r="F1343">
        <v>230331.71</v>
      </c>
    </row>
    <row r="1344" spans="1:6" x14ac:dyDescent="0.3">
      <c r="A1344">
        <v>2025</v>
      </c>
      <c r="B1344">
        <v>5</v>
      </c>
      <c r="C1344" t="s">
        <v>41</v>
      </c>
      <c r="D1344" t="s">
        <v>23</v>
      </c>
      <c r="E1344">
        <v>965</v>
      </c>
      <c r="F1344">
        <v>898688.95</v>
      </c>
    </row>
    <row r="1345" spans="1:6" x14ac:dyDescent="0.3">
      <c r="A1345">
        <v>2025</v>
      </c>
      <c r="B1345">
        <v>5</v>
      </c>
      <c r="C1345" t="s">
        <v>41</v>
      </c>
      <c r="D1345" t="s">
        <v>24</v>
      </c>
      <c r="E1345">
        <v>346</v>
      </c>
      <c r="F1345">
        <v>248757.82</v>
      </c>
    </row>
    <row r="1346" spans="1:6" x14ac:dyDescent="0.3">
      <c r="A1346">
        <v>2025</v>
      </c>
      <c r="B1346">
        <v>5</v>
      </c>
      <c r="C1346" t="s">
        <v>41</v>
      </c>
      <c r="D1346" t="s">
        <v>25</v>
      </c>
      <c r="E1346">
        <v>622</v>
      </c>
      <c r="F1346">
        <v>489522.86</v>
      </c>
    </row>
    <row r="1347" spans="1:6" x14ac:dyDescent="0.3">
      <c r="A1347">
        <v>2025</v>
      </c>
      <c r="B1347">
        <v>5</v>
      </c>
      <c r="C1347" t="s">
        <v>41</v>
      </c>
      <c r="D1347" t="s">
        <v>26</v>
      </c>
      <c r="E1347">
        <v>840</v>
      </c>
      <c r="F1347">
        <v>672109.47</v>
      </c>
    </row>
    <row r="1348" spans="1:6" x14ac:dyDescent="0.3">
      <c r="A1348">
        <v>2025</v>
      </c>
      <c r="B1348">
        <v>5</v>
      </c>
      <c r="C1348" t="s">
        <v>41</v>
      </c>
      <c r="D1348" t="s">
        <v>27</v>
      </c>
      <c r="E1348">
        <v>239</v>
      </c>
      <c r="F1348">
        <v>227484.32</v>
      </c>
    </row>
    <row r="1349" spans="1:6" x14ac:dyDescent="0.3">
      <c r="A1349">
        <v>2025</v>
      </c>
      <c r="B1349">
        <v>5</v>
      </c>
      <c r="C1349" t="s">
        <v>41</v>
      </c>
      <c r="D1349" t="s">
        <v>28</v>
      </c>
      <c r="E1349">
        <v>181</v>
      </c>
      <c r="F1349">
        <v>164504.6</v>
      </c>
    </row>
    <row r="1350" spans="1:6" x14ac:dyDescent="0.3">
      <c r="A1350">
        <v>2025</v>
      </c>
      <c r="B1350">
        <v>5</v>
      </c>
      <c r="C1350" t="s">
        <v>41</v>
      </c>
      <c r="D1350" t="s">
        <v>29</v>
      </c>
      <c r="E1350">
        <v>465</v>
      </c>
      <c r="F1350">
        <v>380509.6</v>
      </c>
    </row>
    <row r="1351" spans="1:6" x14ac:dyDescent="0.3">
      <c r="A1351">
        <v>2025</v>
      </c>
      <c r="B1351">
        <v>5</v>
      </c>
      <c r="C1351" t="s">
        <v>41</v>
      </c>
      <c r="D1351" t="s">
        <v>30</v>
      </c>
      <c r="E1351">
        <v>95</v>
      </c>
      <c r="F1351">
        <v>97918.18</v>
      </c>
    </row>
    <row r="1352" spans="1:6" x14ac:dyDescent="0.3">
      <c r="A1352">
        <v>2025</v>
      </c>
      <c r="B1352">
        <v>5</v>
      </c>
      <c r="C1352" t="s">
        <v>41</v>
      </c>
      <c r="D1352" t="s">
        <v>31</v>
      </c>
      <c r="E1352">
        <v>1172</v>
      </c>
      <c r="F1352">
        <v>1058572.32</v>
      </c>
    </row>
    <row r="1353" spans="1:6" x14ac:dyDescent="0.3">
      <c r="A1353">
        <v>2025</v>
      </c>
      <c r="B1353">
        <v>5</v>
      </c>
      <c r="C1353" t="s">
        <v>41</v>
      </c>
      <c r="D1353" t="s">
        <v>51</v>
      </c>
      <c r="E1353">
        <v>933</v>
      </c>
      <c r="F1353">
        <v>662003.98</v>
      </c>
    </row>
    <row r="1354" spans="1:6" x14ac:dyDescent="0.3">
      <c r="A1354">
        <v>2025</v>
      </c>
      <c r="B1354">
        <v>5</v>
      </c>
      <c r="C1354" t="s">
        <v>41</v>
      </c>
      <c r="D1354" t="s">
        <v>32</v>
      </c>
      <c r="E1354">
        <v>1314</v>
      </c>
      <c r="F1354">
        <v>1064535.3700000001</v>
      </c>
    </row>
    <row r="1355" spans="1:6" x14ac:dyDescent="0.3">
      <c r="A1355">
        <v>2025</v>
      </c>
      <c r="B1355">
        <v>5</v>
      </c>
      <c r="C1355" t="s">
        <v>41</v>
      </c>
      <c r="D1355" t="s">
        <v>52</v>
      </c>
      <c r="E1355">
        <v>1641</v>
      </c>
      <c r="F1355">
        <v>1410356.5</v>
      </c>
    </row>
    <row r="1356" spans="1:6" x14ac:dyDescent="0.3">
      <c r="A1356">
        <v>2025</v>
      </c>
      <c r="B1356">
        <v>5</v>
      </c>
      <c r="C1356" t="s">
        <v>41</v>
      </c>
      <c r="D1356" t="s">
        <v>33</v>
      </c>
      <c r="E1356">
        <v>1602</v>
      </c>
      <c r="F1356">
        <v>1408311.6</v>
      </c>
    </row>
    <row r="1357" spans="1:6" x14ac:dyDescent="0.3">
      <c r="A1357">
        <v>2025</v>
      </c>
      <c r="B1357">
        <v>5</v>
      </c>
      <c r="C1357" t="s">
        <v>41</v>
      </c>
      <c r="D1357" t="s">
        <v>58</v>
      </c>
      <c r="E1357">
        <v>497</v>
      </c>
      <c r="F1357">
        <v>400681</v>
      </c>
    </row>
    <row r="1358" spans="1:6" x14ac:dyDescent="0.3">
      <c r="A1358">
        <v>2025</v>
      </c>
      <c r="B1358">
        <v>5</v>
      </c>
      <c r="C1358" t="s">
        <v>41</v>
      </c>
      <c r="D1358" t="s">
        <v>34</v>
      </c>
      <c r="E1358">
        <v>1040</v>
      </c>
      <c r="F1358">
        <v>851564.57</v>
      </c>
    </row>
    <row r="1359" spans="1:6" x14ac:dyDescent="0.3">
      <c r="A1359">
        <v>2025</v>
      </c>
      <c r="B1359">
        <v>5</v>
      </c>
      <c r="C1359" t="s">
        <v>41</v>
      </c>
      <c r="D1359" t="s">
        <v>56</v>
      </c>
      <c r="E1359">
        <v>855</v>
      </c>
      <c r="F1359">
        <v>701988.97</v>
      </c>
    </row>
    <row r="1360" spans="1:6" x14ac:dyDescent="0.3">
      <c r="A1360">
        <v>2025</v>
      </c>
      <c r="B1360">
        <v>5</v>
      </c>
      <c r="C1360" t="s">
        <v>41</v>
      </c>
      <c r="D1360" t="s">
        <v>57</v>
      </c>
      <c r="E1360">
        <v>780</v>
      </c>
      <c r="F1360">
        <v>643479.16</v>
      </c>
    </row>
    <row r="1361" spans="1:6" x14ac:dyDescent="0.3">
      <c r="A1361">
        <v>2025</v>
      </c>
      <c r="B1361">
        <v>5</v>
      </c>
      <c r="C1361" t="s">
        <v>41</v>
      </c>
      <c r="D1361" t="s">
        <v>49</v>
      </c>
      <c r="E1361">
        <v>383</v>
      </c>
      <c r="F1361">
        <v>288856.07</v>
      </c>
    </row>
    <row r="1362" spans="1:6" x14ac:dyDescent="0.3">
      <c r="A1362">
        <v>2025</v>
      </c>
      <c r="B1362">
        <v>5</v>
      </c>
      <c r="C1362" t="s">
        <v>41</v>
      </c>
      <c r="D1362" t="s">
        <v>53</v>
      </c>
      <c r="E1362">
        <v>514</v>
      </c>
      <c r="F1362">
        <v>402911.95</v>
      </c>
    </row>
    <row r="1363" spans="1:6" x14ac:dyDescent="0.3">
      <c r="A1363">
        <v>2025</v>
      </c>
      <c r="B1363">
        <v>5</v>
      </c>
      <c r="C1363" t="s">
        <v>41</v>
      </c>
      <c r="D1363" t="s">
        <v>35</v>
      </c>
      <c r="E1363">
        <v>700</v>
      </c>
      <c r="F1363">
        <v>574998.82999999996</v>
      </c>
    </row>
    <row r="1364" spans="1:6" x14ac:dyDescent="0.3">
      <c r="A1364">
        <v>2025</v>
      </c>
      <c r="B1364">
        <v>5</v>
      </c>
      <c r="C1364" t="s">
        <v>41</v>
      </c>
      <c r="D1364" t="s">
        <v>36</v>
      </c>
      <c r="E1364">
        <v>208</v>
      </c>
      <c r="F1364">
        <v>169028.87</v>
      </c>
    </row>
    <row r="1365" spans="1:6" x14ac:dyDescent="0.3">
      <c r="A1365">
        <v>2025</v>
      </c>
      <c r="B1365">
        <v>5</v>
      </c>
      <c r="C1365" t="s">
        <v>41</v>
      </c>
      <c r="D1365" t="s">
        <v>37</v>
      </c>
      <c r="E1365">
        <v>702</v>
      </c>
      <c r="F1365">
        <v>579613.84</v>
      </c>
    </row>
    <row r="1366" spans="1:6" x14ac:dyDescent="0.3">
      <c r="A1366">
        <v>2025</v>
      </c>
      <c r="B1366">
        <v>6</v>
      </c>
      <c r="C1366" t="s">
        <v>42</v>
      </c>
      <c r="D1366" t="s">
        <v>7</v>
      </c>
      <c r="E1366">
        <v>1320</v>
      </c>
      <c r="F1366">
        <v>1108094.51</v>
      </c>
    </row>
    <row r="1367" spans="1:6" x14ac:dyDescent="0.3">
      <c r="A1367">
        <v>2025</v>
      </c>
      <c r="B1367">
        <v>6</v>
      </c>
      <c r="C1367" t="s">
        <v>42</v>
      </c>
      <c r="D1367" t="s">
        <v>8</v>
      </c>
      <c r="E1367">
        <v>544</v>
      </c>
      <c r="F1367">
        <v>445406.96</v>
      </c>
    </row>
    <row r="1368" spans="1:6" x14ac:dyDescent="0.3">
      <c r="A1368">
        <v>2025</v>
      </c>
      <c r="B1368">
        <v>6</v>
      </c>
      <c r="C1368" t="s">
        <v>42</v>
      </c>
      <c r="D1368" t="s">
        <v>9</v>
      </c>
      <c r="E1368">
        <v>172</v>
      </c>
      <c r="F1368">
        <v>117031</v>
      </c>
    </row>
    <row r="1369" spans="1:6" x14ac:dyDescent="0.3">
      <c r="A1369">
        <v>2025</v>
      </c>
      <c r="B1369">
        <v>6</v>
      </c>
      <c r="C1369" t="s">
        <v>42</v>
      </c>
      <c r="D1369" t="s">
        <v>10</v>
      </c>
      <c r="E1369">
        <v>810</v>
      </c>
      <c r="F1369">
        <v>691671</v>
      </c>
    </row>
    <row r="1370" spans="1:6" x14ac:dyDescent="0.3">
      <c r="A1370">
        <v>2025</v>
      </c>
      <c r="B1370">
        <v>6</v>
      </c>
      <c r="C1370" t="s">
        <v>42</v>
      </c>
      <c r="D1370" t="s">
        <v>11</v>
      </c>
      <c r="E1370">
        <v>389</v>
      </c>
      <c r="F1370">
        <v>313069</v>
      </c>
    </row>
    <row r="1371" spans="1:6" x14ac:dyDescent="0.3">
      <c r="A1371">
        <v>2025</v>
      </c>
      <c r="B1371">
        <v>6</v>
      </c>
      <c r="C1371" t="s">
        <v>42</v>
      </c>
      <c r="D1371" t="s">
        <v>59</v>
      </c>
      <c r="E1371">
        <v>603</v>
      </c>
      <c r="F1371">
        <v>520870.25</v>
      </c>
    </row>
    <row r="1372" spans="1:6" x14ac:dyDescent="0.3">
      <c r="A1372">
        <v>2025</v>
      </c>
      <c r="B1372">
        <v>6</v>
      </c>
      <c r="C1372" t="s">
        <v>42</v>
      </c>
      <c r="D1372" t="s">
        <v>12</v>
      </c>
      <c r="E1372">
        <v>172</v>
      </c>
      <c r="F1372">
        <v>175424</v>
      </c>
    </row>
    <row r="1373" spans="1:6" x14ac:dyDescent="0.3">
      <c r="A1373">
        <v>2025</v>
      </c>
      <c r="B1373">
        <v>6</v>
      </c>
      <c r="C1373" t="s">
        <v>42</v>
      </c>
      <c r="D1373" t="s">
        <v>13</v>
      </c>
      <c r="E1373">
        <v>186</v>
      </c>
      <c r="F1373">
        <v>167457.18</v>
      </c>
    </row>
    <row r="1374" spans="1:6" x14ac:dyDescent="0.3">
      <c r="A1374">
        <v>2025</v>
      </c>
      <c r="B1374">
        <v>6</v>
      </c>
      <c r="C1374" t="s">
        <v>42</v>
      </c>
      <c r="D1374" t="s">
        <v>14</v>
      </c>
      <c r="E1374">
        <v>315</v>
      </c>
      <c r="F1374">
        <v>214821.1</v>
      </c>
    </row>
    <row r="1375" spans="1:6" x14ac:dyDescent="0.3">
      <c r="A1375">
        <v>2025</v>
      </c>
      <c r="B1375">
        <v>6</v>
      </c>
      <c r="C1375" t="s">
        <v>42</v>
      </c>
      <c r="D1375" t="s">
        <v>15</v>
      </c>
      <c r="E1375">
        <v>86</v>
      </c>
      <c r="F1375">
        <v>79044.899999999994</v>
      </c>
    </row>
    <row r="1376" spans="1:6" x14ac:dyDescent="0.3">
      <c r="A1376">
        <v>2025</v>
      </c>
      <c r="B1376">
        <v>6</v>
      </c>
      <c r="C1376" t="s">
        <v>42</v>
      </c>
      <c r="D1376" t="s">
        <v>16</v>
      </c>
      <c r="E1376">
        <v>83</v>
      </c>
      <c r="F1376">
        <v>59566</v>
      </c>
    </row>
    <row r="1377" spans="1:6" x14ac:dyDescent="0.3">
      <c r="A1377">
        <v>2025</v>
      </c>
      <c r="B1377">
        <v>6</v>
      </c>
      <c r="C1377" t="s">
        <v>42</v>
      </c>
      <c r="D1377" t="s">
        <v>54</v>
      </c>
      <c r="E1377">
        <v>1200</v>
      </c>
      <c r="F1377">
        <v>981623.49</v>
      </c>
    </row>
    <row r="1378" spans="1:6" x14ac:dyDescent="0.3">
      <c r="A1378">
        <v>2025</v>
      </c>
      <c r="B1378">
        <v>6</v>
      </c>
      <c r="C1378" t="s">
        <v>42</v>
      </c>
      <c r="D1378" t="s">
        <v>17</v>
      </c>
      <c r="E1378">
        <v>1107</v>
      </c>
      <c r="F1378">
        <v>951516.07</v>
      </c>
    </row>
    <row r="1379" spans="1:6" x14ac:dyDescent="0.3">
      <c r="A1379">
        <v>2025</v>
      </c>
      <c r="B1379">
        <v>6</v>
      </c>
      <c r="C1379" t="s">
        <v>42</v>
      </c>
      <c r="D1379" t="s">
        <v>18</v>
      </c>
      <c r="E1379">
        <v>1120</v>
      </c>
      <c r="F1379">
        <v>917301.29</v>
      </c>
    </row>
    <row r="1380" spans="1:6" x14ac:dyDescent="0.3">
      <c r="A1380">
        <v>2025</v>
      </c>
      <c r="B1380">
        <v>6</v>
      </c>
      <c r="C1380" t="s">
        <v>42</v>
      </c>
      <c r="D1380" t="s">
        <v>50</v>
      </c>
      <c r="E1380">
        <v>1429</v>
      </c>
      <c r="F1380">
        <v>1142208.1000000001</v>
      </c>
    </row>
    <row r="1381" spans="1:6" x14ac:dyDescent="0.3">
      <c r="A1381">
        <v>2025</v>
      </c>
      <c r="B1381">
        <v>6</v>
      </c>
      <c r="C1381" t="s">
        <v>42</v>
      </c>
      <c r="D1381" t="s">
        <v>55</v>
      </c>
      <c r="E1381">
        <v>1007</v>
      </c>
      <c r="F1381">
        <v>771566.32</v>
      </c>
    </row>
    <row r="1382" spans="1:6" x14ac:dyDescent="0.3">
      <c r="A1382">
        <v>2025</v>
      </c>
      <c r="B1382">
        <v>6</v>
      </c>
      <c r="C1382" t="s">
        <v>42</v>
      </c>
      <c r="D1382" t="s">
        <v>19</v>
      </c>
      <c r="E1382">
        <v>129</v>
      </c>
      <c r="F1382">
        <v>100936.06</v>
      </c>
    </row>
    <row r="1383" spans="1:6" x14ac:dyDescent="0.3">
      <c r="A1383">
        <v>2025</v>
      </c>
      <c r="B1383">
        <v>6</v>
      </c>
      <c r="C1383" t="s">
        <v>42</v>
      </c>
      <c r="D1383" t="s">
        <v>20</v>
      </c>
      <c r="E1383">
        <v>703</v>
      </c>
      <c r="F1383">
        <v>481114</v>
      </c>
    </row>
    <row r="1384" spans="1:6" x14ac:dyDescent="0.3">
      <c r="A1384">
        <v>2025</v>
      </c>
      <c r="B1384">
        <v>6</v>
      </c>
      <c r="C1384" t="s">
        <v>42</v>
      </c>
      <c r="D1384" t="s">
        <v>21</v>
      </c>
      <c r="E1384">
        <v>834</v>
      </c>
      <c r="F1384">
        <v>622606.80000000005</v>
      </c>
    </row>
    <row r="1385" spans="1:6" x14ac:dyDescent="0.3">
      <c r="A1385">
        <v>2025</v>
      </c>
      <c r="B1385">
        <v>6</v>
      </c>
      <c r="C1385" t="s">
        <v>42</v>
      </c>
      <c r="D1385" t="s">
        <v>22</v>
      </c>
      <c r="E1385">
        <v>381</v>
      </c>
      <c r="F1385">
        <v>275316.59999999998</v>
      </c>
    </row>
    <row r="1386" spans="1:6" x14ac:dyDescent="0.3">
      <c r="A1386">
        <v>2025</v>
      </c>
      <c r="B1386">
        <v>6</v>
      </c>
      <c r="C1386" t="s">
        <v>42</v>
      </c>
      <c r="D1386" t="s">
        <v>23</v>
      </c>
      <c r="E1386">
        <v>1000</v>
      </c>
      <c r="F1386">
        <v>927427.35</v>
      </c>
    </row>
    <row r="1387" spans="1:6" x14ac:dyDescent="0.3">
      <c r="A1387">
        <v>2025</v>
      </c>
      <c r="B1387">
        <v>6</v>
      </c>
      <c r="C1387" t="s">
        <v>42</v>
      </c>
      <c r="D1387" t="s">
        <v>24</v>
      </c>
      <c r="E1387">
        <v>345</v>
      </c>
      <c r="F1387">
        <v>258957.86</v>
      </c>
    </row>
    <row r="1388" spans="1:6" x14ac:dyDescent="0.3">
      <c r="A1388">
        <v>2025</v>
      </c>
      <c r="B1388">
        <v>6</v>
      </c>
      <c r="C1388" t="s">
        <v>42</v>
      </c>
      <c r="D1388" t="s">
        <v>25</v>
      </c>
      <c r="E1388">
        <v>669</v>
      </c>
      <c r="F1388">
        <v>504962.46</v>
      </c>
    </row>
    <row r="1389" spans="1:6" x14ac:dyDescent="0.3">
      <c r="A1389">
        <v>2025</v>
      </c>
      <c r="B1389">
        <v>6</v>
      </c>
      <c r="C1389" t="s">
        <v>42</v>
      </c>
      <c r="D1389" t="s">
        <v>26</v>
      </c>
      <c r="E1389">
        <v>513</v>
      </c>
      <c r="F1389">
        <v>417987.36</v>
      </c>
    </row>
    <row r="1390" spans="1:6" x14ac:dyDescent="0.3">
      <c r="A1390">
        <v>2025</v>
      </c>
      <c r="B1390">
        <v>6</v>
      </c>
      <c r="C1390" t="s">
        <v>42</v>
      </c>
      <c r="D1390" t="s">
        <v>27</v>
      </c>
      <c r="E1390">
        <v>183</v>
      </c>
      <c r="F1390">
        <v>166894</v>
      </c>
    </row>
    <row r="1391" spans="1:6" x14ac:dyDescent="0.3">
      <c r="A1391">
        <v>2025</v>
      </c>
      <c r="B1391">
        <v>6</v>
      </c>
      <c r="C1391" t="s">
        <v>42</v>
      </c>
      <c r="D1391" t="s">
        <v>28</v>
      </c>
      <c r="E1391">
        <v>216</v>
      </c>
      <c r="F1391">
        <v>192869.5</v>
      </c>
    </row>
    <row r="1392" spans="1:6" x14ac:dyDescent="0.3">
      <c r="A1392">
        <v>2025</v>
      </c>
      <c r="B1392">
        <v>6</v>
      </c>
      <c r="C1392" t="s">
        <v>42</v>
      </c>
      <c r="D1392" t="s">
        <v>29</v>
      </c>
      <c r="E1392">
        <v>420</v>
      </c>
      <c r="F1392">
        <v>332278.76</v>
      </c>
    </row>
    <row r="1393" spans="1:6" x14ac:dyDescent="0.3">
      <c r="A1393">
        <v>2025</v>
      </c>
      <c r="B1393">
        <v>6</v>
      </c>
      <c r="C1393" t="s">
        <v>42</v>
      </c>
      <c r="D1393" t="s">
        <v>30</v>
      </c>
      <c r="E1393">
        <v>110</v>
      </c>
      <c r="F1393">
        <v>85529.67</v>
      </c>
    </row>
    <row r="1394" spans="1:6" x14ac:dyDescent="0.3">
      <c r="A1394">
        <v>2025</v>
      </c>
      <c r="B1394">
        <v>6</v>
      </c>
      <c r="C1394" t="s">
        <v>42</v>
      </c>
      <c r="D1394" t="s">
        <v>31</v>
      </c>
      <c r="E1394">
        <v>1512</v>
      </c>
      <c r="F1394">
        <v>1406140.7</v>
      </c>
    </row>
    <row r="1395" spans="1:6" x14ac:dyDescent="0.3">
      <c r="A1395">
        <v>2025</v>
      </c>
      <c r="B1395">
        <v>6</v>
      </c>
      <c r="C1395" t="s">
        <v>42</v>
      </c>
      <c r="D1395" t="s">
        <v>51</v>
      </c>
      <c r="E1395">
        <v>877</v>
      </c>
      <c r="F1395">
        <v>614925.63</v>
      </c>
    </row>
    <row r="1396" spans="1:6" x14ac:dyDescent="0.3">
      <c r="A1396">
        <v>2025</v>
      </c>
      <c r="B1396">
        <v>6</v>
      </c>
      <c r="C1396" t="s">
        <v>42</v>
      </c>
      <c r="D1396" t="s">
        <v>32</v>
      </c>
      <c r="E1396">
        <v>1059</v>
      </c>
      <c r="F1396">
        <v>815754.19</v>
      </c>
    </row>
    <row r="1397" spans="1:6" x14ac:dyDescent="0.3">
      <c r="A1397">
        <v>2025</v>
      </c>
      <c r="B1397">
        <v>6</v>
      </c>
      <c r="C1397" t="s">
        <v>42</v>
      </c>
      <c r="D1397" t="s">
        <v>52</v>
      </c>
      <c r="E1397">
        <v>836</v>
      </c>
      <c r="F1397">
        <v>708761.65</v>
      </c>
    </row>
    <row r="1398" spans="1:6" x14ac:dyDescent="0.3">
      <c r="A1398">
        <v>2025</v>
      </c>
      <c r="B1398">
        <v>6</v>
      </c>
      <c r="C1398" t="s">
        <v>42</v>
      </c>
      <c r="D1398" t="s">
        <v>33</v>
      </c>
      <c r="E1398">
        <v>1346</v>
      </c>
      <c r="F1398">
        <v>1220027.3999999999</v>
      </c>
    </row>
    <row r="1399" spans="1:6" x14ac:dyDescent="0.3">
      <c r="A1399">
        <v>2025</v>
      </c>
      <c r="B1399">
        <v>6</v>
      </c>
      <c r="C1399" t="s">
        <v>42</v>
      </c>
      <c r="D1399" t="s">
        <v>58</v>
      </c>
      <c r="E1399">
        <v>713</v>
      </c>
      <c r="F1399">
        <v>543570.17000000004</v>
      </c>
    </row>
    <row r="1400" spans="1:6" x14ac:dyDescent="0.3">
      <c r="A1400">
        <v>2025</v>
      </c>
      <c r="B1400">
        <v>6</v>
      </c>
      <c r="C1400" t="s">
        <v>42</v>
      </c>
      <c r="D1400" t="s">
        <v>34</v>
      </c>
      <c r="E1400">
        <v>1023</v>
      </c>
      <c r="F1400">
        <v>844320.76</v>
      </c>
    </row>
    <row r="1401" spans="1:6" x14ac:dyDescent="0.3">
      <c r="A1401">
        <v>2025</v>
      </c>
      <c r="B1401">
        <v>6</v>
      </c>
      <c r="C1401" t="s">
        <v>42</v>
      </c>
      <c r="D1401" t="s">
        <v>56</v>
      </c>
      <c r="E1401">
        <v>841</v>
      </c>
      <c r="F1401">
        <v>689338.85</v>
      </c>
    </row>
    <row r="1402" spans="1:6" x14ac:dyDescent="0.3">
      <c r="A1402">
        <v>2025</v>
      </c>
      <c r="B1402">
        <v>6</v>
      </c>
      <c r="C1402" t="s">
        <v>42</v>
      </c>
      <c r="D1402" t="s">
        <v>57</v>
      </c>
      <c r="E1402">
        <v>865</v>
      </c>
      <c r="F1402">
        <v>699894.49</v>
      </c>
    </row>
    <row r="1403" spans="1:6" x14ac:dyDescent="0.3">
      <c r="A1403">
        <v>2025</v>
      </c>
      <c r="B1403">
        <v>6</v>
      </c>
      <c r="C1403" t="s">
        <v>42</v>
      </c>
      <c r="D1403" t="s">
        <v>49</v>
      </c>
      <c r="E1403">
        <v>415</v>
      </c>
      <c r="F1403">
        <v>318749.39</v>
      </c>
    </row>
    <row r="1404" spans="1:6" x14ac:dyDescent="0.3">
      <c r="A1404">
        <v>2025</v>
      </c>
      <c r="B1404">
        <v>6</v>
      </c>
      <c r="C1404" t="s">
        <v>42</v>
      </c>
      <c r="D1404" t="s">
        <v>53</v>
      </c>
      <c r="E1404">
        <v>674</v>
      </c>
      <c r="F1404">
        <v>497775.2</v>
      </c>
    </row>
    <row r="1405" spans="1:6" x14ac:dyDescent="0.3">
      <c r="A1405">
        <v>2025</v>
      </c>
      <c r="B1405">
        <v>6</v>
      </c>
      <c r="C1405" t="s">
        <v>42</v>
      </c>
      <c r="D1405" t="s">
        <v>35</v>
      </c>
      <c r="E1405">
        <v>651</v>
      </c>
      <c r="F1405">
        <v>533506.93000000005</v>
      </c>
    </row>
    <row r="1406" spans="1:6" x14ac:dyDescent="0.3">
      <c r="A1406">
        <v>2025</v>
      </c>
      <c r="B1406">
        <v>6</v>
      </c>
      <c r="C1406" t="s">
        <v>42</v>
      </c>
      <c r="D1406" t="s">
        <v>36</v>
      </c>
      <c r="E1406">
        <v>162</v>
      </c>
      <c r="F1406">
        <v>123500.02</v>
      </c>
    </row>
    <row r="1407" spans="1:6" x14ac:dyDescent="0.3">
      <c r="A1407">
        <v>2025</v>
      </c>
      <c r="B1407">
        <v>6</v>
      </c>
      <c r="C1407" t="s">
        <v>42</v>
      </c>
      <c r="D1407" t="s">
        <v>37</v>
      </c>
      <c r="E1407">
        <v>858</v>
      </c>
      <c r="F1407">
        <v>679933.3</v>
      </c>
    </row>
    <row r="1408" spans="1:6" x14ac:dyDescent="0.3">
      <c r="A1408">
        <v>2025</v>
      </c>
      <c r="B1408">
        <v>7</v>
      </c>
      <c r="C1408" t="s">
        <v>43</v>
      </c>
      <c r="D1408" t="s">
        <v>7</v>
      </c>
      <c r="E1408">
        <v>1026</v>
      </c>
      <c r="F1408">
        <v>866262.55</v>
      </c>
    </row>
    <row r="1409" spans="1:6" x14ac:dyDescent="0.3">
      <c r="A1409">
        <v>2025</v>
      </c>
      <c r="B1409">
        <v>7</v>
      </c>
      <c r="C1409" t="s">
        <v>43</v>
      </c>
      <c r="D1409" t="s">
        <v>8</v>
      </c>
      <c r="E1409">
        <v>1090</v>
      </c>
      <c r="F1409">
        <v>782429.16</v>
      </c>
    </row>
    <row r="1410" spans="1:6" x14ac:dyDescent="0.3">
      <c r="A1410">
        <v>2025</v>
      </c>
      <c r="B1410">
        <v>7</v>
      </c>
      <c r="C1410" t="s">
        <v>43</v>
      </c>
      <c r="D1410" t="s">
        <v>9</v>
      </c>
      <c r="E1410">
        <v>154</v>
      </c>
      <c r="F1410">
        <v>112712</v>
      </c>
    </row>
    <row r="1411" spans="1:6" x14ac:dyDescent="0.3">
      <c r="A1411">
        <v>2025</v>
      </c>
      <c r="B1411">
        <v>7</v>
      </c>
      <c r="C1411" t="s">
        <v>43</v>
      </c>
      <c r="D1411" t="s">
        <v>10</v>
      </c>
      <c r="E1411">
        <v>940</v>
      </c>
      <c r="F1411">
        <v>795069.5</v>
      </c>
    </row>
    <row r="1412" spans="1:6" x14ac:dyDescent="0.3">
      <c r="A1412">
        <v>2025</v>
      </c>
      <c r="B1412">
        <v>7</v>
      </c>
      <c r="C1412" t="s">
        <v>43</v>
      </c>
      <c r="D1412" t="s">
        <v>11</v>
      </c>
      <c r="E1412">
        <v>361</v>
      </c>
      <c r="F1412">
        <v>295528</v>
      </c>
    </row>
    <row r="1413" spans="1:6" x14ac:dyDescent="0.3">
      <c r="A1413">
        <v>2025</v>
      </c>
      <c r="B1413">
        <v>7</v>
      </c>
      <c r="C1413" t="s">
        <v>43</v>
      </c>
      <c r="D1413" t="s">
        <v>59</v>
      </c>
      <c r="E1413">
        <v>715</v>
      </c>
      <c r="F1413">
        <v>619173.80000000005</v>
      </c>
    </row>
    <row r="1414" spans="1:6" x14ac:dyDescent="0.3">
      <c r="A1414">
        <v>2025</v>
      </c>
      <c r="B1414">
        <v>7</v>
      </c>
      <c r="C1414" t="s">
        <v>43</v>
      </c>
      <c r="D1414" t="s">
        <v>12</v>
      </c>
      <c r="E1414">
        <v>270</v>
      </c>
      <c r="F1414">
        <v>282527.95</v>
      </c>
    </row>
    <row r="1415" spans="1:6" x14ac:dyDescent="0.3">
      <c r="A1415">
        <v>2025</v>
      </c>
      <c r="B1415">
        <v>7</v>
      </c>
      <c r="C1415" t="s">
        <v>43</v>
      </c>
      <c r="D1415" t="s">
        <v>13</v>
      </c>
      <c r="E1415">
        <v>220</v>
      </c>
      <c r="F1415">
        <v>231711</v>
      </c>
    </row>
    <row r="1416" spans="1:6" x14ac:dyDescent="0.3">
      <c r="A1416">
        <v>2025</v>
      </c>
      <c r="B1416">
        <v>7</v>
      </c>
      <c r="C1416" t="s">
        <v>43</v>
      </c>
      <c r="D1416" t="s">
        <v>14</v>
      </c>
      <c r="E1416">
        <v>400</v>
      </c>
      <c r="F1416">
        <v>278798.92</v>
      </c>
    </row>
    <row r="1417" spans="1:6" x14ac:dyDescent="0.3">
      <c r="A1417">
        <v>2025</v>
      </c>
      <c r="B1417">
        <v>7</v>
      </c>
      <c r="C1417" t="s">
        <v>43</v>
      </c>
      <c r="D1417" t="s">
        <v>15</v>
      </c>
      <c r="E1417">
        <v>92</v>
      </c>
      <c r="F1417">
        <v>76443.38</v>
      </c>
    </row>
    <row r="1418" spans="1:6" x14ac:dyDescent="0.3">
      <c r="A1418">
        <v>2025</v>
      </c>
      <c r="B1418">
        <v>7</v>
      </c>
      <c r="C1418" t="s">
        <v>43</v>
      </c>
      <c r="D1418" t="s">
        <v>16</v>
      </c>
      <c r="E1418">
        <v>88</v>
      </c>
      <c r="F1418">
        <v>59701</v>
      </c>
    </row>
    <row r="1419" spans="1:6" x14ac:dyDescent="0.3">
      <c r="A1419">
        <v>2025</v>
      </c>
      <c r="B1419">
        <v>7</v>
      </c>
      <c r="C1419" t="s">
        <v>43</v>
      </c>
      <c r="D1419" t="s">
        <v>54</v>
      </c>
      <c r="E1419">
        <v>1087</v>
      </c>
      <c r="F1419">
        <v>881048.12</v>
      </c>
    </row>
    <row r="1420" spans="1:6" x14ac:dyDescent="0.3">
      <c r="A1420">
        <v>2025</v>
      </c>
      <c r="B1420">
        <v>7</v>
      </c>
      <c r="C1420" t="s">
        <v>43</v>
      </c>
      <c r="D1420" t="s">
        <v>17</v>
      </c>
      <c r="E1420">
        <v>2398</v>
      </c>
      <c r="F1420">
        <v>2028777.37</v>
      </c>
    </row>
    <row r="1421" spans="1:6" x14ac:dyDescent="0.3">
      <c r="A1421">
        <v>2025</v>
      </c>
      <c r="B1421">
        <v>7</v>
      </c>
      <c r="C1421" t="s">
        <v>43</v>
      </c>
      <c r="D1421" t="s">
        <v>18</v>
      </c>
      <c r="E1421">
        <v>1000</v>
      </c>
      <c r="F1421">
        <v>799525.49</v>
      </c>
    </row>
    <row r="1422" spans="1:6" x14ac:dyDescent="0.3">
      <c r="A1422">
        <v>2025</v>
      </c>
      <c r="B1422">
        <v>7</v>
      </c>
      <c r="C1422" t="s">
        <v>43</v>
      </c>
      <c r="D1422" t="s">
        <v>50</v>
      </c>
      <c r="E1422">
        <v>1156</v>
      </c>
      <c r="F1422">
        <v>924179.7</v>
      </c>
    </row>
    <row r="1423" spans="1:6" x14ac:dyDescent="0.3">
      <c r="A1423">
        <v>2025</v>
      </c>
      <c r="B1423">
        <v>7</v>
      </c>
      <c r="C1423" t="s">
        <v>43</v>
      </c>
      <c r="D1423" t="s">
        <v>55</v>
      </c>
      <c r="E1423">
        <v>849</v>
      </c>
      <c r="F1423">
        <v>639075.56999999995</v>
      </c>
    </row>
    <row r="1424" spans="1:6" x14ac:dyDescent="0.3">
      <c r="A1424">
        <v>2025</v>
      </c>
      <c r="B1424">
        <v>7</v>
      </c>
      <c r="C1424" t="s">
        <v>43</v>
      </c>
      <c r="D1424" t="s">
        <v>19</v>
      </c>
      <c r="E1424">
        <v>132</v>
      </c>
      <c r="F1424">
        <v>97728.320000000007</v>
      </c>
    </row>
    <row r="1425" spans="1:6" x14ac:dyDescent="0.3">
      <c r="A1425">
        <v>2025</v>
      </c>
      <c r="B1425">
        <v>7</v>
      </c>
      <c r="C1425" t="s">
        <v>43</v>
      </c>
      <c r="D1425" t="s">
        <v>20</v>
      </c>
      <c r="E1425">
        <v>598</v>
      </c>
      <c r="F1425">
        <v>489593.63</v>
      </c>
    </row>
    <row r="1426" spans="1:6" x14ac:dyDescent="0.3">
      <c r="A1426">
        <v>2025</v>
      </c>
      <c r="B1426">
        <v>7</v>
      </c>
      <c r="C1426" t="s">
        <v>43</v>
      </c>
      <c r="D1426" t="s">
        <v>21</v>
      </c>
      <c r="E1426">
        <v>799</v>
      </c>
      <c r="F1426">
        <v>637890.09</v>
      </c>
    </row>
    <row r="1427" spans="1:6" x14ac:dyDescent="0.3">
      <c r="A1427">
        <v>2025</v>
      </c>
      <c r="B1427">
        <v>7</v>
      </c>
      <c r="C1427" t="s">
        <v>43</v>
      </c>
      <c r="D1427" t="s">
        <v>22</v>
      </c>
      <c r="E1427">
        <v>265</v>
      </c>
      <c r="F1427">
        <v>185248.13</v>
      </c>
    </row>
    <row r="1428" spans="1:6" x14ac:dyDescent="0.3">
      <c r="A1428">
        <v>2025</v>
      </c>
      <c r="B1428">
        <v>7</v>
      </c>
      <c r="C1428" t="s">
        <v>43</v>
      </c>
      <c r="D1428" t="s">
        <v>23</v>
      </c>
      <c r="E1428">
        <v>769</v>
      </c>
      <c r="F1428">
        <v>687105.86</v>
      </c>
    </row>
    <row r="1429" spans="1:6" x14ac:dyDescent="0.3">
      <c r="A1429">
        <v>2025</v>
      </c>
      <c r="B1429">
        <v>7</v>
      </c>
      <c r="C1429" t="s">
        <v>43</v>
      </c>
      <c r="D1429" t="s">
        <v>24</v>
      </c>
      <c r="E1429">
        <v>343</v>
      </c>
      <c r="F1429">
        <v>244006.31</v>
      </c>
    </row>
    <row r="1430" spans="1:6" x14ac:dyDescent="0.3">
      <c r="A1430">
        <v>2025</v>
      </c>
      <c r="B1430">
        <v>7</v>
      </c>
      <c r="C1430" t="s">
        <v>43</v>
      </c>
      <c r="D1430" t="s">
        <v>25</v>
      </c>
      <c r="E1430">
        <v>675</v>
      </c>
      <c r="F1430">
        <v>511849.84</v>
      </c>
    </row>
    <row r="1431" spans="1:6" x14ac:dyDescent="0.3">
      <c r="A1431">
        <v>2025</v>
      </c>
      <c r="B1431">
        <v>7</v>
      </c>
      <c r="C1431" t="s">
        <v>43</v>
      </c>
      <c r="D1431" t="s">
        <v>26</v>
      </c>
      <c r="E1431">
        <v>859</v>
      </c>
      <c r="F1431">
        <v>680950.08</v>
      </c>
    </row>
    <row r="1432" spans="1:6" x14ac:dyDescent="0.3">
      <c r="A1432">
        <v>2025</v>
      </c>
      <c r="B1432">
        <v>7</v>
      </c>
      <c r="C1432" t="s">
        <v>43</v>
      </c>
      <c r="D1432" t="s">
        <v>27</v>
      </c>
      <c r="E1432">
        <v>141</v>
      </c>
      <c r="F1432">
        <v>157879</v>
      </c>
    </row>
    <row r="1433" spans="1:6" x14ac:dyDescent="0.3">
      <c r="A1433">
        <v>2025</v>
      </c>
      <c r="B1433">
        <v>7</v>
      </c>
      <c r="C1433" t="s">
        <v>43</v>
      </c>
      <c r="D1433" t="s">
        <v>28</v>
      </c>
      <c r="E1433">
        <v>400</v>
      </c>
      <c r="F1433">
        <v>332177.03999999998</v>
      </c>
    </row>
    <row r="1434" spans="1:6" x14ac:dyDescent="0.3">
      <c r="A1434">
        <v>2025</v>
      </c>
      <c r="B1434">
        <v>7</v>
      </c>
      <c r="C1434" t="s">
        <v>43</v>
      </c>
      <c r="D1434" t="s">
        <v>29</v>
      </c>
      <c r="E1434">
        <v>429</v>
      </c>
      <c r="F1434">
        <v>344005.5</v>
      </c>
    </row>
    <row r="1435" spans="1:6" x14ac:dyDescent="0.3">
      <c r="A1435">
        <v>2025</v>
      </c>
      <c r="B1435">
        <v>7</v>
      </c>
      <c r="C1435" t="s">
        <v>43</v>
      </c>
      <c r="D1435" t="s">
        <v>30</v>
      </c>
      <c r="E1435">
        <v>109</v>
      </c>
      <c r="F1435">
        <v>84068</v>
      </c>
    </row>
    <row r="1436" spans="1:6" x14ac:dyDescent="0.3">
      <c r="A1436">
        <v>2025</v>
      </c>
      <c r="B1436">
        <v>7</v>
      </c>
      <c r="C1436" t="s">
        <v>43</v>
      </c>
      <c r="D1436" t="s">
        <v>31</v>
      </c>
      <c r="E1436">
        <v>1229</v>
      </c>
      <c r="F1436">
        <v>1090866.3799999999</v>
      </c>
    </row>
    <row r="1437" spans="1:6" x14ac:dyDescent="0.3">
      <c r="A1437">
        <v>2025</v>
      </c>
      <c r="B1437">
        <v>7</v>
      </c>
      <c r="C1437" t="s">
        <v>43</v>
      </c>
      <c r="D1437" t="s">
        <v>51</v>
      </c>
      <c r="E1437">
        <v>802</v>
      </c>
      <c r="F1437">
        <v>552835.89</v>
      </c>
    </row>
    <row r="1438" spans="1:6" x14ac:dyDescent="0.3">
      <c r="A1438">
        <v>2025</v>
      </c>
      <c r="B1438">
        <v>7</v>
      </c>
      <c r="C1438" t="s">
        <v>43</v>
      </c>
      <c r="D1438" t="s">
        <v>32</v>
      </c>
      <c r="E1438">
        <v>670</v>
      </c>
      <c r="F1438">
        <v>509924.67</v>
      </c>
    </row>
    <row r="1439" spans="1:6" x14ac:dyDescent="0.3">
      <c r="A1439">
        <v>2025</v>
      </c>
      <c r="B1439">
        <v>7</v>
      </c>
      <c r="C1439" t="s">
        <v>43</v>
      </c>
      <c r="D1439" t="s">
        <v>52</v>
      </c>
      <c r="E1439">
        <v>621</v>
      </c>
      <c r="F1439">
        <v>513632</v>
      </c>
    </row>
    <row r="1440" spans="1:6" x14ac:dyDescent="0.3">
      <c r="A1440">
        <v>2025</v>
      </c>
      <c r="B1440">
        <v>7</v>
      </c>
      <c r="C1440" t="s">
        <v>43</v>
      </c>
      <c r="D1440" t="s">
        <v>33</v>
      </c>
      <c r="E1440">
        <v>1017</v>
      </c>
      <c r="F1440">
        <v>903284.39</v>
      </c>
    </row>
    <row r="1441" spans="1:6" x14ac:dyDescent="0.3">
      <c r="A1441">
        <v>2025</v>
      </c>
      <c r="B1441">
        <v>7</v>
      </c>
      <c r="C1441" t="s">
        <v>43</v>
      </c>
      <c r="D1441" t="s">
        <v>58</v>
      </c>
      <c r="E1441">
        <v>544</v>
      </c>
      <c r="F1441">
        <v>425480.18</v>
      </c>
    </row>
    <row r="1442" spans="1:6" x14ac:dyDescent="0.3">
      <c r="A1442">
        <v>2025</v>
      </c>
      <c r="B1442">
        <v>7</v>
      </c>
      <c r="C1442" t="s">
        <v>43</v>
      </c>
      <c r="D1442" t="s">
        <v>34</v>
      </c>
      <c r="E1442">
        <v>791</v>
      </c>
      <c r="F1442">
        <v>648822.94999999995</v>
      </c>
    </row>
    <row r="1443" spans="1:6" x14ac:dyDescent="0.3">
      <c r="A1443">
        <v>2025</v>
      </c>
      <c r="B1443">
        <v>7</v>
      </c>
      <c r="C1443" t="s">
        <v>43</v>
      </c>
      <c r="D1443" t="s">
        <v>56</v>
      </c>
      <c r="E1443">
        <v>789</v>
      </c>
      <c r="F1443">
        <v>653440.48</v>
      </c>
    </row>
    <row r="1444" spans="1:6" x14ac:dyDescent="0.3">
      <c r="A1444">
        <v>2025</v>
      </c>
      <c r="B1444">
        <v>7</v>
      </c>
      <c r="C1444" t="s">
        <v>43</v>
      </c>
      <c r="D1444" t="s">
        <v>57</v>
      </c>
      <c r="E1444">
        <v>844</v>
      </c>
      <c r="F1444">
        <v>692526.39</v>
      </c>
    </row>
    <row r="1445" spans="1:6" x14ac:dyDescent="0.3">
      <c r="A1445">
        <v>2025</v>
      </c>
      <c r="B1445">
        <v>7</v>
      </c>
      <c r="C1445" t="s">
        <v>43</v>
      </c>
      <c r="D1445" t="s">
        <v>49</v>
      </c>
      <c r="E1445">
        <v>518</v>
      </c>
      <c r="F1445">
        <v>397855.4</v>
      </c>
    </row>
    <row r="1446" spans="1:6" x14ac:dyDescent="0.3">
      <c r="A1446">
        <v>2025</v>
      </c>
      <c r="B1446">
        <v>7</v>
      </c>
      <c r="C1446" t="s">
        <v>43</v>
      </c>
      <c r="D1446" t="s">
        <v>53</v>
      </c>
      <c r="E1446">
        <v>554</v>
      </c>
      <c r="F1446">
        <v>415891.93</v>
      </c>
    </row>
    <row r="1447" spans="1:6" x14ac:dyDescent="0.3">
      <c r="A1447">
        <v>2025</v>
      </c>
      <c r="B1447">
        <v>7</v>
      </c>
      <c r="C1447" t="s">
        <v>43</v>
      </c>
      <c r="D1447" t="s">
        <v>35</v>
      </c>
      <c r="E1447">
        <v>628</v>
      </c>
      <c r="F1447">
        <v>528708.72</v>
      </c>
    </row>
    <row r="1448" spans="1:6" x14ac:dyDescent="0.3">
      <c r="A1448">
        <v>2025</v>
      </c>
      <c r="B1448">
        <v>7</v>
      </c>
      <c r="C1448" t="s">
        <v>43</v>
      </c>
      <c r="D1448" t="s">
        <v>36</v>
      </c>
      <c r="E1448">
        <v>129</v>
      </c>
      <c r="F1448">
        <v>116621.24</v>
      </c>
    </row>
    <row r="1449" spans="1:6" x14ac:dyDescent="0.3">
      <c r="A1449">
        <v>2025</v>
      </c>
      <c r="B1449">
        <v>7</v>
      </c>
      <c r="C1449" t="s">
        <v>43</v>
      </c>
      <c r="D1449" t="s">
        <v>37</v>
      </c>
      <c r="E1449">
        <v>962</v>
      </c>
      <c r="F1449">
        <v>739857.73</v>
      </c>
    </row>
    <row r="1450" spans="1:6" x14ac:dyDescent="0.3">
      <c r="A1450">
        <v>2025</v>
      </c>
      <c r="B1450">
        <v>8</v>
      </c>
      <c r="C1450" t="s">
        <v>44</v>
      </c>
      <c r="D1450" t="s">
        <v>7</v>
      </c>
      <c r="E1450">
        <v>795</v>
      </c>
      <c r="F1450">
        <v>678743.82</v>
      </c>
    </row>
    <row r="1451" spans="1:6" x14ac:dyDescent="0.3">
      <c r="A1451">
        <v>2025</v>
      </c>
      <c r="B1451">
        <v>8</v>
      </c>
      <c r="C1451" t="s">
        <v>44</v>
      </c>
      <c r="D1451" t="s">
        <v>8</v>
      </c>
      <c r="E1451">
        <v>544</v>
      </c>
      <c r="F1451">
        <v>425123.73</v>
      </c>
    </row>
    <row r="1452" spans="1:6" x14ac:dyDescent="0.3">
      <c r="A1452">
        <v>2025</v>
      </c>
      <c r="B1452">
        <v>8</v>
      </c>
      <c r="C1452" t="s">
        <v>44</v>
      </c>
      <c r="D1452" t="s">
        <v>9</v>
      </c>
      <c r="E1452">
        <v>58</v>
      </c>
      <c r="F1452">
        <v>55828</v>
      </c>
    </row>
    <row r="1453" spans="1:6" x14ac:dyDescent="0.3">
      <c r="A1453">
        <v>2025</v>
      </c>
      <c r="B1453">
        <v>8</v>
      </c>
      <c r="C1453" t="s">
        <v>44</v>
      </c>
      <c r="D1453" t="s">
        <v>10</v>
      </c>
      <c r="E1453">
        <v>450</v>
      </c>
      <c r="F1453">
        <v>386675</v>
      </c>
    </row>
    <row r="1454" spans="1:6" x14ac:dyDescent="0.3">
      <c r="A1454">
        <v>2025</v>
      </c>
      <c r="B1454">
        <v>8</v>
      </c>
      <c r="C1454" t="s">
        <v>44</v>
      </c>
      <c r="D1454" t="s">
        <v>11</v>
      </c>
      <c r="E1454">
        <v>340</v>
      </c>
      <c r="F1454">
        <v>280505.15000000002</v>
      </c>
    </row>
    <row r="1455" spans="1:6" x14ac:dyDescent="0.3">
      <c r="A1455">
        <v>2025</v>
      </c>
      <c r="B1455">
        <v>8</v>
      </c>
      <c r="C1455" t="s">
        <v>44</v>
      </c>
      <c r="D1455" t="s">
        <v>59</v>
      </c>
      <c r="E1455">
        <v>220</v>
      </c>
      <c r="F1455">
        <v>190728</v>
      </c>
    </row>
    <row r="1456" spans="1:6" x14ac:dyDescent="0.3">
      <c r="A1456">
        <v>2025</v>
      </c>
      <c r="B1456">
        <v>8</v>
      </c>
      <c r="C1456" t="s">
        <v>44</v>
      </c>
      <c r="D1456" t="s">
        <v>12</v>
      </c>
      <c r="E1456">
        <v>761</v>
      </c>
      <c r="F1456">
        <v>659013.14</v>
      </c>
    </row>
    <row r="1457" spans="1:6" x14ac:dyDescent="0.3">
      <c r="A1457">
        <v>2025</v>
      </c>
      <c r="B1457">
        <v>8</v>
      </c>
      <c r="C1457" t="s">
        <v>44</v>
      </c>
      <c r="D1457" t="s">
        <v>13</v>
      </c>
      <c r="E1457">
        <v>281</v>
      </c>
      <c r="F1457">
        <v>231773.85</v>
      </c>
    </row>
    <row r="1458" spans="1:6" x14ac:dyDescent="0.3">
      <c r="A1458">
        <v>2025</v>
      </c>
      <c r="B1458">
        <v>8</v>
      </c>
      <c r="C1458" t="s">
        <v>44</v>
      </c>
      <c r="D1458" t="s">
        <v>14</v>
      </c>
      <c r="E1458">
        <v>587</v>
      </c>
      <c r="F1458">
        <v>440458.75</v>
      </c>
    </row>
    <row r="1459" spans="1:6" x14ac:dyDescent="0.3">
      <c r="A1459">
        <v>2025</v>
      </c>
      <c r="B1459">
        <v>8</v>
      </c>
      <c r="C1459" t="s">
        <v>44</v>
      </c>
      <c r="D1459" t="s">
        <v>15</v>
      </c>
      <c r="E1459">
        <v>69</v>
      </c>
      <c r="F1459">
        <v>66386</v>
      </c>
    </row>
    <row r="1460" spans="1:6" x14ac:dyDescent="0.3">
      <c r="A1460">
        <v>2025</v>
      </c>
      <c r="B1460">
        <v>8</v>
      </c>
      <c r="C1460" t="s">
        <v>44</v>
      </c>
      <c r="D1460" t="s">
        <v>16</v>
      </c>
      <c r="E1460">
        <v>115</v>
      </c>
      <c r="F1460">
        <v>84520.76</v>
      </c>
    </row>
    <row r="1461" spans="1:6" x14ac:dyDescent="0.3">
      <c r="A1461">
        <v>2025</v>
      </c>
      <c r="B1461">
        <v>8</v>
      </c>
      <c r="C1461" t="s">
        <v>44</v>
      </c>
      <c r="D1461" t="s">
        <v>54</v>
      </c>
      <c r="E1461">
        <v>606</v>
      </c>
      <c r="F1461">
        <v>545375.21</v>
      </c>
    </row>
    <row r="1462" spans="1:6" x14ac:dyDescent="0.3">
      <c r="A1462">
        <v>2025</v>
      </c>
      <c r="B1462">
        <v>8</v>
      </c>
      <c r="C1462" t="s">
        <v>44</v>
      </c>
      <c r="D1462" t="s">
        <v>17</v>
      </c>
      <c r="E1462">
        <v>1983</v>
      </c>
      <c r="F1462">
        <v>1697451.57</v>
      </c>
    </row>
    <row r="1463" spans="1:6" x14ac:dyDescent="0.3">
      <c r="A1463">
        <v>2025</v>
      </c>
      <c r="B1463">
        <v>8</v>
      </c>
      <c r="C1463" t="s">
        <v>44</v>
      </c>
      <c r="D1463" t="s">
        <v>18</v>
      </c>
      <c r="E1463">
        <v>592</v>
      </c>
      <c r="F1463">
        <v>515227.76</v>
      </c>
    </row>
    <row r="1464" spans="1:6" x14ac:dyDescent="0.3">
      <c r="A1464">
        <v>2025</v>
      </c>
      <c r="B1464">
        <v>8</v>
      </c>
      <c r="C1464" t="s">
        <v>44</v>
      </c>
      <c r="D1464" t="s">
        <v>50</v>
      </c>
      <c r="E1464">
        <v>395</v>
      </c>
      <c r="F1464">
        <v>309586.21000000002</v>
      </c>
    </row>
    <row r="1465" spans="1:6" x14ac:dyDescent="0.3">
      <c r="A1465">
        <v>2025</v>
      </c>
      <c r="B1465">
        <v>8</v>
      </c>
      <c r="C1465" t="s">
        <v>44</v>
      </c>
      <c r="D1465" t="s">
        <v>55</v>
      </c>
      <c r="E1465">
        <v>312</v>
      </c>
      <c r="F1465">
        <v>227993.89</v>
      </c>
    </row>
    <row r="1466" spans="1:6" x14ac:dyDescent="0.3">
      <c r="A1466">
        <v>2025</v>
      </c>
      <c r="B1466">
        <v>8</v>
      </c>
      <c r="C1466" t="s">
        <v>44</v>
      </c>
      <c r="D1466" t="s">
        <v>19</v>
      </c>
      <c r="E1466">
        <v>440</v>
      </c>
      <c r="F1466">
        <v>280961.01</v>
      </c>
    </row>
    <row r="1467" spans="1:6" x14ac:dyDescent="0.3">
      <c r="A1467">
        <v>2025</v>
      </c>
      <c r="B1467">
        <v>8</v>
      </c>
      <c r="C1467" t="s">
        <v>44</v>
      </c>
      <c r="D1467" t="s">
        <v>20</v>
      </c>
      <c r="E1467">
        <v>291</v>
      </c>
      <c r="F1467">
        <v>245691</v>
      </c>
    </row>
    <row r="1468" spans="1:6" x14ac:dyDescent="0.3">
      <c r="A1468">
        <v>2025</v>
      </c>
      <c r="B1468">
        <v>8</v>
      </c>
      <c r="C1468" t="s">
        <v>44</v>
      </c>
      <c r="D1468" t="s">
        <v>21</v>
      </c>
      <c r="E1468">
        <v>493</v>
      </c>
      <c r="F1468">
        <v>420448.75</v>
      </c>
    </row>
    <row r="1469" spans="1:6" x14ac:dyDescent="0.3">
      <c r="A1469">
        <v>2025</v>
      </c>
      <c r="B1469">
        <v>8</v>
      </c>
      <c r="C1469" t="s">
        <v>44</v>
      </c>
      <c r="D1469" t="s">
        <v>22</v>
      </c>
      <c r="E1469">
        <v>167</v>
      </c>
      <c r="F1469">
        <v>119084.51</v>
      </c>
    </row>
    <row r="1470" spans="1:6" x14ac:dyDescent="0.3">
      <c r="A1470">
        <v>2025</v>
      </c>
      <c r="B1470">
        <v>8</v>
      </c>
      <c r="C1470" t="s">
        <v>44</v>
      </c>
      <c r="D1470" t="s">
        <v>23</v>
      </c>
      <c r="E1470">
        <v>450</v>
      </c>
      <c r="F1470">
        <v>410592</v>
      </c>
    </row>
    <row r="1471" spans="1:6" x14ac:dyDescent="0.3">
      <c r="A1471">
        <v>2025</v>
      </c>
      <c r="B1471">
        <v>8</v>
      </c>
      <c r="C1471" t="s">
        <v>44</v>
      </c>
      <c r="D1471" t="s">
        <v>24</v>
      </c>
      <c r="E1471">
        <v>478</v>
      </c>
      <c r="F1471">
        <v>375302.73</v>
      </c>
    </row>
    <row r="1472" spans="1:6" x14ac:dyDescent="0.3">
      <c r="A1472">
        <v>2025</v>
      </c>
      <c r="B1472">
        <v>8</v>
      </c>
      <c r="C1472" t="s">
        <v>44</v>
      </c>
      <c r="D1472" t="s">
        <v>25</v>
      </c>
      <c r="E1472">
        <v>438</v>
      </c>
      <c r="F1472">
        <v>352443.52</v>
      </c>
    </row>
    <row r="1473" spans="1:6" x14ac:dyDescent="0.3">
      <c r="A1473">
        <v>2025</v>
      </c>
      <c r="B1473">
        <v>8</v>
      </c>
      <c r="C1473" t="s">
        <v>44</v>
      </c>
      <c r="D1473" t="s">
        <v>26</v>
      </c>
      <c r="E1473">
        <v>669</v>
      </c>
      <c r="F1473">
        <v>528049</v>
      </c>
    </row>
    <row r="1474" spans="1:6" x14ac:dyDescent="0.3">
      <c r="A1474">
        <v>2025</v>
      </c>
      <c r="B1474">
        <v>8</v>
      </c>
      <c r="C1474" t="s">
        <v>44</v>
      </c>
      <c r="D1474" t="s">
        <v>27</v>
      </c>
      <c r="E1474">
        <v>127</v>
      </c>
      <c r="F1474">
        <v>151601</v>
      </c>
    </row>
    <row r="1475" spans="1:6" x14ac:dyDescent="0.3">
      <c r="A1475">
        <v>2025</v>
      </c>
      <c r="B1475">
        <v>8</v>
      </c>
      <c r="C1475" t="s">
        <v>44</v>
      </c>
      <c r="D1475" t="s">
        <v>28</v>
      </c>
      <c r="E1475">
        <v>312</v>
      </c>
      <c r="F1475">
        <v>255028.72</v>
      </c>
    </row>
    <row r="1476" spans="1:6" x14ac:dyDescent="0.3">
      <c r="A1476">
        <v>2025</v>
      </c>
      <c r="B1476">
        <v>8</v>
      </c>
      <c r="C1476" t="s">
        <v>44</v>
      </c>
      <c r="D1476" t="s">
        <v>29</v>
      </c>
      <c r="E1476">
        <v>392</v>
      </c>
      <c r="F1476">
        <v>309366.03999999998</v>
      </c>
    </row>
    <row r="1477" spans="1:6" x14ac:dyDescent="0.3">
      <c r="A1477">
        <v>2025</v>
      </c>
      <c r="B1477">
        <v>8</v>
      </c>
      <c r="C1477" t="s">
        <v>44</v>
      </c>
      <c r="D1477" t="s">
        <v>30</v>
      </c>
      <c r="E1477">
        <v>76</v>
      </c>
      <c r="F1477">
        <v>58673.5</v>
      </c>
    </row>
    <row r="1478" spans="1:6" x14ac:dyDescent="0.3">
      <c r="A1478">
        <v>2025</v>
      </c>
      <c r="B1478">
        <v>8</v>
      </c>
      <c r="C1478" t="s">
        <v>44</v>
      </c>
      <c r="D1478" t="s">
        <v>31</v>
      </c>
      <c r="E1478">
        <v>1094</v>
      </c>
      <c r="F1478">
        <v>976624.99</v>
      </c>
    </row>
    <row r="1479" spans="1:6" x14ac:dyDescent="0.3">
      <c r="A1479">
        <v>2025</v>
      </c>
      <c r="B1479">
        <v>8</v>
      </c>
      <c r="C1479" t="s">
        <v>44</v>
      </c>
      <c r="D1479" t="s">
        <v>51</v>
      </c>
      <c r="E1479">
        <v>198</v>
      </c>
      <c r="F1479">
        <v>157610</v>
      </c>
    </row>
    <row r="1480" spans="1:6" x14ac:dyDescent="0.3">
      <c r="A1480">
        <v>2025</v>
      </c>
      <c r="B1480">
        <v>8</v>
      </c>
      <c r="C1480" t="s">
        <v>44</v>
      </c>
      <c r="D1480" t="s">
        <v>32</v>
      </c>
      <c r="E1480">
        <v>178</v>
      </c>
      <c r="F1480">
        <v>131525.04999999999</v>
      </c>
    </row>
    <row r="1481" spans="1:6" x14ac:dyDescent="0.3">
      <c r="A1481">
        <v>2025</v>
      </c>
      <c r="B1481">
        <v>8</v>
      </c>
      <c r="C1481" t="s">
        <v>44</v>
      </c>
      <c r="D1481" t="s">
        <v>52</v>
      </c>
      <c r="E1481">
        <v>265</v>
      </c>
      <c r="F1481">
        <v>215379</v>
      </c>
    </row>
    <row r="1482" spans="1:6" x14ac:dyDescent="0.3">
      <c r="A1482">
        <v>2025</v>
      </c>
      <c r="B1482">
        <v>8</v>
      </c>
      <c r="C1482" t="s">
        <v>44</v>
      </c>
      <c r="D1482" t="s">
        <v>33</v>
      </c>
      <c r="E1482">
        <v>1178</v>
      </c>
      <c r="F1482">
        <v>1043649.62</v>
      </c>
    </row>
    <row r="1483" spans="1:6" x14ac:dyDescent="0.3">
      <c r="A1483">
        <v>2025</v>
      </c>
      <c r="B1483">
        <v>8</v>
      </c>
      <c r="C1483" t="s">
        <v>44</v>
      </c>
      <c r="D1483" t="s">
        <v>58</v>
      </c>
      <c r="E1483">
        <v>1178</v>
      </c>
      <c r="F1483">
        <v>983688.18</v>
      </c>
    </row>
    <row r="1484" spans="1:6" x14ac:dyDescent="0.3">
      <c r="A1484">
        <v>2025</v>
      </c>
      <c r="B1484">
        <v>8</v>
      </c>
      <c r="C1484" t="s">
        <v>44</v>
      </c>
      <c r="D1484" t="s">
        <v>34</v>
      </c>
      <c r="E1484">
        <v>502</v>
      </c>
      <c r="F1484">
        <v>376104.51</v>
      </c>
    </row>
    <row r="1485" spans="1:6" x14ac:dyDescent="0.3">
      <c r="A1485">
        <v>2025</v>
      </c>
      <c r="B1485">
        <v>8</v>
      </c>
      <c r="C1485" t="s">
        <v>44</v>
      </c>
      <c r="D1485" t="s">
        <v>56</v>
      </c>
      <c r="E1485">
        <v>263</v>
      </c>
      <c r="F1485">
        <v>218271.8</v>
      </c>
    </row>
    <row r="1486" spans="1:6" x14ac:dyDescent="0.3">
      <c r="A1486">
        <v>2025</v>
      </c>
      <c r="B1486">
        <v>8</v>
      </c>
      <c r="C1486" t="s">
        <v>44</v>
      </c>
      <c r="D1486" t="s">
        <v>57</v>
      </c>
      <c r="E1486">
        <v>497</v>
      </c>
      <c r="F1486">
        <v>400856</v>
      </c>
    </row>
    <row r="1487" spans="1:6" x14ac:dyDescent="0.3">
      <c r="A1487">
        <v>2025</v>
      </c>
      <c r="B1487">
        <v>8</v>
      </c>
      <c r="C1487" t="s">
        <v>44</v>
      </c>
      <c r="D1487" t="s">
        <v>49</v>
      </c>
      <c r="E1487">
        <v>342</v>
      </c>
      <c r="F1487">
        <v>259159.96</v>
      </c>
    </row>
    <row r="1488" spans="1:6" x14ac:dyDescent="0.3">
      <c r="A1488">
        <v>2025</v>
      </c>
      <c r="B1488">
        <v>8</v>
      </c>
      <c r="C1488" t="s">
        <v>44</v>
      </c>
      <c r="D1488" t="s">
        <v>53</v>
      </c>
      <c r="E1488">
        <v>245</v>
      </c>
      <c r="F1488">
        <v>246478.33</v>
      </c>
    </row>
    <row r="1489" spans="1:6" x14ac:dyDescent="0.3">
      <c r="A1489">
        <v>2025</v>
      </c>
      <c r="B1489">
        <v>8</v>
      </c>
      <c r="C1489" t="s">
        <v>44</v>
      </c>
      <c r="D1489" t="s">
        <v>35</v>
      </c>
      <c r="E1489">
        <v>451</v>
      </c>
      <c r="F1489">
        <v>398235.14</v>
      </c>
    </row>
    <row r="1490" spans="1:6" x14ac:dyDescent="0.3">
      <c r="A1490">
        <v>2025</v>
      </c>
      <c r="B1490">
        <v>8</v>
      </c>
      <c r="C1490" t="s">
        <v>44</v>
      </c>
      <c r="D1490" t="s">
        <v>36</v>
      </c>
      <c r="E1490">
        <v>139</v>
      </c>
      <c r="F1490">
        <v>170857.62</v>
      </c>
    </row>
    <row r="1491" spans="1:6" x14ac:dyDescent="0.3">
      <c r="A1491">
        <v>2025</v>
      </c>
      <c r="B1491">
        <v>8</v>
      </c>
      <c r="C1491" t="s">
        <v>44</v>
      </c>
      <c r="D1491" t="s">
        <v>37</v>
      </c>
      <c r="E1491">
        <v>1051</v>
      </c>
      <c r="F1491">
        <v>813085.72</v>
      </c>
    </row>
    <row r="1492" spans="1:6" x14ac:dyDescent="0.3">
      <c r="A1492">
        <v>2025</v>
      </c>
      <c r="B1492">
        <v>9</v>
      </c>
      <c r="C1492" t="s">
        <v>45</v>
      </c>
      <c r="D1492" t="s">
        <v>7</v>
      </c>
      <c r="E1492">
        <v>292</v>
      </c>
      <c r="F1492">
        <v>270315.18</v>
      </c>
    </row>
    <row r="1493" spans="1:6" x14ac:dyDescent="0.3">
      <c r="A1493">
        <v>2025</v>
      </c>
      <c r="B1493">
        <v>9</v>
      </c>
      <c r="C1493" t="s">
        <v>45</v>
      </c>
      <c r="D1493" t="s">
        <v>8</v>
      </c>
      <c r="E1493">
        <v>188</v>
      </c>
      <c r="F1493">
        <v>205263</v>
      </c>
    </row>
    <row r="1494" spans="1:6" x14ac:dyDescent="0.3">
      <c r="A1494">
        <v>2025</v>
      </c>
      <c r="B1494">
        <v>9</v>
      </c>
      <c r="C1494" t="s">
        <v>45</v>
      </c>
      <c r="D1494" t="s">
        <v>9</v>
      </c>
      <c r="E1494">
        <v>39</v>
      </c>
      <c r="F1494">
        <v>44800</v>
      </c>
    </row>
    <row r="1495" spans="1:6" x14ac:dyDescent="0.3">
      <c r="A1495">
        <v>2025</v>
      </c>
      <c r="B1495">
        <v>9</v>
      </c>
      <c r="C1495" t="s">
        <v>45</v>
      </c>
      <c r="D1495" t="s">
        <v>10</v>
      </c>
      <c r="E1495">
        <v>218</v>
      </c>
      <c r="F1495">
        <v>199058</v>
      </c>
    </row>
    <row r="1496" spans="1:6" x14ac:dyDescent="0.3">
      <c r="A1496">
        <v>2025</v>
      </c>
      <c r="B1496">
        <v>9</v>
      </c>
      <c r="C1496" t="s">
        <v>45</v>
      </c>
      <c r="D1496" t="s">
        <v>11</v>
      </c>
      <c r="E1496">
        <v>200</v>
      </c>
      <c r="F1496">
        <v>175874.27</v>
      </c>
    </row>
    <row r="1497" spans="1:6" x14ac:dyDescent="0.3">
      <c r="A1497">
        <v>2025</v>
      </c>
      <c r="B1497">
        <v>9</v>
      </c>
      <c r="C1497" t="s">
        <v>45</v>
      </c>
      <c r="D1497" t="s">
        <v>59</v>
      </c>
      <c r="E1497">
        <v>26</v>
      </c>
      <c r="F1497">
        <v>24505</v>
      </c>
    </row>
    <row r="1498" spans="1:6" x14ac:dyDescent="0.3">
      <c r="A1498">
        <v>2025</v>
      </c>
      <c r="B1498">
        <v>9</v>
      </c>
      <c r="C1498" t="s">
        <v>45</v>
      </c>
      <c r="D1498" t="s">
        <v>12</v>
      </c>
      <c r="E1498">
        <v>140</v>
      </c>
      <c r="F1498">
        <v>195366</v>
      </c>
    </row>
    <row r="1499" spans="1:6" x14ac:dyDescent="0.3">
      <c r="A1499">
        <v>2025</v>
      </c>
      <c r="B1499">
        <v>9</v>
      </c>
      <c r="C1499" t="s">
        <v>45</v>
      </c>
      <c r="D1499" t="s">
        <v>13</v>
      </c>
      <c r="E1499">
        <v>173</v>
      </c>
      <c r="F1499">
        <v>181054</v>
      </c>
    </row>
    <row r="1500" spans="1:6" x14ac:dyDescent="0.3">
      <c r="A1500">
        <v>2025</v>
      </c>
      <c r="B1500">
        <v>9</v>
      </c>
      <c r="C1500" t="s">
        <v>45</v>
      </c>
      <c r="D1500" t="s">
        <v>14</v>
      </c>
      <c r="E1500">
        <v>647</v>
      </c>
      <c r="F1500">
        <v>511641.07</v>
      </c>
    </row>
    <row r="1501" spans="1:6" x14ac:dyDescent="0.3">
      <c r="A1501">
        <v>2025</v>
      </c>
      <c r="B1501">
        <v>9</v>
      </c>
      <c r="C1501" t="s">
        <v>45</v>
      </c>
      <c r="D1501" t="s">
        <v>15</v>
      </c>
      <c r="E1501">
        <v>49</v>
      </c>
      <c r="F1501">
        <v>43956.14</v>
      </c>
    </row>
    <row r="1502" spans="1:6" x14ac:dyDescent="0.3">
      <c r="A1502">
        <v>2025</v>
      </c>
      <c r="B1502">
        <v>9</v>
      </c>
      <c r="C1502" t="s">
        <v>45</v>
      </c>
      <c r="D1502" t="s">
        <v>16</v>
      </c>
      <c r="E1502">
        <v>55</v>
      </c>
      <c r="F1502">
        <v>41088.5</v>
      </c>
    </row>
    <row r="1503" spans="1:6" x14ac:dyDescent="0.3">
      <c r="A1503">
        <v>2025</v>
      </c>
      <c r="B1503">
        <v>9</v>
      </c>
      <c r="C1503" t="s">
        <v>45</v>
      </c>
      <c r="D1503" t="s">
        <v>54</v>
      </c>
      <c r="E1503">
        <v>75</v>
      </c>
      <c r="F1503">
        <v>92636</v>
      </c>
    </row>
    <row r="1504" spans="1:6" x14ac:dyDescent="0.3">
      <c r="A1504">
        <v>2025</v>
      </c>
      <c r="B1504">
        <v>9</v>
      </c>
      <c r="C1504" t="s">
        <v>45</v>
      </c>
      <c r="D1504" t="s">
        <v>17</v>
      </c>
      <c r="E1504">
        <v>703</v>
      </c>
      <c r="F1504">
        <v>652190.19999999995</v>
      </c>
    </row>
    <row r="1505" spans="1:6" x14ac:dyDescent="0.3">
      <c r="A1505">
        <v>2025</v>
      </c>
      <c r="B1505">
        <v>9</v>
      </c>
      <c r="C1505" t="s">
        <v>45</v>
      </c>
      <c r="D1505" t="s">
        <v>18</v>
      </c>
      <c r="E1505">
        <v>348</v>
      </c>
      <c r="F1505">
        <v>319739.78999999998</v>
      </c>
    </row>
    <row r="1506" spans="1:6" x14ac:dyDescent="0.3">
      <c r="A1506">
        <v>2025</v>
      </c>
      <c r="B1506">
        <v>9</v>
      </c>
      <c r="C1506" t="s">
        <v>45</v>
      </c>
      <c r="D1506" t="s">
        <v>50</v>
      </c>
      <c r="E1506">
        <v>68</v>
      </c>
      <c r="F1506">
        <v>97683</v>
      </c>
    </row>
    <row r="1507" spans="1:6" x14ac:dyDescent="0.3">
      <c r="A1507">
        <v>2025</v>
      </c>
      <c r="B1507">
        <v>9</v>
      </c>
      <c r="C1507" t="s">
        <v>45</v>
      </c>
      <c r="D1507" t="s">
        <v>55</v>
      </c>
      <c r="E1507">
        <v>13</v>
      </c>
      <c r="F1507">
        <v>9511.8799999999992</v>
      </c>
    </row>
    <row r="1508" spans="1:6" x14ac:dyDescent="0.3">
      <c r="A1508">
        <v>2025</v>
      </c>
      <c r="B1508">
        <v>9</v>
      </c>
      <c r="C1508" t="s">
        <v>45</v>
      </c>
      <c r="D1508" t="s">
        <v>19</v>
      </c>
      <c r="E1508">
        <v>95</v>
      </c>
      <c r="F1508">
        <v>90133</v>
      </c>
    </row>
    <row r="1509" spans="1:6" x14ac:dyDescent="0.3">
      <c r="A1509">
        <v>2025</v>
      </c>
      <c r="B1509">
        <v>9</v>
      </c>
      <c r="C1509" t="s">
        <v>45</v>
      </c>
      <c r="D1509" t="s">
        <v>20</v>
      </c>
      <c r="E1509">
        <v>126</v>
      </c>
      <c r="F1509">
        <v>137740.35999999999</v>
      </c>
    </row>
    <row r="1510" spans="1:6" x14ac:dyDescent="0.3">
      <c r="A1510">
        <v>2025</v>
      </c>
      <c r="B1510">
        <v>9</v>
      </c>
      <c r="C1510" t="s">
        <v>45</v>
      </c>
      <c r="D1510" t="s">
        <v>21</v>
      </c>
      <c r="E1510">
        <v>297</v>
      </c>
      <c r="F1510">
        <v>290837.59999999998</v>
      </c>
    </row>
    <row r="1511" spans="1:6" x14ac:dyDescent="0.3">
      <c r="A1511">
        <v>2025</v>
      </c>
      <c r="B1511">
        <v>9</v>
      </c>
      <c r="C1511" t="s">
        <v>45</v>
      </c>
      <c r="D1511" t="s">
        <v>22</v>
      </c>
      <c r="E1511">
        <v>121</v>
      </c>
      <c r="F1511">
        <v>85505</v>
      </c>
    </row>
    <row r="1512" spans="1:6" x14ac:dyDescent="0.3">
      <c r="A1512">
        <v>2025</v>
      </c>
      <c r="B1512">
        <v>9</v>
      </c>
      <c r="C1512" t="s">
        <v>45</v>
      </c>
      <c r="D1512" t="s">
        <v>23</v>
      </c>
      <c r="E1512">
        <v>140</v>
      </c>
      <c r="F1512">
        <v>157407</v>
      </c>
    </row>
    <row r="1513" spans="1:6" x14ac:dyDescent="0.3">
      <c r="A1513">
        <v>2025</v>
      </c>
      <c r="B1513">
        <v>9</v>
      </c>
      <c r="C1513" t="s">
        <v>45</v>
      </c>
      <c r="D1513" t="s">
        <v>24</v>
      </c>
      <c r="E1513">
        <v>204</v>
      </c>
      <c r="F1513">
        <v>154592.5</v>
      </c>
    </row>
    <row r="1514" spans="1:6" x14ac:dyDescent="0.3">
      <c r="A1514">
        <v>2025</v>
      </c>
      <c r="B1514">
        <v>9</v>
      </c>
      <c r="C1514" t="s">
        <v>45</v>
      </c>
      <c r="D1514" t="s">
        <v>25</v>
      </c>
      <c r="E1514">
        <v>282</v>
      </c>
      <c r="F1514">
        <v>232173.8</v>
      </c>
    </row>
    <row r="1515" spans="1:6" x14ac:dyDescent="0.3">
      <c r="A1515">
        <v>2025</v>
      </c>
      <c r="B1515">
        <v>9</v>
      </c>
      <c r="C1515" t="s">
        <v>45</v>
      </c>
      <c r="D1515" t="s">
        <v>26</v>
      </c>
      <c r="E1515">
        <v>94</v>
      </c>
      <c r="F1515">
        <v>96828.68</v>
      </c>
    </row>
    <row r="1516" spans="1:6" x14ac:dyDescent="0.3">
      <c r="A1516">
        <v>2025</v>
      </c>
      <c r="B1516">
        <v>9</v>
      </c>
      <c r="C1516" t="s">
        <v>45</v>
      </c>
      <c r="D1516" t="s">
        <v>27</v>
      </c>
      <c r="E1516">
        <v>168</v>
      </c>
      <c r="F1516">
        <v>168478</v>
      </c>
    </row>
    <row r="1517" spans="1:6" x14ac:dyDescent="0.3">
      <c r="A1517">
        <v>2025</v>
      </c>
      <c r="B1517">
        <v>9</v>
      </c>
      <c r="C1517" t="s">
        <v>45</v>
      </c>
      <c r="D1517" t="s">
        <v>28</v>
      </c>
      <c r="E1517">
        <v>127</v>
      </c>
      <c r="F1517">
        <v>106920.45</v>
      </c>
    </row>
    <row r="1518" spans="1:6" x14ac:dyDescent="0.3">
      <c r="A1518">
        <v>2025</v>
      </c>
      <c r="B1518">
        <v>9</v>
      </c>
      <c r="C1518" t="s">
        <v>45</v>
      </c>
      <c r="D1518" t="s">
        <v>29</v>
      </c>
      <c r="E1518">
        <v>250</v>
      </c>
      <c r="F1518">
        <v>194896</v>
      </c>
    </row>
    <row r="1519" spans="1:6" x14ac:dyDescent="0.3">
      <c r="A1519">
        <v>2025</v>
      </c>
      <c r="B1519">
        <v>9</v>
      </c>
      <c r="C1519" t="s">
        <v>45</v>
      </c>
      <c r="D1519" t="s">
        <v>30</v>
      </c>
      <c r="E1519">
        <v>42</v>
      </c>
      <c r="F1519">
        <v>25759</v>
      </c>
    </row>
    <row r="1520" spans="1:6" x14ac:dyDescent="0.3">
      <c r="A1520">
        <v>2025</v>
      </c>
      <c r="B1520">
        <v>9</v>
      </c>
      <c r="C1520" t="s">
        <v>45</v>
      </c>
      <c r="D1520" t="s">
        <v>31</v>
      </c>
      <c r="E1520">
        <v>642</v>
      </c>
      <c r="F1520">
        <v>640012.09</v>
      </c>
    </row>
    <row r="1521" spans="1:6" x14ac:dyDescent="0.3">
      <c r="A1521">
        <v>2025</v>
      </c>
      <c r="B1521">
        <v>9</v>
      </c>
      <c r="C1521" t="s">
        <v>45</v>
      </c>
      <c r="D1521" t="s">
        <v>51</v>
      </c>
      <c r="E1521">
        <v>91</v>
      </c>
      <c r="F1521">
        <v>62994</v>
      </c>
    </row>
    <row r="1522" spans="1:6" x14ac:dyDescent="0.3">
      <c r="A1522">
        <v>2025</v>
      </c>
      <c r="B1522">
        <v>9</v>
      </c>
      <c r="C1522" t="s">
        <v>45</v>
      </c>
      <c r="D1522" t="s">
        <v>32</v>
      </c>
      <c r="E1522">
        <v>109</v>
      </c>
      <c r="F1522">
        <v>91072</v>
      </c>
    </row>
    <row r="1523" spans="1:6" x14ac:dyDescent="0.3">
      <c r="A1523">
        <v>2025</v>
      </c>
      <c r="B1523">
        <v>9</v>
      </c>
      <c r="C1523" t="s">
        <v>45</v>
      </c>
      <c r="D1523" t="s">
        <v>52</v>
      </c>
      <c r="E1523">
        <v>48</v>
      </c>
      <c r="F1523">
        <v>43479</v>
      </c>
    </row>
    <row r="1524" spans="1:6" x14ac:dyDescent="0.3">
      <c r="A1524">
        <v>2025</v>
      </c>
      <c r="B1524">
        <v>9</v>
      </c>
      <c r="C1524" t="s">
        <v>45</v>
      </c>
      <c r="D1524" t="s">
        <v>33</v>
      </c>
      <c r="E1524">
        <v>559</v>
      </c>
      <c r="F1524">
        <v>578457.44999999995</v>
      </c>
    </row>
    <row r="1525" spans="1:6" x14ac:dyDescent="0.3">
      <c r="A1525">
        <v>2025</v>
      </c>
      <c r="B1525">
        <v>9</v>
      </c>
      <c r="C1525" t="s">
        <v>45</v>
      </c>
      <c r="D1525" t="s">
        <v>58</v>
      </c>
      <c r="E1525">
        <v>2208</v>
      </c>
      <c r="F1525">
        <v>1767196.68</v>
      </c>
    </row>
    <row r="1526" spans="1:6" x14ac:dyDescent="0.3">
      <c r="A1526">
        <v>2025</v>
      </c>
      <c r="B1526">
        <v>9</v>
      </c>
      <c r="C1526" t="s">
        <v>45</v>
      </c>
      <c r="D1526" t="s">
        <v>34</v>
      </c>
      <c r="E1526">
        <v>251</v>
      </c>
      <c r="F1526">
        <v>210027.63</v>
      </c>
    </row>
    <row r="1527" spans="1:6" x14ac:dyDescent="0.3">
      <c r="A1527">
        <v>2025</v>
      </c>
      <c r="B1527">
        <v>9</v>
      </c>
      <c r="C1527" t="s">
        <v>45</v>
      </c>
      <c r="D1527" t="s">
        <v>56</v>
      </c>
      <c r="E1527">
        <v>21</v>
      </c>
      <c r="F1527">
        <v>16916</v>
      </c>
    </row>
    <row r="1528" spans="1:6" x14ac:dyDescent="0.3">
      <c r="A1528">
        <v>2025</v>
      </c>
      <c r="B1528">
        <v>9</v>
      </c>
      <c r="C1528" t="s">
        <v>45</v>
      </c>
      <c r="D1528" t="s">
        <v>57</v>
      </c>
      <c r="E1528">
        <v>190</v>
      </c>
      <c r="F1528">
        <v>147701</v>
      </c>
    </row>
    <row r="1529" spans="1:6" x14ac:dyDescent="0.3">
      <c r="A1529">
        <v>2025</v>
      </c>
      <c r="B1529">
        <v>9</v>
      </c>
      <c r="C1529" t="s">
        <v>45</v>
      </c>
      <c r="D1529" t="s">
        <v>49</v>
      </c>
      <c r="E1529">
        <v>25</v>
      </c>
      <c r="F1529">
        <v>19182</v>
      </c>
    </row>
    <row r="1530" spans="1:6" x14ac:dyDescent="0.3">
      <c r="A1530">
        <v>2025</v>
      </c>
      <c r="B1530">
        <v>9</v>
      </c>
      <c r="C1530" t="s">
        <v>45</v>
      </c>
      <c r="D1530" t="s">
        <v>53</v>
      </c>
      <c r="E1530">
        <v>149</v>
      </c>
      <c r="F1530">
        <v>225247</v>
      </c>
    </row>
    <row r="1531" spans="1:6" x14ac:dyDescent="0.3">
      <c r="A1531">
        <v>2025</v>
      </c>
      <c r="B1531">
        <v>9</v>
      </c>
      <c r="C1531" t="s">
        <v>45</v>
      </c>
      <c r="D1531" t="s">
        <v>35</v>
      </c>
      <c r="E1531">
        <v>288</v>
      </c>
      <c r="F1531">
        <v>270012.61</v>
      </c>
    </row>
    <row r="1532" spans="1:6" x14ac:dyDescent="0.3">
      <c r="A1532">
        <v>2025</v>
      </c>
      <c r="B1532">
        <v>9</v>
      </c>
      <c r="C1532" t="s">
        <v>45</v>
      </c>
      <c r="D1532" t="s">
        <v>36</v>
      </c>
      <c r="E1532">
        <v>125</v>
      </c>
      <c r="F1532">
        <v>136307</v>
      </c>
    </row>
    <row r="1533" spans="1:6" x14ac:dyDescent="0.3">
      <c r="A1533">
        <v>2025</v>
      </c>
      <c r="B1533">
        <v>9</v>
      </c>
      <c r="C1533" t="s">
        <v>45</v>
      </c>
      <c r="D1533" t="s">
        <v>37</v>
      </c>
      <c r="E1533">
        <v>306</v>
      </c>
      <c r="F1533">
        <v>286517.33</v>
      </c>
    </row>
    <row r="1534" spans="1:6" x14ac:dyDescent="0.3">
      <c r="A1534">
        <v>2025</v>
      </c>
      <c r="B1534">
        <v>10</v>
      </c>
      <c r="C1534" t="s">
        <v>46</v>
      </c>
      <c r="D1534" t="s">
        <v>7</v>
      </c>
      <c r="E1534">
        <v>168</v>
      </c>
      <c r="F1534">
        <v>177690.65</v>
      </c>
    </row>
    <row r="1535" spans="1:6" x14ac:dyDescent="0.3">
      <c r="A1535">
        <v>2025</v>
      </c>
      <c r="B1535">
        <v>10</v>
      </c>
      <c r="C1535" t="s">
        <v>46</v>
      </c>
      <c r="D1535" t="s">
        <v>8</v>
      </c>
      <c r="E1535">
        <v>113</v>
      </c>
      <c r="F1535">
        <v>145017.09</v>
      </c>
    </row>
    <row r="1536" spans="1:6" x14ac:dyDescent="0.3">
      <c r="A1536">
        <v>2025</v>
      </c>
      <c r="B1536">
        <v>10</v>
      </c>
      <c r="C1536" t="s">
        <v>46</v>
      </c>
      <c r="D1536" t="s">
        <v>9</v>
      </c>
      <c r="E1536">
        <v>27</v>
      </c>
      <c r="F1536">
        <v>50456</v>
      </c>
    </row>
    <row r="1537" spans="1:6" x14ac:dyDescent="0.3">
      <c r="A1537">
        <v>2025</v>
      </c>
      <c r="B1537">
        <v>10</v>
      </c>
      <c r="C1537" t="s">
        <v>46</v>
      </c>
      <c r="D1537" t="s">
        <v>10</v>
      </c>
      <c r="E1537">
        <v>170</v>
      </c>
      <c r="F1537">
        <v>182247.8</v>
      </c>
    </row>
    <row r="1538" spans="1:6" x14ac:dyDescent="0.3">
      <c r="A1538">
        <v>2025</v>
      </c>
      <c r="B1538">
        <v>10</v>
      </c>
      <c r="C1538" t="s">
        <v>46</v>
      </c>
      <c r="D1538" t="s">
        <v>11</v>
      </c>
      <c r="E1538">
        <v>108</v>
      </c>
      <c r="F1538">
        <v>128917.4</v>
      </c>
    </row>
    <row r="1539" spans="1:6" x14ac:dyDescent="0.3">
      <c r="A1539">
        <v>2025</v>
      </c>
      <c r="B1539">
        <v>10</v>
      </c>
      <c r="C1539" t="s">
        <v>46</v>
      </c>
      <c r="D1539" t="s">
        <v>59</v>
      </c>
      <c r="E1539">
        <v>16</v>
      </c>
      <c r="F1539">
        <v>14595</v>
      </c>
    </row>
    <row r="1540" spans="1:6" x14ac:dyDescent="0.3">
      <c r="A1540">
        <v>2025</v>
      </c>
      <c r="B1540">
        <v>10</v>
      </c>
      <c r="C1540" t="s">
        <v>46</v>
      </c>
      <c r="D1540" t="s">
        <v>12</v>
      </c>
      <c r="E1540">
        <v>99</v>
      </c>
      <c r="F1540">
        <v>162624.5</v>
      </c>
    </row>
    <row r="1541" spans="1:6" x14ac:dyDescent="0.3">
      <c r="A1541">
        <v>2025</v>
      </c>
      <c r="B1541">
        <v>10</v>
      </c>
      <c r="C1541" t="s">
        <v>46</v>
      </c>
      <c r="D1541" t="s">
        <v>13</v>
      </c>
      <c r="E1541">
        <v>143</v>
      </c>
      <c r="F1541">
        <v>217592</v>
      </c>
    </row>
    <row r="1542" spans="1:6" x14ac:dyDescent="0.3">
      <c r="A1542">
        <v>2025</v>
      </c>
      <c r="B1542">
        <v>10</v>
      </c>
      <c r="C1542" t="s">
        <v>46</v>
      </c>
      <c r="D1542" t="s">
        <v>14</v>
      </c>
      <c r="E1542">
        <v>113</v>
      </c>
      <c r="F1542">
        <v>88918.61</v>
      </c>
    </row>
    <row r="1543" spans="1:6" x14ac:dyDescent="0.3">
      <c r="A1543">
        <v>2025</v>
      </c>
      <c r="B1543">
        <v>10</v>
      </c>
      <c r="C1543" t="s">
        <v>46</v>
      </c>
      <c r="D1543" t="s">
        <v>15</v>
      </c>
      <c r="E1543">
        <v>47</v>
      </c>
      <c r="F1543">
        <v>44109</v>
      </c>
    </row>
    <row r="1544" spans="1:6" x14ac:dyDescent="0.3">
      <c r="A1544">
        <v>2025</v>
      </c>
      <c r="B1544">
        <v>10</v>
      </c>
      <c r="C1544" t="s">
        <v>46</v>
      </c>
      <c r="D1544" t="s">
        <v>16</v>
      </c>
      <c r="E1544">
        <v>53</v>
      </c>
      <c r="F1544">
        <v>54633</v>
      </c>
    </row>
    <row r="1545" spans="1:6" x14ac:dyDescent="0.3">
      <c r="A1545">
        <v>2025</v>
      </c>
      <c r="B1545">
        <v>10</v>
      </c>
      <c r="C1545" t="s">
        <v>46</v>
      </c>
      <c r="D1545" t="s">
        <v>54</v>
      </c>
      <c r="E1545">
        <v>53</v>
      </c>
      <c r="F1545">
        <v>59480</v>
      </c>
    </row>
    <row r="1546" spans="1:6" x14ac:dyDescent="0.3">
      <c r="A1546">
        <v>2025</v>
      </c>
      <c r="B1546">
        <v>10</v>
      </c>
      <c r="C1546" t="s">
        <v>46</v>
      </c>
      <c r="D1546" t="s">
        <v>17</v>
      </c>
      <c r="E1546">
        <v>300</v>
      </c>
      <c r="F1546">
        <v>311854.98</v>
      </c>
    </row>
    <row r="1547" spans="1:6" x14ac:dyDescent="0.3">
      <c r="A1547">
        <v>2025</v>
      </c>
      <c r="B1547">
        <v>10</v>
      </c>
      <c r="C1547" t="s">
        <v>46</v>
      </c>
      <c r="D1547" t="s">
        <v>18</v>
      </c>
      <c r="E1547">
        <v>308</v>
      </c>
      <c r="F1547">
        <v>310627.02</v>
      </c>
    </row>
    <row r="1548" spans="1:6" x14ac:dyDescent="0.3">
      <c r="A1548">
        <v>2025</v>
      </c>
      <c r="B1548">
        <v>10</v>
      </c>
      <c r="C1548" t="s">
        <v>46</v>
      </c>
      <c r="D1548" t="s">
        <v>50</v>
      </c>
      <c r="E1548">
        <v>35</v>
      </c>
      <c r="F1548">
        <v>29653</v>
      </c>
    </row>
    <row r="1549" spans="1:6" x14ac:dyDescent="0.3">
      <c r="A1549">
        <v>2025</v>
      </c>
      <c r="B1549">
        <v>10</v>
      </c>
      <c r="C1549" t="s">
        <v>46</v>
      </c>
      <c r="D1549" t="s">
        <v>55</v>
      </c>
      <c r="E1549">
        <v>12</v>
      </c>
      <c r="F1549">
        <v>8256</v>
      </c>
    </row>
    <row r="1550" spans="1:6" x14ac:dyDescent="0.3">
      <c r="A1550">
        <v>2025</v>
      </c>
      <c r="B1550">
        <v>10</v>
      </c>
      <c r="C1550" t="s">
        <v>46</v>
      </c>
      <c r="D1550" t="s">
        <v>19</v>
      </c>
      <c r="E1550">
        <v>132</v>
      </c>
      <c r="F1550">
        <v>127334.8</v>
      </c>
    </row>
    <row r="1551" spans="1:6" x14ac:dyDescent="0.3">
      <c r="A1551">
        <v>2025</v>
      </c>
      <c r="B1551">
        <v>10</v>
      </c>
      <c r="C1551" t="s">
        <v>46</v>
      </c>
      <c r="D1551" t="s">
        <v>20</v>
      </c>
      <c r="E1551">
        <v>141</v>
      </c>
      <c r="F1551">
        <v>168273.88</v>
      </c>
    </row>
    <row r="1552" spans="1:6" x14ac:dyDescent="0.3">
      <c r="A1552">
        <v>2025</v>
      </c>
      <c r="B1552">
        <v>10</v>
      </c>
      <c r="C1552" t="s">
        <v>46</v>
      </c>
      <c r="D1552" t="s">
        <v>21</v>
      </c>
      <c r="E1552">
        <v>183</v>
      </c>
      <c r="F1552">
        <v>186148.29</v>
      </c>
    </row>
    <row r="1553" spans="1:6" x14ac:dyDescent="0.3">
      <c r="A1553">
        <v>2025</v>
      </c>
      <c r="B1553">
        <v>10</v>
      </c>
      <c r="C1553" t="s">
        <v>46</v>
      </c>
      <c r="D1553" t="s">
        <v>22</v>
      </c>
      <c r="E1553">
        <v>118</v>
      </c>
      <c r="F1553">
        <v>118074.93</v>
      </c>
    </row>
    <row r="1554" spans="1:6" x14ac:dyDescent="0.3">
      <c r="A1554">
        <v>2025</v>
      </c>
      <c r="B1554">
        <v>10</v>
      </c>
      <c r="C1554" t="s">
        <v>46</v>
      </c>
      <c r="D1554" t="s">
        <v>23</v>
      </c>
      <c r="E1554">
        <v>134</v>
      </c>
      <c r="F1554">
        <v>187770.99</v>
      </c>
    </row>
    <row r="1555" spans="1:6" x14ac:dyDescent="0.3">
      <c r="A1555">
        <v>2025</v>
      </c>
      <c r="B1555">
        <v>10</v>
      </c>
      <c r="C1555" t="s">
        <v>46</v>
      </c>
      <c r="D1555" t="s">
        <v>24</v>
      </c>
      <c r="E1555">
        <v>159</v>
      </c>
      <c r="F1555">
        <v>122545</v>
      </c>
    </row>
    <row r="1556" spans="1:6" x14ac:dyDescent="0.3">
      <c r="A1556">
        <v>2025</v>
      </c>
      <c r="B1556">
        <v>10</v>
      </c>
      <c r="C1556" t="s">
        <v>46</v>
      </c>
      <c r="D1556" t="s">
        <v>25</v>
      </c>
      <c r="E1556">
        <v>230</v>
      </c>
      <c r="F1556">
        <v>220738.7</v>
      </c>
    </row>
    <row r="1557" spans="1:6" x14ac:dyDescent="0.3">
      <c r="A1557">
        <v>2025</v>
      </c>
      <c r="B1557">
        <v>10</v>
      </c>
      <c r="C1557" t="s">
        <v>46</v>
      </c>
      <c r="D1557" t="s">
        <v>26</v>
      </c>
      <c r="E1557">
        <v>79</v>
      </c>
      <c r="F1557">
        <v>106755.36</v>
      </c>
    </row>
    <row r="1558" spans="1:6" x14ac:dyDescent="0.3">
      <c r="A1558">
        <v>2025</v>
      </c>
      <c r="B1558">
        <v>10</v>
      </c>
      <c r="C1558" t="s">
        <v>46</v>
      </c>
      <c r="D1558" t="s">
        <v>27</v>
      </c>
      <c r="E1558">
        <v>180</v>
      </c>
      <c r="F1558">
        <v>224330</v>
      </c>
    </row>
    <row r="1559" spans="1:6" x14ac:dyDescent="0.3">
      <c r="A1559">
        <v>2025</v>
      </c>
      <c r="B1559">
        <v>10</v>
      </c>
      <c r="C1559" t="s">
        <v>46</v>
      </c>
      <c r="D1559" t="s">
        <v>28</v>
      </c>
      <c r="E1559">
        <v>124</v>
      </c>
      <c r="F1559">
        <v>130477</v>
      </c>
    </row>
    <row r="1560" spans="1:6" x14ac:dyDescent="0.3">
      <c r="A1560">
        <v>2025</v>
      </c>
      <c r="B1560">
        <v>10</v>
      </c>
      <c r="C1560" t="s">
        <v>46</v>
      </c>
      <c r="D1560" t="s">
        <v>29</v>
      </c>
      <c r="E1560">
        <v>226</v>
      </c>
      <c r="F1560">
        <v>189841.89</v>
      </c>
    </row>
    <row r="1561" spans="1:6" x14ac:dyDescent="0.3">
      <c r="A1561">
        <v>2025</v>
      </c>
      <c r="B1561">
        <v>10</v>
      </c>
      <c r="C1561" t="s">
        <v>46</v>
      </c>
      <c r="D1561" t="s">
        <v>30</v>
      </c>
      <c r="E1561">
        <v>36</v>
      </c>
      <c r="F1561">
        <v>26051</v>
      </c>
    </row>
    <row r="1562" spans="1:6" x14ac:dyDescent="0.3">
      <c r="A1562">
        <v>2025</v>
      </c>
      <c r="B1562">
        <v>10</v>
      </c>
      <c r="C1562" t="s">
        <v>46</v>
      </c>
      <c r="D1562" t="s">
        <v>31</v>
      </c>
      <c r="E1562">
        <v>396</v>
      </c>
      <c r="F1562">
        <v>402132.95</v>
      </c>
    </row>
    <row r="1563" spans="1:6" x14ac:dyDescent="0.3">
      <c r="A1563">
        <v>2025</v>
      </c>
      <c r="B1563">
        <v>10</v>
      </c>
      <c r="C1563" t="s">
        <v>46</v>
      </c>
      <c r="D1563" t="s">
        <v>51</v>
      </c>
      <c r="E1563">
        <v>104</v>
      </c>
      <c r="F1563">
        <v>72586</v>
      </c>
    </row>
    <row r="1564" spans="1:6" x14ac:dyDescent="0.3">
      <c r="A1564">
        <v>2025</v>
      </c>
      <c r="B1564">
        <v>10</v>
      </c>
      <c r="C1564" t="s">
        <v>46</v>
      </c>
      <c r="D1564" t="s">
        <v>32</v>
      </c>
      <c r="E1564">
        <v>85</v>
      </c>
      <c r="F1564">
        <v>81079.89</v>
      </c>
    </row>
    <row r="1565" spans="1:6" x14ac:dyDescent="0.3">
      <c r="A1565">
        <v>2025</v>
      </c>
      <c r="B1565">
        <v>10</v>
      </c>
      <c r="C1565" t="s">
        <v>46</v>
      </c>
      <c r="D1565" t="s">
        <v>52</v>
      </c>
      <c r="E1565">
        <v>39</v>
      </c>
      <c r="F1565">
        <v>33028</v>
      </c>
    </row>
    <row r="1566" spans="1:6" x14ac:dyDescent="0.3">
      <c r="A1566">
        <v>2025</v>
      </c>
      <c r="B1566">
        <v>10</v>
      </c>
      <c r="C1566" t="s">
        <v>46</v>
      </c>
      <c r="D1566" t="s">
        <v>33</v>
      </c>
      <c r="E1566">
        <v>338</v>
      </c>
      <c r="F1566">
        <v>426050.05</v>
      </c>
    </row>
    <row r="1567" spans="1:6" x14ac:dyDescent="0.3">
      <c r="A1567">
        <v>2025</v>
      </c>
      <c r="B1567">
        <v>10</v>
      </c>
      <c r="C1567" t="s">
        <v>46</v>
      </c>
      <c r="D1567" t="s">
        <v>58</v>
      </c>
      <c r="E1567">
        <v>682</v>
      </c>
      <c r="F1567">
        <v>562834.13</v>
      </c>
    </row>
    <row r="1568" spans="1:6" x14ac:dyDescent="0.3">
      <c r="A1568">
        <v>2025</v>
      </c>
      <c r="B1568">
        <v>10</v>
      </c>
      <c r="C1568" t="s">
        <v>46</v>
      </c>
      <c r="D1568" t="s">
        <v>34</v>
      </c>
      <c r="E1568">
        <v>174</v>
      </c>
      <c r="F1568">
        <v>202267.74</v>
      </c>
    </row>
    <row r="1569" spans="1:6" x14ac:dyDescent="0.3">
      <c r="A1569">
        <v>2025</v>
      </c>
      <c r="B1569">
        <v>10</v>
      </c>
      <c r="C1569" t="s">
        <v>46</v>
      </c>
      <c r="D1569" t="s">
        <v>56</v>
      </c>
      <c r="E1569">
        <v>14</v>
      </c>
      <c r="F1569">
        <v>12254</v>
      </c>
    </row>
    <row r="1570" spans="1:6" x14ac:dyDescent="0.3">
      <c r="A1570">
        <v>2025</v>
      </c>
      <c r="B1570">
        <v>10</v>
      </c>
      <c r="C1570" t="s">
        <v>46</v>
      </c>
      <c r="D1570" t="s">
        <v>57</v>
      </c>
      <c r="E1570">
        <v>42</v>
      </c>
      <c r="F1570">
        <v>28170</v>
      </c>
    </row>
    <row r="1571" spans="1:6" x14ac:dyDescent="0.3">
      <c r="A1571">
        <v>2025</v>
      </c>
      <c r="B1571">
        <v>10</v>
      </c>
      <c r="C1571" t="s">
        <v>46</v>
      </c>
      <c r="D1571" t="s">
        <v>49</v>
      </c>
      <c r="E1571">
        <v>11</v>
      </c>
      <c r="F1571">
        <v>7761</v>
      </c>
    </row>
    <row r="1572" spans="1:6" x14ac:dyDescent="0.3">
      <c r="A1572">
        <v>2025</v>
      </c>
      <c r="B1572">
        <v>10</v>
      </c>
      <c r="C1572" t="s">
        <v>46</v>
      </c>
      <c r="D1572" t="s">
        <v>53</v>
      </c>
      <c r="E1572">
        <v>111</v>
      </c>
      <c r="F1572">
        <v>173161</v>
      </c>
    </row>
    <row r="1573" spans="1:6" x14ac:dyDescent="0.3">
      <c r="A1573">
        <v>2025</v>
      </c>
      <c r="B1573">
        <v>10</v>
      </c>
      <c r="C1573" t="s">
        <v>46</v>
      </c>
      <c r="D1573" t="s">
        <v>35</v>
      </c>
      <c r="E1573">
        <v>110</v>
      </c>
      <c r="F1573">
        <v>117083</v>
      </c>
    </row>
    <row r="1574" spans="1:6" x14ac:dyDescent="0.3">
      <c r="A1574">
        <v>2025</v>
      </c>
      <c r="B1574">
        <v>10</v>
      </c>
      <c r="C1574" t="s">
        <v>46</v>
      </c>
      <c r="D1574" t="s">
        <v>36</v>
      </c>
      <c r="E1574">
        <v>160</v>
      </c>
      <c r="F1574">
        <v>200641.07</v>
      </c>
    </row>
    <row r="1575" spans="1:6" x14ac:dyDescent="0.3">
      <c r="A1575">
        <v>2025</v>
      </c>
      <c r="B1575">
        <v>10</v>
      </c>
      <c r="C1575" t="s">
        <v>46</v>
      </c>
      <c r="D1575" t="s">
        <v>37</v>
      </c>
      <c r="E1575">
        <v>198</v>
      </c>
      <c r="F1575">
        <v>205146.5</v>
      </c>
    </row>
    <row r="1576" spans="1:6" x14ac:dyDescent="0.3">
      <c r="A1576">
        <v>2025</v>
      </c>
      <c r="B1576">
        <v>11</v>
      </c>
      <c r="C1576" t="s">
        <v>47</v>
      </c>
      <c r="D1576" t="s">
        <v>7</v>
      </c>
      <c r="E1576">
        <v>101</v>
      </c>
      <c r="F1576">
        <v>116701</v>
      </c>
    </row>
    <row r="1577" spans="1:6" x14ac:dyDescent="0.3">
      <c r="A1577">
        <v>2025</v>
      </c>
      <c r="B1577">
        <v>11</v>
      </c>
      <c r="C1577" t="s">
        <v>47</v>
      </c>
      <c r="D1577" t="s">
        <v>8</v>
      </c>
      <c r="E1577">
        <v>96</v>
      </c>
      <c r="F1577">
        <v>110641.91</v>
      </c>
    </row>
    <row r="1578" spans="1:6" x14ac:dyDescent="0.3">
      <c r="A1578">
        <v>2025</v>
      </c>
      <c r="B1578">
        <v>11</v>
      </c>
      <c r="C1578" t="s">
        <v>47</v>
      </c>
      <c r="D1578" t="s">
        <v>9</v>
      </c>
      <c r="E1578">
        <v>23</v>
      </c>
      <c r="F1578">
        <v>49072</v>
      </c>
    </row>
    <row r="1579" spans="1:6" x14ac:dyDescent="0.3">
      <c r="A1579">
        <v>2025</v>
      </c>
      <c r="B1579">
        <v>11</v>
      </c>
      <c r="C1579" t="s">
        <v>47</v>
      </c>
      <c r="D1579" t="s">
        <v>10</v>
      </c>
      <c r="E1579">
        <v>154</v>
      </c>
      <c r="F1579">
        <v>165736.35999999999</v>
      </c>
    </row>
    <row r="1580" spans="1:6" x14ac:dyDescent="0.3">
      <c r="A1580">
        <v>2025</v>
      </c>
      <c r="B1580">
        <v>11</v>
      </c>
      <c r="C1580" t="s">
        <v>47</v>
      </c>
      <c r="D1580" t="s">
        <v>11</v>
      </c>
      <c r="E1580">
        <v>31</v>
      </c>
      <c r="F1580">
        <v>30839.95</v>
      </c>
    </row>
    <row r="1581" spans="1:6" x14ac:dyDescent="0.3">
      <c r="A1581">
        <v>2025</v>
      </c>
      <c r="B1581">
        <v>11</v>
      </c>
      <c r="C1581" t="s">
        <v>47</v>
      </c>
      <c r="D1581" t="s">
        <v>59</v>
      </c>
      <c r="E1581">
        <v>5</v>
      </c>
      <c r="F1581">
        <v>4829</v>
      </c>
    </row>
    <row r="1582" spans="1:6" x14ac:dyDescent="0.3">
      <c r="A1582">
        <v>2025</v>
      </c>
      <c r="B1582">
        <v>11</v>
      </c>
      <c r="C1582" t="s">
        <v>47</v>
      </c>
      <c r="D1582" t="s">
        <v>12</v>
      </c>
      <c r="E1582">
        <v>66</v>
      </c>
      <c r="F1582">
        <v>109525</v>
      </c>
    </row>
    <row r="1583" spans="1:6" x14ac:dyDescent="0.3">
      <c r="A1583">
        <v>2025</v>
      </c>
      <c r="B1583">
        <v>11</v>
      </c>
      <c r="C1583" t="s">
        <v>47</v>
      </c>
      <c r="D1583" t="s">
        <v>13</v>
      </c>
      <c r="E1583">
        <v>95</v>
      </c>
      <c r="F1583">
        <v>161961.07</v>
      </c>
    </row>
    <row r="1584" spans="1:6" x14ac:dyDescent="0.3">
      <c r="A1584">
        <v>2025</v>
      </c>
      <c r="B1584">
        <v>11</v>
      </c>
      <c r="C1584" t="s">
        <v>47</v>
      </c>
      <c r="D1584" t="s">
        <v>14</v>
      </c>
      <c r="E1584">
        <v>85</v>
      </c>
      <c r="F1584">
        <v>106491.44</v>
      </c>
    </row>
    <row r="1585" spans="1:6" x14ac:dyDescent="0.3">
      <c r="A1585">
        <v>2025</v>
      </c>
      <c r="B1585">
        <v>11</v>
      </c>
      <c r="C1585" t="s">
        <v>47</v>
      </c>
      <c r="D1585" t="s">
        <v>15</v>
      </c>
      <c r="E1585">
        <v>74</v>
      </c>
      <c r="F1585">
        <v>67330.320000000007</v>
      </c>
    </row>
    <row r="1586" spans="1:6" x14ac:dyDescent="0.3">
      <c r="A1586">
        <v>2025</v>
      </c>
      <c r="B1586">
        <v>11</v>
      </c>
      <c r="C1586" t="s">
        <v>47</v>
      </c>
      <c r="D1586" t="s">
        <v>16</v>
      </c>
      <c r="E1586">
        <v>20</v>
      </c>
      <c r="F1586">
        <v>18219.650000000001</v>
      </c>
    </row>
    <row r="1587" spans="1:6" x14ac:dyDescent="0.3">
      <c r="A1587">
        <v>2025</v>
      </c>
      <c r="B1587">
        <v>11</v>
      </c>
      <c r="C1587" t="s">
        <v>47</v>
      </c>
      <c r="D1587" t="s">
        <v>54</v>
      </c>
      <c r="E1587">
        <v>23</v>
      </c>
      <c r="F1587">
        <v>26593</v>
      </c>
    </row>
    <row r="1588" spans="1:6" x14ac:dyDescent="0.3">
      <c r="A1588">
        <v>2025</v>
      </c>
      <c r="B1588">
        <v>11</v>
      </c>
      <c r="C1588" t="s">
        <v>47</v>
      </c>
      <c r="D1588" t="s">
        <v>17</v>
      </c>
      <c r="E1588">
        <v>161</v>
      </c>
      <c r="F1588">
        <v>193340.82</v>
      </c>
    </row>
    <row r="1589" spans="1:6" x14ac:dyDescent="0.3">
      <c r="A1589">
        <v>2025</v>
      </c>
      <c r="B1589">
        <v>11</v>
      </c>
      <c r="C1589" t="s">
        <v>47</v>
      </c>
      <c r="D1589" t="s">
        <v>18</v>
      </c>
      <c r="E1589">
        <v>221</v>
      </c>
      <c r="F1589">
        <v>223049.68</v>
      </c>
    </row>
    <row r="1590" spans="1:6" x14ac:dyDescent="0.3">
      <c r="A1590">
        <v>2025</v>
      </c>
      <c r="B1590">
        <v>11</v>
      </c>
      <c r="C1590" t="s">
        <v>47</v>
      </c>
      <c r="D1590" t="s">
        <v>50</v>
      </c>
      <c r="E1590">
        <v>45</v>
      </c>
      <c r="F1590">
        <v>35124.94</v>
      </c>
    </row>
    <row r="1591" spans="1:6" x14ac:dyDescent="0.3">
      <c r="A1591">
        <v>2025</v>
      </c>
      <c r="B1591">
        <v>11</v>
      </c>
      <c r="C1591" t="s">
        <v>47</v>
      </c>
      <c r="D1591" t="s">
        <v>55</v>
      </c>
      <c r="E1591">
        <v>25</v>
      </c>
      <c r="F1591">
        <v>20289.96</v>
      </c>
    </row>
    <row r="1592" spans="1:6" x14ac:dyDescent="0.3">
      <c r="A1592">
        <v>2025</v>
      </c>
      <c r="B1592">
        <v>11</v>
      </c>
      <c r="C1592" t="s">
        <v>47</v>
      </c>
      <c r="D1592" t="s">
        <v>19</v>
      </c>
      <c r="E1592">
        <v>47</v>
      </c>
      <c r="F1592">
        <v>49125</v>
      </c>
    </row>
    <row r="1593" spans="1:6" x14ac:dyDescent="0.3">
      <c r="A1593">
        <v>2025</v>
      </c>
      <c r="B1593">
        <v>11</v>
      </c>
      <c r="C1593" t="s">
        <v>47</v>
      </c>
      <c r="D1593" t="s">
        <v>20</v>
      </c>
      <c r="E1593">
        <v>68</v>
      </c>
      <c r="F1593">
        <v>82270</v>
      </c>
    </row>
    <row r="1594" spans="1:6" x14ac:dyDescent="0.3">
      <c r="A1594">
        <v>2025</v>
      </c>
      <c r="B1594">
        <v>11</v>
      </c>
      <c r="C1594" t="s">
        <v>47</v>
      </c>
      <c r="D1594" t="s">
        <v>21</v>
      </c>
      <c r="E1594">
        <v>180</v>
      </c>
      <c r="F1594">
        <v>250658.49</v>
      </c>
    </row>
    <row r="1595" spans="1:6" x14ac:dyDescent="0.3">
      <c r="A1595">
        <v>2025</v>
      </c>
      <c r="B1595">
        <v>11</v>
      </c>
      <c r="C1595" t="s">
        <v>47</v>
      </c>
      <c r="D1595" t="s">
        <v>22</v>
      </c>
      <c r="E1595">
        <v>83</v>
      </c>
      <c r="F1595">
        <v>63190.8</v>
      </c>
    </row>
    <row r="1596" spans="1:6" x14ac:dyDescent="0.3">
      <c r="A1596">
        <v>2025</v>
      </c>
      <c r="B1596">
        <v>11</v>
      </c>
      <c r="C1596" t="s">
        <v>47</v>
      </c>
      <c r="D1596" t="s">
        <v>23</v>
      </c>
      <c r="E1596">
        <v>93</v>
      </c>
      <c r="F1596">
        <v>143466.62</v>
      </c>
    </row>
    <row r="1597" spans="1:6" x14ac:dyDescent="0.3">
      <c r="A1597">
        <v>2025</v>
      </c>
      <c r="B1597">
        <v>11</v>
      </c>
      <c r="C1597" t="s">
        <v>47</v>
      </c>
      <c r="D1597" t="s">
        <v>24</v>
      </c>
      <c r="E1597">
        <v>151</v>
      </c>
      <c r="F1597">
        <v>132450</v>
      </c>
    </row>
    <row r="1598" spans="1:6" x14ac:dyDescent="0.3">
      <c r="A1598">
        <v>2025</v>
      </c>
      <c r="B1598">
        <v>11</v>
      </c>
      <c r="C1598" t="s">
        <v>47</v>
      </c>
      <c r="D1598" t="s">
        <v>25</v>
      </c>
      <c r="E1598">
        <v>152</v>
      </c>
      <c r="F1598">
        <v>146868.44</v>
      </c>
    </row>
    <row r="1599" spans="1:6" x14ac:dyDescent="0.3">
      <c r="A1599">
        <v>2025</v>
      </c>
      <c r="B1599">
        <v>11</v>
      </c>
      <c r="C1599" t="s">
        <v>47</v>
      </c>
      <c r="D1599" t="s">
        <v>26</v>
      </c>
      <c r="E1599">
        <v>56</v>
      </c>
      <c r="F1599">
        <v>73749.990000000005</v>
      </c>
    </row>
    <row r="1600" spans="1:6" x14ac:dyDescent="0.3">
      <c r="A1600">
        <v>2025</v>
      </c>
      <c r="B1600">
        <v>11</v>
      </c>
      <c r="C1600" t="s">
        <v>47</v>
      </c>
      <c r="D1600" t="s">
        <v>27</v>
      </c>
      <c r="E1600">
        <v>87</v>
      </c>
      <c r="F1600">
        <v>137117.43</v>
      </c>
    </row>
    <row r="1601" spans="1:6" x14ac:dyDescent="0.3">
      <c r="A1601">
        <v>2025</v>
      </c>
      <c r="B1601">
        <v>11</v>
      </c>
      <c r="C1601" t="s">
        <v>47</v>
      </c>
      <c r="D1601" t="s">
        <v>28</v>
      </c>
      <c r="E1601">
        <v>122</v>
      </c>
      <c r="F1601">
        <v>133700.39000000001</v>
      </c>
    </row>
    <row r="1602" spans="1:6" x14ac:dyDescent="0.3">
      <c r="A1602">
        <v>2025</v>
      </c>
      <c r="B1602">
        <v>11</v>
      </c>
      <c r="C1602" t="s">
        <v>47</v>
      </c>
      <c r="D1602" t="s">
        <v>29</v>
      </c>
      <c r="E1602">
        <v>102</v>
      </c>
      <c r="F1602">
        <v>159007.85999999999</v>
      </c>
    </row>
    <row r="1603" spans="1:6" x14ac:dyDescent="0.3">
      <c r="A1603">
        <v>2025</v>
      </c>
      <c r="B1603">
        <v>11</v>
      </c>
      <c r="C1603" t="s">
        <v>47</v>
      </c>
      <c r="D1603" t="s">
        <v>30</v>
      </c>
      <c r="E1603">
        <v>40</v>
      </c>
      <c r="F1603">
        <v>28394</v>
      </c>
    </row>
    <row r="1604" spans="1:6" x14ac:dyDescent="0.3">
      <c r="A1604">
        <v>2025</v>
      </c>
      <c r="B1604">
        <v>11</v>
      </c>
      <c r="C1604" t="s">
        <v>47</v>
      </c>
      <c r="D1604" t="s">
        <v>31</v>
      </c>
      <c r="E1604">
        <v>316</v>
      </c>
      <c r="F1604">
        <v>354052.81</v>
      </c>
    </row>
    <row r="1605" spans="1:6" x14ac:dyDescent="0.3">
      <c r="A1605">
        <v>2025</v>
      </c>
      <c r="B1605">
        <v>11</v>
      </c>
      <c r="C1605" t="s">
        <v>47</v>
      </c>
      <c r="D1605" t="s">
        <v>51</v>
      </c>
      <c r="E1605">
        <v>78</v>
      </c>
      <c r="F1605">
        <v>57368</v>
      </c>
    </row>
    <row r="1606" spans="1:6" x14ac:dyDescent="0.3">
      <c r="A1606">
        <v>2025</v>
      </c>
      <c r="B1606">
        <v>11</v>
      </c>
      <c r="C1606" t="s">
        <v>47</v>
      </c>
      <c r="D1606" t="s">
        <v>32</v>
      </c>
      <c r="E1606">
        <v>66</v>
      </c>
      <c r="F1606">
        <v>75192</v>
      </c>
    </row>
    <row r="1607" spans="1:6" x14ac:dyDescent="0.3">
      <c r="A1607">
        <v>2025</v>
      </c>
      <c r="B1607">
        <v>11</v>
      </c>
      <c r="C1607" t="s">
        <v>47</v>
      </c>
      <c r="D1607" t="s">
        <v>52</v>
      </c>
      <c r="E1607">
        <v>50</v>
      </c>
      <c r="F1607">
        <v>40796</v>
      </c>
    </row>
    <row r="1608" spans="1:6" x14ac:dyDescent="0.3">
      <c r="A1608">
        <v>2025</v>
      </c>
      <c r="B1608">
        <v>11</v>
      </c>
      <c r="C1608" t="s">
        <v>47</v>
      </c>
      <c r="D1608" t="s">
        <v>33</v>
      </c>
      <c r="E1608">
        <v>258</v>
      </c>
      <c r="F1608">
        <v>307968.8</v>
      </c>
    </row>
    <row r="1609" spans="1:6" x14ac:dyDescent="0.3">
      <c r="A1609">
        <v>2025</v>
      </c>
      <c r="B1609">
        <v>11</v>
      </c>
      <c r="C1609" t="s">
        <v>47</v>
      </c>
      <c r="D1609" t="s">
        <v>58</v>
      </c>
      <c r="E1609">
        <v>15</v>
      </c>
      <c r="F1609">
        <v>12461.99</v>
      </c>
    </row>
    <row r="1610" spans="1:6" x14ac:dyDescent="0.3">
      <c r="A1610">
        <v>2025</v>
      </c>
      <c r="B1610">
        <v>11</v>
      </c>
      <c r="C1610" t="s">
        <v>47</v>
      </c>
      <c r="D1610" t="s">
        <v>34</v>
      </c>
      <c r="E1610">
        <v>70</v>
      </c>
      <c r="F1610">
        <v>78766</v>
      </c>
    </row>
    <row r="1611" spans="1:6" x14ac:dyDescent="0.3">
      <c r="A1611">
        <v>2025</v>
      </c>
      <c r="B1611">
        <v>11</v>
      </c>
      <c r="C1611" t="s">
        <v>47</v>
      </c>
      <c r="D1611" t="s">
        <v>56</v>
      </c>
      <c r="E1611">
        <v>19</v>
      </c>
      <c r="F1611">
        <v>15618</v>
      </c>
    </row>
    <row r="1612" spans="1:6" x14ac:dyDescent="0.3">
      <c r="A1612">
        <v>2025</v>
      </c>
      <c r="B1612">
        <v>11</v>
      </c>
      <c r="C1612" t="s">
        <v>47</v>
      </c>
      <c r="D1612" t="s">
        <v>57</v>
      </c>
      <c r="E1612">
        <v>22</v>
      </c>
      <c r="F1612">
        <v>16733</v>
      </c>
    </row>
    <row r="1613" spans="1:6" x14ac:dyDescent="0.3">
      <c r="A1613">
        <v>2025</v>
      </c>
      <c r="B1613">
        <v>11</v>
      </c>
      <c r="C1613" t="s">
        <v>47</v>
      </c>
      <c r="D1613" t="s">
        <v>49</v>
      </c>
      <c r="E1613">
        <v>63</v>
      </c>
      <c r="F1613">
        <v>44991.6</v>
      </c>
    </row>
    <row r="1614" spans="1:6" x14ac:dyDescent="0.3">
      <c r="A1614">
        <v>2025</v>
      </c>
      <c r="B1614">
        <v>11</v>
      </c>
      <c r="C1614" t="s">
        <v>47</v>
      </c>
      <c r="D1614" t="s">
        <v>53</v>
      </c>
      <c r="E1614">
        <v>62</v>
      </c>
      <c r="F1614">
        <v>87597</v>
      </c>
    </row>
    <row r="1615" spans="1:6" x14ac:dyDescent="0.3">
      <c r="A1615">
        <v>2025</v>
      </c>
      <c r="B1615">
        <v>11</v>
      </c>
      <c r="C1615" t="s">
        <v>47</v>
      </c>
      <c r="D1615" t="s">
        <v>35</v>
      </c>
      <c r="E1615">
        <v>53</v>
      </c>
      <c r="F1615">
        <v>77749.5</v>
      </c>
    </row>
    <row r="1616" spans="1:6" x14ac:dyDescent="0.3">
      <c r="A1616">
        <v>2025</v>
      </c>
      <c r="B1616">
        <v>11</v>
      </c>
      <c r="C1616" t="s">
        <v>47</v>
      </c>
      <c r="D1616" t="s">
        <v>36</v>
      </c>
      <c r="E1616">
        <v>231</v>
      </c>
      <c r="F1616">
        <v>319924</v>
      </c>
    </row>
    <row r="1617" spans="1:6" x14ac:dyDescent="0.3">
      <c r="A1617">
        <v>2025</v>
      </c>
      <c r="B1617">
        <v>11</v>
      </c>
      <c r="C1617" t="s">
        <v>47</v>
      </c>
      <c r="D1617" t="s">
        <v>37</v>
      </c>
      <c r="E1617">
        <v>79</v>
      </c>
      <c r="F1617">
        <v>128400</v>
      </c>
    </row>
    <row r="1618" spans="1:6" x14ac:dyDescent="0.3">
      <c r="A1618">
        <v>2025</v>
      </c>
      <c r="B1618">
        <v>12</v>
      </c>
      <c r="C1618" t="s">
        <v>48</v>
      </c>
      <c r="D1618" t="s">
        <v>7</v>
      </c>
      <c r="E1618">
        <v>51</v>
      </c>
      <c r="F1618">
        <v>77855.679999999993</v>
      </c>
    </row>
    <row r="1619" spans="1:6" x14ac:dyDescent="0.3">
      <c r="A1619">
        <v>2025</v>
      </c>
      <c r="B1619">
        <v>12</v>
      </c>
      <c r="C1619" t="s">
        <v>48</v>
      </c>
      <c r="D1619" t="s">
        <v>8</v>
      </c>
      <c r="E1619">
        <v>88</v>
      </c>
      <c r="F1619">
        <v>105235.03</v>
      </c>
    </row>
    <row r="1620" spans="1:6" x14ac:dyDescent="0.3">
      <c r="A1620">
        <v>2025</v>
      </c>
      <c r="B1620">
        <v>12</v>
      </c>
      <c r="C1620" t="s">
        <v>48</v>
      </c>
      <c r="D1620" t="s">
        <v>9</v>
      </c>
      <c r="E1620">
        <v>14</v>
      </c>
      <c r="F1620">
        <v>21405</v>
      </c>
    </row>
    <row r="1621" spans="1:6" x14ac:dyDescent="0.3">
      <c r="A1621">
        <v>2025</v>
      </c>
      <c r="B1621">
        <v>12</v>
      </c>
      <c r="C1621" t="s">
        <v>48</v>
      </c>
      <c r="D1621" t="s">
        <v>10</v>
      </c>
      <c r="E1621">
        <v>97</v>
      </c>
      <c r="F1621">
        <v>92396</v>
      </c>
    </row>
    <row r="1622" spans="1:6" x14ac:dyDescent="0.3">
      <c r="A1622">
        <v>2025</v>
      </c>
      <c r="B1622">
        <v>12</v>
      </c>
      <c r="C1622" t="s">
        <v>48</v>
      </c>
      <c r="D1622" t="s">
        <v>11</v>
      </c>
      <c r="E1622">
        <v>53</v>
      </c>
      <c r="F1622">
        <v>67095</v>
      </c>
    </row>
    <row r="1623" spans="1:6" x14ac:dyDescent="0.3">
      <c r="A1623">
        <v>2025</v>
      </c>
      <c r="B1623">
        <v>12</v>
      </c>
      <c r="C1623" t="s">
        <v>48</v>
      </c>
      <c r="D1623" t="s">
        <v>59</v>
      </c>
      <c r="E1623">
        <v>10</v>
      </c>
      <c r="F1623">
        <v>10023</v>
      </c>
    </row>
    <row r="1624" spans="1:6" x14ac:dyDescent="0.3">
      <c r="A1624">
        <v>2025</v>
      </c>
      <c r="B1624">
        <v>12</v>
      </c>
      <c r="C1624" t="s">
        <v>48</v>
      </c>
      <c r="D1624" t="s">
        <v>12</v>
      </c>
      <c r="E1624">
        <v>71</v>
      </c>
      <c r="F1624">
        <v>106053.52</v>
      </c>
    </row>
    <row r="1625" spans="1:6" x14ac:dyDescent="0.3">
      <c r="A1625">
        <v>2025</v>
      </c>
      <c r="B1625">
        <v>12</v>
      </c>
      <c r="C1625" t="s">
        <v>48</v>
      </c>
      <c r="D1625" t="s">
        <v>13</v>
      </c>
      <c r="E1625">
        <v>94</v>
      </c>
      <c r="F1625">
        <v>168642.6</v>
      </c>
    </row>
    <row r="1626" spans="1:6" x14ac:dyDescent="0.3">
      <c r="A1626">
        <v>2025</v>
      </c>
      <c r="B1626">
        <v>12</v>
      </c>
      <c r="C1626" t="s">
        <v>48</v>
      </c>
      <c r="D1626" t="s">
        <v>14</v>
      </c>
      <c r="E1626">
        <v>103</v>
      </c>
      <c r="F1626">
        <v>91034.52</v>
      </c>
    </row>
    <row r="1627" spans="1:6" x14ac:dyDescent="0.3">
      <c r="A1627">
        <v>2025</v>
      </c>
      <c r="B1627">
        <v>12</v>
      </c>
      <c r="C1627" t="s">
        <v>48</v>
      </c>
      <c r="D1627" t="s">
        <v>15</v>
      </c>
      <c r="E1627">
        <v>36</v>
      </c>
      <c r="F1627">
        <v>34173</v>
      </c>
    </row>
    <row r="1628" spans="1:6" x14ac:dyDescent="0.3">
      <c r="A1628">
        <v>2025</v>
      </c>
      <c r="B1628">
        <v>12</v>
      </c>
      <c r="C1628" t="s">
        <v>48</v>
      </c>
      <c r="D1628" t="s">
        <v>16</v>
      </c>
      <c r="E1628">
        <v>30</v>
      </c>
      <c r="F1628">
        <v>28088</v>
      </c>
    </row>
    <row r="1629" spans="1:6" x14ac:dyDescent="0.3">
      <c r="A1629">
        <v>2025</v>
      </c>
      <c r="B1629">
        <v>12</v>
      </c>
      <c r="C1629" t="s">
        <v>48</v>
      </c>
      <c r="D1629" t="s">
        <v>54</v>
      </c>
      <c r="E1629">
        <v>13</v>
      </c>
      <c r="F1629">
        <v>10819</v>
      </c>
    </row>
    <row r="1630" spans="1:6" x14ac:dyDescent="0.3">
      <c r="A1630">
        <v>2025</v>
      </c>
      <c r="B1630">
        <v>12</v>
      </c>
      <c r="C1630" t="s">
        <v>48</v>
      </c>
      <c r="D1630" t="s">
        <v>17</v>
      </c>
      <c r="E1630">
        <v>143</v>
      </c>
      <c r="F1630">
        <v>278186.84999999998</v>
      </c>
    </row>
    <row r="1631" spans="1:6" x14ac:dyDescent="0.3">
      <c r="A1631">
        <v>2025</v>
      </c>
      <c r="B1631">
        <v>12</v>
      </c>
      <c r="C1631" t="s">
        <v>48</v>
      </c>
      <c r="D1631" t="s">
        <v>18</v>
      </c>
      <c r="E1631">
        <v>177</v>
      </c>
      <c r="F1631">
        <v>204576</v>
      </c>
    </row>
    <row r="1632" spans="1:6" x14ac:dyDescent="0.3">
      <c r="A1632">
        <v>2025</v>
      </c>
      <c r="B1632">
        <v>12</v>
      </c>
      <c r="C1632" t="s">
        <v>48</v>
      </c>
      <c r="D1632" t="s">
        <v>50</v>
      </c>
      <c r="E1632">
        <v>27</v>
      </c>
      <c r="F1632">
        <v>24544</v>
      </c>
    </row>
    <row r="1633" spans="1:6" x14ac:dyDescent="0.3">
      <c r="A1633">
        <v>2025</v>
      </c>
      <c r="B1633">
        <v>12</v>
      </c>
      <c r="C1633" t="s">
        <v>48</v>
      </c>
      <c r="D1633" t="s">
        <v>55</v>
      </c>
      <c r="E1633">
        <v>10</v>
      </c>
      <c r="F1633">
        <v>8453.89</v>
      </c>
    </row>
    <row r="1634" spans="1:6" x14ac:dyDescent="0.3">
      <c r="A1634">
        <v>2025</v>
      </c>
      <c r="B1634">
        <v>12</v>
      </c>
      <c r="C1634" t="s">
        <v>48</v>
      </c>
      <c r="D1634" t="s">
        <v>19</v>
      </c>
      <c r="E1634">
        <v>91</v>
      </c>
      <c r="F1634">
        <v>95475.55</v>
      </c>
    </row>
    <row r="1635" spans="1:6" x14ac:dyDescent="0.3">
      <c r="A1635">
        <v>2025</v>
      </c>
      <c r="B1635">
        <v>12</v>
      </c>
      <c r="C1635" t="s">
        <v>48</v>
      </c>
      <c r="D1635" t="s">
        <v>20</v>
      </c>
      <c r="E1635">
        <v>142</v>
      </c>
      <c r="F1635">
        <v>186084.58</v>
      </c>
    </row>
    <row r="1636" spans="1:6" x14ac:dyDescent="0.3">
      <c r="A1636">
        <v>2025</v>
      </c>
      <c r="B1636">
        <v>12</v>
      </c>
      <c r="C1636" t="s">
        <v>48</v>
      </c>
      <c r="D1636" t="s">
        <v>21</v>
      </c>
      <c r="E1636">
        <v>105</v>
      </c>
      <c r="F1636">
        <v>123438.9</v>
      </c>
    </row>
    <row r="1637" spans="1:6" x14ac:dyDescent="0.3">
      <c r="A1637">
        <v>2025</v>
      </c>
      <c r="B1637">
        <v>12</v>
      </c>
      <c r="C1637" t="s">
        <v>48</v>
      </c>
      <c r="D1637" t="s">
        <v>22</v>
      </c>
      <c r="E1637">
        <v>82</v>
      </c>
      <c r="F1637">
        <v>53828.85</v>
      </c>
    </row>
    <row r="1638" spans="1:6" x14ac:dyDescent="0.3">
      <c r="A1638">
        <v>2025</v>
      </c>
      <c r="B1638">
        <v>12</v>
      </c>
      <c r="C1638" t="s">
        <v>48</v>
      </c>
      <c r="D1638" t="s">
        <v>23</v>
      </c>
      <c r="E1638">
        <v>79</v>
      </c>
      <c r="F1638">
        <v>81423</v>
      </c>
    </row>
    <row r="1639" spans="1:6" x14ac:dyDescent="0.3">
      <c r="A1639">
        <v>2025</v>
      </c>
      <c r="B1639">
        <v>12</v>
      </c>
      <c r="C1639" t="s">
        <v>48</v>
      </c>
      <c r="D1639" t="s">
        <v>24</v>
      </c>
      <c r="E1639">
        <v>98</v>
      </c>
      <c r="F1639">
        <v>74121.06</v>
      </c>
    </row>
    <row r="1640" spans="1:6" x14ac:dyDescent="0.3">
      <c r="A1640">
        <v>2025</v>
      </c>
      <c r="B1640">
        <v>12</v>
      </c>
      <c r="C1640" t="s">
        <v>48</v>
      </c>
      <c r="D1640" t="s">
        <v>25</v>
      </c>
      <c r="E1640">
        <v>126</v>
      </c>
      <c r="F1640">
        <v>124662.5</v>
      </c>
    </row>
    <row r="1641" spans="1:6" x14ac:dyDescent="0.3">
      <c r="A1641">
        <v>2025</v>
      </c>
      <c r="B1641">
        <v>12</v>
      </c>
      <c r="C1641" t="s">
        <v>48</v>
      </c>
      <c r="D1641" t="s">
        <v>26</v>
      </c>
      <c r="E1641">
        <v>44</v>
      </c>
      <c r="F1641">
        <v>50659.96</v>
      </c>
    </row>
    <row r="1642" spans="1:6" x14ac:dyDescent="0.3">
      <c r="A1642">
        <v>2025</v>
      </c>
      <c r="B1642">
        <v>12</v>
      </c>
      <c r="C1642" t="s">
        <v>48</v>
      </c>
      <c r="D1642" t="s">
        <v>27</v>
      </c>
      <c r="E1642">
        <v>77</v>
      </c>
      <c r="F1642">
        <v>102630.16</v>
      </c>
    </row>
    <row r="1643" spans="1:6" x14ac:dyDescent="0.3">
      <c r="A1643">
        <v>2025</v>
      </c>
      <c r="B1643">
        <v>12</v>
      </c>
      <c r="C1643" t="s">
        <v>48</v>
      </c>
      <c r="D1643" t="s">
        <v>28</v>
      </c>
      <c r="E1643">
        <v>57</v>
      </c>
      <c r="F1643">
        <v>62359.43</v>
      </c>
    </row>
    <row r="1644" spans="1:6" x14ac:dyDescent="0.3">
      <c r="A1644">
        <v>2025</v>
      </c>
      <c r="B1644">
        <v>12</v>
      </c>
      <c r="C1644" t="s">
        <v>48</v>
      </c>
      <c r="D1644" t="s">
        <v>29</v>
      </c>
      <c r="E1644">
        <v>81</v>
      </c>
      <c r="F1644">
        <v>83213.33</v>
      </c>
    </row>
    <row r="1645" spans="1:6" x14ac:dyDescent="0.3">
      <c r="A1645">
        <v>2025</v>
      </c>
      <c r="B1645">
        <v>12</v>
      </c>
      <c r="C1645" t="s">
        <v>48</v>
      </c>
      <c r="D1645" t="s">
        <v>30</v>
      </c>
      <c r="E1645">
        <v>37</v>
      </c>
      <c r="F1645">
        <v>21764</v>
      </c>
    </row>
    <row r="1646" spans="1:6" x14ac:dyDescent="0.3">
      <c r="A1646">
        <v>2025</v>
      </c>
      <c r="B1646">
        <v>12</v>
      </c>
      <c r="C1646" t="s">
        <v>48</v>
      </c>
      <c r="D1646" t="s">
        <v>31</v>
      </c>
      <c r="E1646">
        <v>247</v>
      </c>
      <c r="F1646">
        <v>281854.59999999998</v>
      </c>
    </row>
    <row r="1647" spans="1:6" x14ac:dyDescent="0.3">
      <c r="A1647">
        <v>2025</v>
      </c>
      <c r="B1647">
        <v>12</v>
      </c>
      <c r="C1647" t="s">
        <v>48</v>
      </c>
      <c r="D1647" t="s">
        <v>51</v>
      </c>
      <c r="E1647">
        <v>116</v>
      </c>
      <c r="F1647">
        <v>113807</v>
      </c>
    </row>
    <row r="1648" spans="1:6" x14ac:dyDescent="0.3">
      <c r="A1648">
        <v>2025</v>
      </c>
      <c r="B1648">
        <v>12</v>
      </c>
      <c r="C1648" t="s">
        <v>48</v>
      </c>
      <c r="D1648" t="s">
        <v>32</v>
      </c>
      <c r="E1648">
        <v>46</v>
      </c>
      <c r="F1648">
        <v>54085</v>
      </c>
    </row>
    <row r="1649" spans="1:6" x14ac:dyDescent="0.3">
      <c r="A1649">
        <v>2025</v>
      </c>
      <c r="B1649">
        <v>12</v>
      </c>
      <c r="C1649" t="s">
        <v>48</v>
      </c>
      <c r="D1649" t="s">
        <v>52</v>
      </c>
      <c r="E1649">
        <v>39</v>
      </c>
      <c r="F1649">
        <v>37150</v>
      </c>
    </row>
    <row r="1650" spans="1:6" x14ac:dyDescent="0.3">
      <c r="A1650">
        <v>2025</v>
      </c>
      <c r="B1650">
        <v>12</v>
      </c>
      <c r="C1650" t="s">
        <v>48</v>
      </c>
      <c r="D1650" t="s">
        <v>33</v>
      </c>
      <c r="E1650">
        <v>226</v>
      </c>
      <c r="F1650">
        <v>258992.68</v>
      </c>
    </row>
    <row r="1651" spans="1:6" x14ac:dyDescent="0.3">
      <c r="A1651">
        <v>2025</v>
      </c>
      <c r="B1651">
        <v>12</v>
      </c>
      <c r="C1651" t="s">
        <v>48</v>
      </c>
      <c r="D1651" t="s">
        <v>58</v>
      </c>
      <c r="E1651">
        <v>22</v>
      </c>
      <c r="F1651">
        <v>19336</v>
      </c>
    </row>
    <row r="1652" spans="1:6" x14ac:dyDescent="0.3">
      <c r="A1652">
        <v>2025</v>
      </c>
      <c r="B1652">
        <v>12</v>
      </c>
      <c r="C1652" t="s">
        <v>48</v>
      </c>
      <c r="D1652" t="s">
        <v>34</v>
      </c>
      <c r="E1652">
        <v>58</v>
      </c>
      <c r="F1652">
        <v>88913.4</v>
      </c>
    </row>
    <row r="1653" spans="1:6" x14ac:dyDescent="0.3">
      <c r="A1653">
        <v>2025</v>
      </c>
      <c r="B1653">
        <v>12</v>
      </c>
      <c r="C1653" t="s">
        <v>48</v>
      </c>
      <c r="D1653" t="s">
        <v>56</v>
      </c>
      <c r="E1653">
        <v>21</v>
      </c>
      <c r="F1653">
        <v>17588</v>
      </c>
    </row>
    <row r="1654" spans="1:6" x14ac:dyDescent="0.3">
      <c r="A1654">
        <v>2025</v>
      </c>
      <c r="B1654">
        <v>12</v>
      </c>
      <c r="C1654" t="s">
        <v>48</v>
      </c>
      <c r="D1654" t="s">
        <v>57</v>
      </c>
      <c r="E1654">
        <v>7</v>
      </c>
      <c r="F1654">
        <v>5356</v>
      </c>
    </row>
    <row r="1655" spans="1:6" x14ac:dyDescent="0.3">
      <c r="A1655">
        <v>2025</v>
      </c>
      <c r="B1655">
        <v>12</v>
      </c>
      <c r="C1655" t="s">
        <v>48</v>
      </c>
      <c r="D1655" t="s">
        <v>49</v>
      </c>
      <c r="E1655">
        <v>7</v>
      </c>
      <c r="F1655">
        <v>4549</v>
      </c>
    </row>
    <row r="1656" spans="1:6" x14ac:dyDescent="0.3">
      <c r="A1656">
        <v>2025</v>
      </c>
      <c r="B1656">
        <v>12</v>
      </c>
      <c r="C1656" t="s">
        <v>48</v>
      </c>
      <c r="D1656" t="s">
        <v>53</v>
      </c>
      <c r="E1656">
        <v>38</v>
      </c>
      <c r="F1656">
        <v>34806</v>
      </c>
    </row>
    <row r="1657" spans="1:6" x14ac:dyDescent="0.3">
      <c r="A1657">
        <v>2025</v>
      </c>
      <c r="B1657">
        <v>12</v>
      </c>
      <c r="C1657" t="s">
        <v>48</v>
      </c>
      <c r="D1657" t="s">
        <v>35</v>
      </c>
      <c r="E1657">
        <v>41</v>
      </c>
      <c r="F1657">
        <v>35755</v>
      </c>
    </row>
    <row r="1658" spans="1:6" x14ac:dyDescent="0.3">
      <c r="A1658">
        <v>2025</v>
      </c>
      <c r="B1658">
        <v>12</v>
      </c>
      <c r="C1658" t="s">
        <v>48</v>
      </c>
      <c r="D1658" t="s">
        <v>36</v>
      </c>
      <c r="E1658">
        <v>65</v>
      </c>
      <c r="F1658">
        <v>81966.03</v>
      </c>
    </row>
    <row r="1659" spans="1:6" x14ac:dyDescent="0.3">
      <c r="A1659">
        <v>2025</v>
      </c>
      <c r="B1659">
        <v>12</v>
      </c>
      <c r="C1659" t="s">
        <v>48</v>
      </c>
      <c r="D1659" t="s">
        <v>37</v>
      </c>
      <c r="E1659">
        <v>72</v>
      </c>
      <c r="F1659">
        <v>86845.41</v>
      </c>
    </row>
    <row r="1660" spans="1:6" x14ac:dyDescent="0.3">
      <c r="A1660">
        <v>2026</v>
      </c>
      <c r="B1660">
        <v>1</v>
      </c>
      <c r="C1660" t="s">
        <v>6</v>
      </c>
      <c r="D1660" t="s">
        <v>7</v>
      </c>
      <c r="E1660">
        <v>71</v>
      </c>
      <c r="F1660">
        <v>67996.45</v>
      </c>
    </row>
    <row r="1661" spans="1:6" x14ac:dyDescent="0.3">
      <c r="A1661">
        <v>2026</v>
      </c>
      <c r="B1661">
        <v>1</v>
      </c>
      <c r="C1661" t="s">
        <v>6</v>
      </c>
      <c r="D1661" t="s">
        <v>8</v>
      </c>
      <c r="E1661">
        <v>289</v>
      </c>
      <c r="F1661">
        <v>298011.01</v>
      </c>
    </row>
    <row r="1662" spans="1:6" x14ac:dyDescent="0.3">
      <c r="A1662">
        <v>2026</v>
      </c>
      <c r="B1662">
        <v>1</v>
      </c>
      <c r="C1662" t="s">
        <v>6</v>
      </c>
      <c r="D1662" t="s">
        <v>9</v>
      </c>
      <c r="E1662">
        <v>23</v>
      </c>
      <c r="F1662">
        <v>36916</v>
      </c>
    </row>
    <row r="1663" spans="1:6" x14ac:dyDescent="0.3">
      <c r="A1663">
        <v>2026</v>
      </c>
      <c r="B1663">
        <v>1</v>
      </c>
      <c r="C1663" t="s">
        <v>6</v>
      </c>
      <c r="D1663" t="s">
        <v>10</v>
      </c>
      <c r="E1663">
        <v>74</v>
      </c>
      <c r="F1663">
        <v>71966</v>
      </c>
    </row>
    <row r="1664" spans="1:6" x14ac:dyDescent="0.3">
      <c r="A1664">
        <v>2026</v>
      </c>
      <c r="B1664">
        <v>1</v>
      </c>
      <c r="C1664" t="s">
        <v>6</v>
      </c>
      <c r="D1664" t="s">
        <v>11</v>
      </c>
      <c r="E1664">
        <v>59</v>
      </c>
      <c r="F1664">
        <v>102431</v>
      </c>
    </row>
    <row r="1665" spans="1:6" x14ac:dyDescent="0.3">
      <c r="A1665">
        <v>2026</v>
      </c>
      <c r="B1665">
        <v>1</v>
      </c>
      <c r="C1665" t="s">
        <v>6</v>
      </c>
      <c r="D1665" t="s">
        <v>59</v>
      </c>
      <c r="E1665">
        <v>9</v>
      </c>
      <c r="F1665">
        <v>8929</v>
      </c>
    </row>
    <row r="1666" spans="1:6" x14ac:dyDescent="0.3">
      <c r="A1666">
        <v>2026</v>
      </c>
      <c r="B1666">
        <v>1</v>
      </c>
      <c r="C1666" t="s">
        <v>6</v>
      </c>
      <c r="D1666" t="s">
        <v>12</v>
      </c>
      <c r="E1666">
        <v>59</v>
      </c>
      <c r="F1666">
        <v>53810.75</v>
      </c>
    </row>
    <row r="1667" spans="1:6" x14ac:dyDescent="0.3">
      <c r="A1667">
        <v>2026</v>
      </c>
      <c r="B1667">
        <v>1</v>
      </c>
      <c r="C1667" t="s">
        <v>6</v>
      </c>
      <c r="D1667" t="s">
        <v>13</v>
      </c>
      <c r="E1667">
        <v>79</v>
      </c>
      <c r="F1667">
        <v>150951</v>
      </c>
    </row>
    <row r="1668" spans="1:6" x14ac:dyDescent="0.3">
      <c r="A1668">
        <v>2026</v>
      </c>
      <c r="B1668">
        <v>1</v>
      </c>
      <c r="C1668" t="s">
        <v>6</v>
      </c>
      <c r="D1668" t="s">
        <v>14</v>
      </c>
      <c r="E1668">
        <v>188</v>
      </c>
      <c r="F1668">
        <v>227824.59</v>
      </c>
    </row>
    <row r="1669" spans="1:6" x14ac:dyDescent="0.3">
      <c r="A1669">
        <v>2026</v>
      </c>
      <c r="B1669">
        <v>1</v>
      </c>
      <c r="C1669" t="s">
        <v>6</v>
      </c>
      <c r="D1669" t="s">
        <v>15</v>
      </c>
      <c r="E1669">
        <v>44</v>
      </c>
      <c r="F1669">
        <v>48632</v>
      </c>
    </row>
    <row r="1670" spans="1:6" x14ac:dyDescent="0.3">
      <c r="A1670">
        <v>2026</v>
      </c>
      <c r="B1670">
        <v>1</v>
      </c>
      <c r="C1670" t="s">
        <v>6</v>
      </c>
      <c r="D1670" t="s">
        <v>16</v>
      </c>
      <c r="E1670">
        <v>39</v>
      </c>
      <c r="F1670">
        <v>41952.24</v>
      </c>
    </row>
    <row r="1671" spans="1:6" x14ac:dyDescent="0.3">
      <c r="A1671">
        <v>2026</v>
      </c>
      <c r="B1671">
        <v>1</v>
      </c>
      <c r="C1671" t="s">
        <v>6</v>
      </c>
      <c r="D1671" t="s">
        <v>54</v>
      </c>
      <c r="E1671">
        <v>17</v>
      </c>
      <c r="F1671">
        <v>13180</v>
      </c>
    </row>
    <row r="1672" spans="1:6" x14ac:dyDescent="0.3">
      <c r="A1672">
        <v>2026</v>
      </c>
      <c r="B1672">
        <v>1</v>
      </c>
      <c r="C1672" t="s">
        <v>6</v>
      </c>
      <c r="D1672" t="s">
        <v>17</v>
      </c>
      <c r="E1672">
        <v>111</v>
      </c>
      <c r="F1672">
        <v>139744.04</v>
      </c>
    </row>
    <row r="1673" spans="1:6" x14ac:dyDescent="0.3">
      <c r="A1673">
        <v>2026</v>
      </c>
      <c r="B1673">
        <v>1</v>
      </c>
      <c r="C1673" t="s">
        <v>6</v>
      </c>
      <c r="D1673" t="s">
        <v>18</v>
      </c>
      <c r="E1673">
        <v>125</v>
      </c>
      <c r="F1673">
        <v>146735</v>
      </c>
    </row>
    <row r="1674" spans="1:6" x14ac:dyDescent="0.3">
      <c r="A1674">
        <v>2026</v>
      </c>
      <c r="B1674">
        <v>1</v>
      </c>
      <c r="C1674" t="s">
        <v>6</v>
      </c>
      <c r="D1674" t="s">
        <v>50</v>
      </c>
      <c r="E1674">
        <v>21</v>
      </c>
      <c r="F1674">
        <v>17007</v>
      </c>
    </row>
    <row r="1675" spans="1:6" x14ac:dyDescent="0.3">
      <c r="A1675">
        <v>2026</v>
      </c>
      <c r="B1675">
        <v>1</v>
      </c>
      <c r="C1675" t="s">
        <v>6</v>
      </c>
      <c r="D1675" t="s">
        <v>55</v>
      </c>
      <c r="E1675">
        <v>8</v>
      </c>
      <c r="F1675">
        <v>6810</v>
      </c>
    </row>
    <row r="1676" spans="1:6" x14ac:dyDescent="0.3">
      <c r="A1676">
        <v>2026</v>
      </c>
      <c r="B1676">
        <v>1</v>
      </c>
      <c r="C1676" t="s">
        <v>6</v>
      </c>
      <c r="D1676" t="s">
        <v>19</v>
      </c>
      <c r="E1676">
        <v>138</v>
      </c>
      <c r="F1676">
        <v>114426.5</v>
      </c>
    </row>
    <row r="1677" spans="1:6" x14ac:dyDescent="0.3">
      <c r="A1677">
        <v>2026</v>
      </c>
      <c r="B1677">
        <v>1</v>
      </c>
      <c r="C1677" t="s">
        <v>6</v>
      </c>
      <c r="D1677" t="s">
        <v>20</v>
      </c>
      <c r="E1677">
        <v>70</v>
      </c>
      <c r="F1677">
        <v>78855</v>
      </c>
    </row>
    <row r="1678" spans="1:6" x14ac:dyDescent="0.3">
      <c r="A1678">
        <v>2026</v>
      </c>
      <c r="B1678">
        <v>1</v>
      </c>
      <c r="C1678" t="s">
        <v>6</v>
      </c>
      <c r="D1678" t="s">
        <v>21</v>
      </c>
      <c r="E1678">
        <v>93</v>
      </c>
      <c r="F1678">
        <v>102208</v>
      </c>
    </row>
    <row r="1679" spans="1:6" x14ac:dyDescent="0.3">
      <c r="A1679">
        <v>2026</v>
      </c>
      <c r="B1679">
        <v>1</v>
      </c>
      <c r="C1679" t="s">
        <v>6</v>
      </c>
      <c r="D1679" t="s">
        <v>22</v>
      </c>
      <c r="E1679">
        <v>60</v>
      </c>
      <c r="F1679">
        <v>48352.88</v>
      </c>
    </row>
    <row r="1680" spans="1:6" x14ac:dyDescent="0.3">
      <c r="A1680">
        <v>2026</v>
      </c>
      <c r="B1680">
        <v>1</v>
      </c>
      <c r="C1680" t="s">
        <v>6</v>
      </c>
      <c r="D1680" t="s">
        <v>23</v>
      </c>
      <c r="E1680">
        <v>52</v>
      </c>
      <c r="F1680">
        <v>105551.61</v>
      </c>
    </row>
    <row r="1681" spans="1:6" x14ac:dyDescent="0.3">
      <c r="A1681">
        <v>2026</v>
      </c>
      <c r="B1681">
        <v>1</v>
      </c>
      <c r="C1681" t="s">
        <v>6</v>
      </c>
      <c r="D1681" t="s">
        <v>24</v>
      </c>
      <c r="E1681">
        <v>117</v>
      </c>
      <c r="F1681">
        <v>136928.53</v>
      </c>
    </row>
    <row r="1682" spans="1:6" x14ac:dyDescent="0.3">
      <c r="A1682">
        <v>2026</v>
      </c>
      <c r="B1682">
        <v>1</v>
      </c>
      <c r="C1682" t="s">
        <v>6</v>
      </c>
      <c r="D1682" t="s">
        <v>25</v>
      </c>
      <c r="E1682">
        <v>119</v>
      </c>
      <c r="F1682">
        <v>109271.6</v>
      </c>
    </row>
    <row r="1683" spans="1:6" x14ac:dyDescent="0.3">
      <c r="A1683">
        <v>2026</v>
      </c>
      <c r="B1683">
        <v>1</v>
      </c>
      <c r="C1683" t="s">
        <v>6</v>
      </c>
      <c r="D1683" t="s">
        <v>26</v>
      </c>
      <c r="E1683">
        <v>37</v>
      </c>
      <c r="F1683">
        <v>55831.63</v>
      </c>
    </row>
    <row r="1684" spans="1:6" x14ac:dyDescent="0.3">
      <c r="A1684">
        <v>2026</v>
      </c>
      <c r="B1684">
        <v>1</v>
      </c>
      <c r="C1684" t="s">
        <v>6</v>
      </c>
      <c r="D1684" t="s">
        <v>27</v>
      </c>
      <c r="E1684">
        <v>92</v>
      </c>
      <c r="F1684">
        <v>121856</v>
      </c>
    </row>
    <row r="1685" spans="1:6" x14ac:dyDescent="0.3">
      <c r="A1685">
        <v>2026</v>
      </c>
      <c r="B1685">
        <v>1</v>
      </c>
      <c r="C1685" t="s">
        <v>6</v>
      </c>
      <c r="D1685" t="s">
        <v>28</v>
      </c>
      <c r="E1685">
        <v>97</v>
      </c>
      <c r="F1685">
        <v>107841.5</v>
      </c>
    </row>
    <row r="1686" spans="1:6" x14ac:dyDescent="0.3">
      <c r="A1686">
        <v>2026</v>
      </c>
      <c r="B1686">
        <v>1</v>
      </c>
      <c r="C1686" t="s">
        <v>6</v>
      </c>
      <c r="D1686" t="s">
        <v>29</v>
      </c>
      <c r="E1686">
        <v>70</v>
      </c>
      <c r="F1686">
        <v>75533</v>
      </c>
    </row>
    <row r="1687" spans="1:6" x14ac:dyDescent="0.3">
      <c r="A1687">
        <v>2026</v>
      </c>
      <c r="B1687">
        <v>1</v>
      </c>
      <c r="C1687" t="s">
        <v>6</v>
      </c>
      <c r="D1687" t="s">
        <v>30</v>
      </c>
      <c r="E1687">
        <v>67</v>
      </c>
      <c r="F1687">
        <v>46791</v>
      </c>
    </row>
    <row r="1688" spans="1:6" x14ac:dyDescent="0.3">
      <c r="A1688">
        <v>2026</v>
      </c>
      <c r="B1688">
        <v>1</v>
      </c>
      <c r="C1688" t="s">
        <v>6</v>
      </c>
      <c r="D1688" t="s">
        <v>31</v>
      </c>
      <c r="E1688">
        <v>188</v>
      </c>
      <c r="F1688">
        <v>224985.08</v>
      </c>
    </row>
    <row r="1689" spans="1:6" x14ac:dyDescent="0.3">
      <c r="A1689">
        <v>2026</v>
      </c>
      <c r="B1689">
        <v>1</v>
      </c>
      <c r="C1689" t="s">
        <v>6</v>
      </c>
      <c r="D1689" t="s">
        <v>51</v>
      </c>
      <c r="E1689">
        <v>117</v>
      </c>
      <c r="F1689">
        <v>81785</v>
      </c>
    </row>
    <row r="1690" spans="1:6" x14ac:dyDescent="0.3">
      <c r="A1690">
        <v>2026</v>
      </c>
      <c r="B1690">
        <v>1</v>
      </c>
      <c r="C1690" t="s">
        <v>6</v>
      </c>
      <c r="D1690" t="s">
        <v>32</v>
      </c>
      <c r="E1690">
        <v>55</v>
      </c>
      <c r="F1690">
        <v>64171</v>
      </c>
    </row>
    <row r="1691" spans="1:6" x14ac:dyDescent="0.3">
      <c r="A1691">
        <v>2026</v>
      </c>
      <c r="B1691">
        <v>1</v>
      </c>
      <c r="C1691" t="s">
        <v>6</v>
      </c>
      <c r="D1691" t="s">
        <v>52</v>
      </c>
      <c r="E1691">
        <v>37</v>
      </c>
      <c r="F1691">
        <v>33220</v>
      </c>
    </row>
    <row r="1692" spans="1:6" x14ac:dyDescent="0.3">
      <c r="A1692">
        <v>2026</v>
      </c>
      <c r="B1692">
        <v>1</v>
      </c>
      <c r="C1692" t="s">
        <v>6</v>
      </c>
      <c r="D1692" t="s">
        <v>33</v>
      </c>
      <c r="E1692">
        <v>178</v>
      </c>
      <c r="F1692">
        <v>221314.44</v>
      </c>
    </row>
    <row r="1693" spans="1:6" x14ac:dyDescent="0.3">
      <c r="A1693">
        <v>2026</v>
      </c>
      <c r="B1693">
        <v>1</v>
      </c>
      <c r="C1693" t="s">
        <v>6</v>
      </c>
      <c r="D1693" t="s">
        <v>58</v>
      </c>
      <c r="E1693">
        <v>33</v>
      </c>
      <c r="F1693">
        <v>29577</v>
      </c>
    </row>
    <row r="1694" spans="1:6" x14ac:dyDescent="0.3">
      <c r="A1694">
        <v>2026</v>
      </c>
      <c r="B1694">
        <v>1</v>
      </c>
      <c r="C1694" t="s">
        <v>6</v>
      </c>
      <c r="D1694" t="s">
        <v>34</v>
      </c>
      <c r="E1694">
        <v>75</v>
      </c>
      <c r="F1694">
        <v>91795</v>
      </c>
    </row>
    <row r="1695" spans="1:6" x14ac:dyDescent="0.3">
      <c r="A1695">
        <v>2026</v>
      </c>
      <c r="B1695">
        <v>1</v>
      </c>
      <c r="C1695" t="s">
        <v>6</v>
      </c>
      <c r="D1695" t="s">
        <v>56</v>
      </c>
      <c r="E1695">
        <v>15</v>
      </c>
      <c r="F1695">
        <v>11818</v>
      </c>
    </row>
    <row r="1696" spans="1:6" x14ac:dyDescent="0.3">
      <c r="A1696">
        <v>2026</v>
      </c>
      <c r="B1696">
        <v>1</v>
      </c>
      <c r="C1696" t="s">
        <v>6</v>
      </c>
      <c r="D1696" t="s">
        <v>57</v>
      </c>
      <c r="E1696">
        <v>19</v>
      </c>
      <c r="F1696">
        <v>16984</v>
      </c>
    </row>
    <row r="1697" spans="1:6" x14ac:dyDescent="0.3">
      <c r="A1697">
        <v>2026</v>
      </c>
      <c r="B1697">
        <v>1</v>
      </c>
      <c r="C1697" t="s">
        <v>6</v>
      </c>
      <c r="D1697" t="s">
        <v>49</v>
      </c>
      <c r="E1697">
        <v>10</v>
      </c>
      <c r="F1697">
        <v>8091.44</v>
      </c>
    </row>
    <row r="1698" spans="1:6" x14ac:dyDescent="0.3">
      <c r="A1698">
        <v>2026</v>
      </c>
      <c r="B1698">
        <v>1</v>
      </c>
      <c r="C1698" t="s">
        <v>6</v>
      </c>
      <c r="D1698" t="s">
        <v>53</v>
      </c>
      <c r="E1698">
        <v>19</v>
      </c>
      <c r="F1698">
        <v>17061</v>
      </c>
    </row>
    <row r="1699" spans="1:6" x14ac:dyDescent="0.3">
      <c r="A1699">
        <v>2026</v>
      </c>
      <c r="B1699">
        <v>1</v>
      </c>
      <c r="C1699" t="s">
        <v>6</v>
      </c>
      <c r="D1699" t="s">
        <v>35</v>
      </c>
      <c r="E1699">
        <v>62</v>
      </c>
      <c r="F1699">
        <v>84994.42</v>
      </c>
    </row>
    <row r="1700" spans="1:6" x14ac:dyDescent="0.3">
      <c r="A1700">
        <v>2026</v>
      </c>
      <c r="B1700">
        <v>1</v>
      </c>
      <c r="C1700" t="s">
        <v>6</v>
      </c>
      <c r="D1700" t="s">
        <v>36</v>
      </c>
      <c r="E1700">
        <v>64</v>
      </c>
      <c r="F1700">
        <v>87713.68</v>
      </c>
    </row>
    <row r="1701" spans="1:6" x14ac:dyDescent="0.3">
      <c r="A1701">
        <v>2026</v>
      </c>
      <c r="B1701">
        <v>1</v>
      </c>
      <c r="C1701" t="s">
        <v>6</v>
      </c>
      <c r="D1701" t="s">
        <v>37</v>
      </c>
      <c r="E1701">
        <v>56</v>
      </c>
      <c r="F1701">
        <v>63202.79</v>
      </c>
    </row>
    <row r="1702" spans="1:6" x14ac:dyDescent="0.3">
      <c r="A1702">
        <v>2026</v>
      </c>
      <c r="B1702">
        <v>2</v>
      </c>
      <c r="C1702" t="s">
        <v>38</v>
      </c>
      <c r="D1702" t="s">
        <v>7</v>
      </c>
      <c r="E1702">
        <v>48</v>
      </c>
      <c r="F1702">
        <v>66562.13</v>
      </c>
    </row>
    <row r="1703" spans="1:6" x14ac:dyDescent="0.3">
      <c r="A1703">
        <v>2026</v>
      </c>
      <c r="B1703">
        <v>2</v>
      </c>
      <c r="C1703" t="s">
        <v>38</v>
      </c>
      <c r="D1703" t="s">
        <v>8</v>
      </c>
      <c r="E1703">
        <v>154</v>
      </c>
      <c r="F1703">
        <v>194061.53</v>
      </c>
    </row>
    <row r="1704" spans="1:6" x14ac:dyDescent="0.3">
      <c r="A1704">
        <v>2026</v>
      </c>
      <c r="B1704">
        <v>2</v>
      </c>
      <c r="C1704" t="s">
        <v>38</v>
      </c>
      <c r="D1704" t="s">
        <v>9</v>
      </c>
      <c r="E1704">
        <v>25</v>
      </c>
      <c r="F1704">
        <v>61109</v>
      </c>
    </row>
    <row r="1705" spans="1:6" x14ac:dyDescent="0.3">
      <c r="A1705">
        <v>2026</v>
      </c>
      <c r="B1705">
        <v>2</v>
      </c>
      <c r="C1705" t="s">
        <v>38</v>
      </c>
      <c r="D1705" t="s">
        <v>10</v>
      </c>
      <c r="E1705">
        <v>68</v>
      </c>
      <c r="F1705">
        <v>76478</v>
      </c>
    </row>
    <row r="1706" spans="1:6" x14ac:dyDescent="0.3">
      <c r="A1706">
        <v>2026</v>
      </c>
      <c r="B1706">
        <v>2</v>
      </c>
      <c r="C1706" t="s">
        <v>38</v>
      </c>
      <c r="D1706" t="s">
        <v>11</v>
      </c>
      <c r="E1706">
        <v>37</v>
      </c>
      <c r="F1706">
        <v>40322</v>
      </c>
    </row>
    <row r="1707" spans="1:6" x14ac:dyDescent="0.3">
      <c r="A1707">
        <v>2026</v>
      </c>
      <c r="B1707">
        <v>2</v>
      </c>
      <c r="C1707" t="s">
        <v>38</v>
      </c>
      <c r="D1707" t="s">
        <v>59</v>
      </c>
      <c r="E1707">
        <v>8</v>
      </c>
      <c r="F1707">
        <v>7729</v>
      </c>
    </row>
    <row r="1708" spans="1:6" x14ac:dyDescent="0.3">
      <c r="A1708">
        <v>2026</v>
      </c>
      <c r="B1708">
        <v>2</v>
      </c>
      <c r="C1708" t="s">
        <v>38</v>
      </c>
      <c r="D1708" t="s">
        <v>12</v>
      </c>
      <c r="E1708">
        <v>74</v>
      </c>
      <c r="F1708">
        <v>86954</v>
      </c>
    </row>
    <row r="1709" spans="1:6" x14ac:dyDescent="0.3">
      <c r="A1709">
        <v>2026</v>
      </c>
      <c r="B1709">
        <v>2</v>
      </c>
      <c r="C1709" t="s">
        <v>38</v>
      </c>
      <c r="D1709" t="s">
        <v>13</v>
      </c>
      <c r="E1709">
        <v>98</v>
      </c>
      <c r="F1709">
        <v>137741</v>
      </c>
    </row>
    <row r="1710" spans="1:6" x14ac:dyDescent="0.3">
      <c r="A1710">
        <v>2026</v>
      </c>
      <c r="B1710">
        <v>2</v>
      </c>
      <c r="C1710" t="s">
        <v>38</v>
      </c>
      <c r="D1710" t="s">
        <v>14</v>
      </c>
      <c r="E1710">
        <v>140</v>
      </c>
      <c r="F1710">
        <v>115331.84</v>
      </c>
    </row>
    <row r="1711" spans="1:6" x14ac:dyDescent="0.3">
      <c r="A1711">
        <v>2026</v>
      </c>
      <c r="B1711">
        <v>2</v>
      </c>
      <c r="C1711" t="s">
        <v>38</v>
      </c>
      <c r="D1711" t="s">
        <v>15</v>
      </c>
      <c r="E1711">
        <v>58</v>
      </c>
      <c r="F1711">
        <v>32973</v>
      </c>
    </row>
    <row r="1712" spans="1:6" x14ac:dyDescent="0.3">
      <c r="A1712">
        <v>2026</v>
      </c>
      <c r="B1712">
        <v>2</v>
      </c>
      <c r="C1712" t="s">
        <v>38</v>
      </c>
      <c r="D1712" t="s">
        <v>16</v>
      </c>
      <c r="E1712">
        <v>41</v>
      </c>
      <c r="F1712">
        <v>29765</v>
      </c>
    </row>
    <row r="1713" spans="1:6" x14ac:dyDescent="0.3">
      <c r="A1713">
        <v>2026</v>
      </c>
      <c r="B1713">
        <v>2</v>
      </c>
      <c r="C1713" t="s">
        <v>38</v>
      </c>
      <c r="D1713" t="s">
        <v>54</v>
      </c>
      <c r="E1713">
        <v>20</v>
      </c>
      <c r="F1713">
        <v>14696</v>
      </c>
    </row>
    <row r="1714" spans="1:6" x14ac:dyDescent="0.3">
      <c r="A1714">
        <v>2026</v>
      </c>
      <c r="B1714">
        <v>2</v>
      </c>
      <c r="C1714" t="s">
        <v>38</v>
      </c>
      <c r="D1714" t="s">
        <v>17</v>
      </c>
      <c r="E1714">
        <v>152</v>
      </c>
      <c r="F1714">
        <v>198396.84</v>
      </c>
    </row>
    <row r="1715" spans="1:6" x14ac:dyDescent="0.3">
      <c r="A1715">
        <v>2026</v>
      </c>
      <c r="B1715">
        <v>2</v>
      </c>
      <c r="C1715" t="s">
        <v>38</v>
      </c>
      <c r="D1715" t="s">
        <v>18</v>
      </c>
      <c r="E1715">
        <v>85</v>
      </c>
      <c r="F1715">
        <v>90279</v>
      </c>
    </row>
    <row r="1716" spans="1:6" x14ac:dyDescent="0.3">
      <c r="A1716">
        <v>2026</v>
      </c>
      <c r="B1716">
        <v>2</v>
      </c>
      <c r="C1716" t="s">
        <v>38</v>
      </c>
      <c r="D1716" t="s">
        <v>50</v>
      </c>
      <c r="E1716">
        <v>14</v>
      </c>
      <c r="F1716">
        <v>11840</v>
      </c>
    </row>
    <row r="1717" spans="1:6" x14ac:dyDescent="0.3">
      <c r="A1717">
        <v>2026</v>
      </c>
      <c r="B1717">
        <v>2</v>
      </c>
      <c r="C1717" t="s">
        <v>38</v>
      </c>
      <c r="D1717" t="s">
        <v>55</v>
      </c>
      <c r="E1717">
        <v>21</v>
      </c>
      <c r="F1717">
        <v>20641</v>
      </c>
    </row>
    <row r="1718" spans="1:6" x14ac:dyDescent="0.3">
      <c r="A1718">
        <v>2026</v>
      </c>
      <c r="B1718">
        <v>2</v>
      </c>
      <c r="C1718" t="s">
        <v>38</v>
      </c>
      <c r="D1718" t="s">
        <v>19</v>
      </c>
      <c r="E1718">
        <v>92</v>
      </c>
      <c r="F1718">
        <v>94059.4</v>
      </c>
    </row>
    <row r="1719" spans="1:6" x14ac:dyDescent="0.3">
      <c r="A1719">
        <v>2026</v>
      </c>
      <c r="B1719">
        <v>2</v>
      </c>
      <c r="C1719" t="s">
        <v>38</v>
      </c>
      <c r="D1719" t="s">
        <v>20</v>
      </c>
      <c r="E1719">
        <v>111</v>
      </c>
      <c r="F1719">
        <v>125226.44</v>
      </c>
    </row>
    <row r="1720" spans="1:6" x14ac:dyDescent="0.3">
      <c r="A1720">
        <v>2026</v>
      </c>
      <c r="B1720">
        <v>2</v>
      </c>
      <c r="C1720" t="s">
        <v>38</v>
      </c>
      <c r="D1720" t="s">
        <v>21</v>
      </c>
      <c r="E1720">
        <v>62</v>
      </c>
      <c r="F1720">
        <v>63625.760000000002</v>
      </c>
    </row>
    <row r="1721" spans="1:6" x14ac:dyDescent="0.3">
      <c r="A1721">
        <v>2026</v>
      </c>
      <c r="B1721">
        <v>2</v>
      </c>
      <c r="C1721" t="s">
        <v>38</v>
      </c>
      <c r="D1721" t="s">
        <v>22</v>
      </c>
      <c r="E1721">
        <v>138</v>
      </c>
      <c r="F1721">
        <v>139989.15</v>
      </c>
    </row>
    <row r="1722" spans="1:6" x14ac:dyDescent="0.3">
      <c r="A1722">
        <v>2026</v>
      </c>
      <c r="B1722">
        <v>2</v>
      </c>
      <c r="C1722" t="s">
        <v>38</v>
      </c>
      <c r="D1722" t="s">
        <v>23</v>
      </c>
      <c r="E1722">
        <v>45</v>
      </c>
      <c r="F1722">
        <v>74153.39</v>
      </c>
    </row>
    <row r="1723" spans="1:6" x14ac:dyDescent="0.3">
      <c r="A1723">
        <v>2026</v>
      </c>
      <c r="B1723">
        <v>2</v>
      </c>
      <c r="C1723" t="s">
        <v>38</v>
      </c>
      <c r="D1723" t="s">
        <v>24</v>
      </c>
      <c r="E1723">
        <v>201</v>
      </c>
      <c r="F1723">
        <v>147392.48000000001</v>
      </c>
    </row>
    <row r="1724" spans="1:6" x14ac:dyDescent="0.3">
      <c r="A1724">
        <v>2026</v>
      </c>
      <c r="B1724">
        <v>2</v>
      </c>
      <c r="C1724" t="s">
        <v>38</v>
      </c>
      <c r="D1724" t="s">
        <v>25</v>
      </c>
      <c r="E1724">
        <v>116</v>
      </c>
      <c r="F1724">
        <v>128015.66</v>
      </c>
    </row>
    <row r="1725" spans="1:6" x14ac:dyDescent="0.3">
      <c r="A1725">
        <v>2026</v>
      </c>
      <c r="B1725">
        <v>2</v>
      </c>
      <c r="C1725" t="s">
        <v>38</v>
      </c>
      <c r="D1725" t="s">
        <v>26</v>
      </c>
      <c r="E1725">
        <v>42</v>
      </c>
      <c r="F1725">
        <v>62165</v>
      </c>
    </row>
    <row r="1726" spans="1:6" x14ac:dyDescent="0.3">
      <c r="A1726">
        <v>2026</v>
      </c>
      <c r="B1726">
        <v>2</v>
      </c>
      <c r="C1726" t="s">
        <v>38</v>
      </c>
      <c r="D1726" t="s">
        <v>27</v>
      </c>
      <c r="E1726">
        <v>86</v>
      </c>
      <c r="F1726">
        <v>158337</v>
      </c>
    </row>
    <row r="1727" spans="1:6" x14ac:dyDescent="0.3">
      <c r="A1727">
        <v>2026</v>
      </c>
      <c r="B1727">
        <v>2</v>
      </c>
      <c r="C1727" t="s">
        <v>38</v>
      </c>
      <c r="D1727" t="s">
        <v>28</v>
      </c>
      <c r="E1727">
        <v>80</v>
      </c>
      <c r="F1727">
        <v>64410</v>
      </c>
    </row>
    <row r="1728" spans="1:6" x14ac:dyDescent="0.3">
      <c r="A1728">
        <v>2026</v>
      </c>
      <c r="B1728">
        <v>2</v>
      </c>
      <c r="C1728" t="s">
        <v>38</v>
      </c>
      <c r="D1728" t="s">
        <v>29</v>
      </c>
      <c r="E1728">
        <v>89</v>
      </c>
      <c r="F1728">
        <v>89506</v>
      </c>
    </row>
    <row r="1729" spans="1:6" x14ac:dyDescent="0.3">
      <c r="A1729">
        <v>2026</v>
      </c>
      <c r="B1729">
        <v>2</v>
      </c>
      <c r="C1729" t="s">
        <v>38</v>
      </c>
      <c r="D1729" t="s">
        <v>30</v>
      </c>
      <c r="E1729">
        <v>46</v>
      </c>
      <c r="F1729">
        <v>40299</v>
      </c>
    </row>
    <row r="1730" spans="1:6" x14ac:dyDescent="0.3">
      <c r="A1730">
        <v>2026</v>
      </c>
      <c r="B1730">
        <v>2</v>
      </c>
      <c r="C1730" t="s">
        <v>38</v>
      </c>
      <c r="D1730" t="s">
        <v>31</v>
      </c>
      <c r="E1730">
        <v>138</v>
      </c>
      <c r="F1730">
        <v>174049.17</v>
      </c>
    </row>
    <row r="1731" spans="1:6" x14ac:dyDescent="0.3">
      <c r="A1731">
        <v>2026</v>
      </c>
      <c r="B1731">
        <v>2</v>
      </c>
      <c r="C1731" t="s">
        <v>38</v>
      </c>
      <c r="D1731" t="s">
        <v>51</v>
      </c>
      <c r="E1731">
        <v>53</v>
      </c>
      <c r="F1731">
        <v>37041</v>
      </c>
    </row>
    <row r="1732" spans="1:6" x14ac:dyDescent="0.3">
      <c r="A1732">
        <v>2026</v>
      </c>
      <c r="B1732">
        <v>2</v>
      </c>
      <c r="C1732" t="s">
        <v>38</v>
      </c>
      <c r="D1732" t="s">
        <v>32</v>
      </c>
      <c r="E1732">
        <v>58</v>
      </c>
      <c r="F1732">
        <v>121620</v>
      </c>
    </row>
    <row r="1733" spans="1:6" x14ac:dyDescent="0.3">
      <c r="A1733">
        <v>2026</v>
      </c>
      <c r="B1733">
        <v>2</v>
      </c>
      <c r="C1733" t="s">
        <v>38</v>
      </c>
      <c r="D1733" t="s">
        <v>52</v>
      </c>
      <c r="E1733">
        <v>20</v>
      </c>
      <c r="F1733">
        <v>24332</v>
      </c>
    </row>
    <row r="1734" spans="1:6" x14ac:dyDescent="0.3">
      <c r="A1734">
        <v>2026</v>
      </c>
      <c r="B1734">
        <v>2</v>
      </c>
      <c r="C1734" t="s">
        <v>38</v>
      </c>
      <c r="D1734" t="s">
        <v>33</v>
      </c>
      <c r="E1734">
        <v>107</v>
      </c>
      <c r="F1734">
        <v>180697.15</v>
      </c>
    </row>
    <row r="1735" spans="1:6" x14ac:dyDescent="0.3">
      <c r="A1735">
        <v>2026</v>
      </c>
      <c r="B1735">
        <v>2</v>
      </c>
      <c r="C1735" t="s">
        <v>38</v>
      </c>
      <c r="D1735" t="s">
        <v>58</v>
      </c>
      <c r="E1735">
        <v>119</v>
      </c>
      <c r="F1735">
        <v>101021</v>
      </c>
    </row>
    <row r="1736" spans="1:6" x14ac:dyDescent="0.3">
      <c r="A1736">
        <v>2026</v>
      </c>
      <c r="B1736">
        <v>2</v>
      </c>
      <c r="C1736" t="s">
        <v>38</v>
      </c>
      <c r="D1736" t="s">
        <v>34</v>
      </c>
      <c r="E1736">
        <v>83</v>
      </c>
      <c r="F1736">
        <v>102142</v>
      </c>
    </row>
    <row r="1737" spans="1:6" x14ac:dyDescent="0.3">
      <c r="A1737">
        <v>2026</v>
      </c>
      <c r="B1737">
        <v>2</v>
      </c>
      <c r="C1737" t="s">
        <v>38</v>
      </c>
      <c r="D1737" t="s">
        <v>56</v>
      </c>
      <c r="E1737">
        <v>8</v>
      </c>
      <c r="F1737">
        <v>6225</v>
      </c>
    </row>
    <row r="1738" spans="1:6" x14ac:dyDescent="0.3">
      <c r="A1738">
        <v>2026</v>
      </c>
      <c r="B1738">
        <v>2</v>
      </c>
      <c r="C1738" t="s">
        <v>38</v>
      </c>
      <c r="D1738" t="s">
        <v>57</v>
      </c>
      <c r="E1738">
        <v>13</v>
      </c>
      <c r="F1738">
        <v>10509</v>
      </c>
    </row>
    <row r="1739" spans="1:6" x14ac:dyDescent="0.3">
      <c r="A1739">
        <v>2026</v>
      </c>
      <c r="B1739">
        <v>2</v>
      </c>
      <c r="C1739" t="s">
        <v>38</v>
      </c>
      <c r="D1739" t="s">
        <v>49</v>
      </c>
      <c r="E1739">
        <v>10</v>
      </c>
      <c r="F1739">
        <v>7735</v>
      </c>
    </row>
    <row r="1740" spans="1:6" x14ac:dyDescent="0.3">
      <c r="A1740">
        <v>2026</v>
      </c>
      <c r="B1740">
        <v>2</v>
      </c>
      <c r="C1740" t="s">
        <v>38</v>
      </c>
      <c r="D1740" t="s">
        <v>53</v>
      </c>
      <c r="E1740">
        <v>9</v>
      </c>
      <c r="F1740">
        <v>9034</v>
      </c>
    </row>
    <row r="1741" spans="1:6" x14ac:dyDescent="0.3">
      <c r="A1741">
        <v>2026</v>
      </c>
      <c r="B1741">
        <v>2</v>
      </c>
      <c r="C1741" t="s">
        <v>38</v>
      </c>
      <c r="D1741" t="s">
        <v>35</v>
      </c>
      <c r="E1741">
        <v>67</v>
      </c>
      <c r="F1741">
        <v>96004</v>
      </c>
    </row>
    <row r="1742" spans="1:6" x14ac:dyDescent="0.3">
      <c r="A1742">
        <v>2026</v>
      </c>
      <c r="B1742">
        <v>2</v>
      </c>
      <c r="C1742" t="s">
        <v>38</v>
      </c>
      <c r="D1742" t="s">
        <v>36</v>
      </c>
      <c r="E1742">
        <v>112</v>
      </c>
      <c r="F1742">
        <v>132646.85999999999</v>
      </c>
    </row>
    <row r="1743" spans="1:6" x14ac:dyDescent="0.3">
      <c r="A1743">
        <v>2026</v>
      </c>
      <c r="B1743">
        <v>2</v>
      </c>
      <c r="C1743" t="s">
        <v>38</v>
      </c>
      <c r="D1743" t="s">
        <v>37</v>
      </c>
      <c r="E1743">
        <v>60</v>
      </c>
      <c r="F1743">
        <v>63311</v>
      </c>
    </row>
    <row r="1744" spans="1:6" x14ac:dyDescent="0.3">
      <c r="A1744">
        <v>2026</v>
      </c>
      <c r="B1744">
        <v>3</v>
      </c>
      <c r="C1744" t="s">
        <v>39</v>
      </c>
      <c r="D1744" t="s">
        <v>7</v>
      </c>
      <c r="E1744">
        <v>97</v>
      </c>
      <c r="F1744">
        <v>98589.1</v>
      </c>
    </row>
    <row r="1745" spans="1:6" x14ac:dyDescent="0.3">
      <c r="A1745">
        <v>2026</v>
      </c>
      <c r="B1745">
        <v>3</v>
      </c>
      <c r="C1745" t="s">
        <v>39</v>
      </c>
      <c r="D1745" t="s">
        <v>8</v>
      </c>
      <c r="E1745">
        <v>196</v>
      </c>
      <c r="F1745">
        <v>239835</v>
      </c>
    </row>
    <row r="1746" spans="1:6" x14ac:dyDescent="0.3">
      <c r="A1746">
        <v>2026</v>
      </c>
      <c r="B1746">
        <v>3</v>
      </c>
      <c r="C1746" t="s">
        <v>39</v>
      </c>
      <c r="D1746" t="s">
        <v>9</v>
      </c>
      <c r="E1746">
        <v>84</v>
      </c>
      <c r="F1746">
        <v>88969</v>
      </c>
    </row>
    <row r="1747" spans="1:6" x14ac:dyDescent="0.3">
      <c r="A1747">
        <v>2026</v>
      </c>
      <c r="B1747">
        <v>3</v>
      </c>
      <c r="C1747" t="s">
        <v>39</v>
      </c>
      <c r="D1747" t="s">
        <v>10</v>
      </c>
      <c r="E1747">
        <v>120</v>
      </c>
      <c r="F1747">
        <v>136979</v>
      </c>
    </row>
    <row r="1748" spans="1:6" x14ac:dyDescent="0.3">
      <c r="A1748">
        <v>2026</v>
      </c>
      <c r="B1748">
        <v>3</v>
      </c>
      <c r="C1748" t="s">
        <v>39</v>
      </c>
      <c r="D1748" t="s">
        <v>11</v>
      </c>
      <c r="E1748">
        <v>119</v>
      </c>
      <c r="F1748">
        <v>118302</v>
      </c>
    </row>
    <row r="1749" spans="1:6" x14ac:dyDescent="0.3">
      <c r="A1749">
        <v>2026</v>
      </c>
      <c r="B1749">
        <v>3</v>
      </c>
      <c r="C1749" t="s">
        <v>39</v>
      </c>
      <c r="D1749" t="s">
        <v>59</v>
      </c>
      <c r="E1749">
        <v>49</v>
      </c>
      <c r="F1749">
        <v>43088</v>
      </c>
    </row>
    <row r="1750" spans="1:6" x14ac:dyDescent="0.3">
      <c r="A1750">
        <v>2026</v>
      </c>
      <c r="B1750">
        <v>3</v>
      </c>
      <c r="C1750" t="s">
        <v>39</v>
      </c>
      <c r="D1750" t="s">
        <v>12</v>
      </c>
      <c r="E1750">
        <v>117</v>
      </c>
      <c r="F1750">
        <v>115141.02</v>
      </c>
    </row>
    <row r="1751" spans="1:6" x14ac:dyDescent="0.3">
      <c r="A1751">
        <v>2026</v>
      </c>
      <c r="B1751">
        <v>3</v>
      </c>
      <c r="C1751" t="s">
        <v>39</v>
      </c>
      <c r="D1751" t="s">
        <v>13</v>
      </c>
      <c r="E1751">
        <v>152</v>
      </c>
      <c r="F1751">
        <v>166640</v>
      </c>
    </row>
    <row r="1752" spans="1:6" x14ac:dyDescent="0.3">
      <c r="A1752">
        <v>2026</v>
      </c>
      <c r="B1752">
        <v>3</v>
      </c>
      <c r="C1752" t="s">
        <v>39</v>
      </c>
      <c r="D1752" t="s">
        <v>14</v>
      </c>
      <c r="E1752">
        <v>367</v>
      </c>
      <c r="F1752">
        <v>320449.65999999997</v>
      </c>
    </row>
    <row r="1753" spans="1:6" x14ac:dyDescent="0.3">
      <c r="A1753">
        <v>2026</v>
      </c>
      <c r="B1753">
        <v>3</v>
      </c>
      <c r="C1753" t="s">
        <v>39</v>
      </c>
      <c r="D1753" t="s">
        <v>15</v>
      </c>
      <c r="E1753">
        <v>109</v>
      </c>
      <c r="F1753">
        <v>70326</v>
      </c>
    </row>
    <row r="1754" spans="1:6" x14ac:dyDescent="0.3">
      <c r="A1754">
        <v>2026</v>
      </c>
      <c r="B1754">
        <v>3</v>
      </c>
      <c r="C1754" t="s">
        <v>39</v>
      </c>
      <c r="D1754" t="s">
        <v>16</v>
      </c>
      <c r="E1754">
        <v>75</v>
      </c>
      <c r="F1754">
        <v>60505</v>
      </c>
    </row>
    <row r="1755" spans="1:6" x14ac:dyDescent="0.3">
      <c r="A1755">
        <v>2026</v>
      </c>
      <c r="B1755">
        <v>3</v>
      </c>
      <c r="C1755" t="s">
        <v>39</v>
      </c>
      <c r="D1755" t="s">
        <v>71</v>
      </c>
      <c r="E1755">
        <v>1</v>
      </c>
      <c r="F1755">
        <v>870</v>
      </c>
    </row>
    <row r="1756" spans="1:6" x14ac:dyDescent="0.3">
      <c r="A1756">
        <v>2026</v>
      </c>
      <c r="B1756">
        <v>3</v>
      </c>
      <c r="C1756" t="s">
        <v>39</v>
      </c>
      <c r="D1756" t="s">
        <v>54</v>
      </c>
      <c r="E1756">
        <v>290</v>
      </c>
      <c r="F1756">
        <v>285060</v>
      </c>
    </row>
    <row r="1757" spans="1:6" x14ac:dyDescent="0.3">
      <c r="A1757">
        <v>2026</v>
      </c>
      <c r="B1757">
        <v>3</v>
      </c>
      <c r="C1757" t="s">
        <v>39</v>
      </c>
      <c r="D1757" t="s">
        <v>17</v>
      </c>
      <c r="E1757">
        <v>355</v>
      </c>
      <c r="F1757">
        <v>390454.06</v>
      </c>
    </row>
    <row r="1758" spans="1:6" x14ac:dyDescent="0.3">
      <c r="A1758">
        <v>2026</v>
      </c>
      <c r="B1758">
        <v>3</v>
      </c>
      <c r="C1758" t="s">
        <v>39</v>
      </c>
      <c r="D1758" t="s">
        <v>18</v>
      </c>
      <c r="E1758">
        <v>296</v>
      </c>
      <c r="F1758">
        <v>292373.90999999997</v>
      </c>
    </row>
    <row r="1759" spans="1:6" x14ac:dyDescent="0.3">
      <c r="A1759">
        <v>2026</v>
      </c>
      <c r="B1759">
        <v>3</v>
      </c>
      <c r="C1759" t="s">
        <v>39</v>
      </c>
      <c r="D1759" t="s">
        <v>50</v>
      </c>
      <c r="E1759">
        <v>506</v>
      </c>
      <c r="F1759">
        <v>447313.7</v>
      </c>
    </row>
    <row r="1760" spans="1:6" x14ac:dyDescent="0.3">
      <c r="A1760">
        <v>2026</v>
      </c>
      <c r="B1760">
        <v>3</v>
      </c>
      <c r="C1760" t="s">
        <v>39</v>
      </c>
      <c r="D1760" t="s">
        <v>55</v>
      </c>
      <c r="E1760">
        <v>48</v>
      </c>
      <c r="F1760">
        <v>40846.36</v>
      </c>
    </row>
    <row r="1761" spans="1:6" x14ac:dyDescent="0.3">
      <c r="A1761">
        <v>2026</v>
      </c>
      <c r="B1761">
        <v>3</v>
      </c>
      <c r="C1761" t="s">
        <v>39</v>
      </c>
      <c r="D1761" t="s">
        <v>19</v>
      </c>
      <c r="E1761">
        <v>160</v>
      </c>
      <c r="F1761">
        <v>145210</v>
      </c>
    </row>
    <row r="1762" spans="1:6" x14ac:dyDescent="0.3">
      <c r="A1762">
        <v>2026</v>
      </c>
      <c r="B1762">
        <v>3</v>
      </c>
      <c r="C1762" t="s">
        <v>39</v>
      </c>
      <c r="D1762" t="s">
        <v>20</v>
      </c>
      <c r="E1762">
        <v>188</v>
      </c>
      <c r="F1762">
        <v>212197.1</v>
      </c>
    </row>
    <row r="1763" spans="1:6" x14ac:dyDescent="0.3">
      <c r="A1763">
        <v>2026</v>
      </c>
      <c r="B1763">
        <v>3</v>
      </c>
      <c r="C1763" t="s">
        <v>39</v>
      </c>
      <c r="D1763" t="s">
        <v>21</v>
      </c>
      <c r="E1763">
        <v>213</v>
      </c>
      <c r="F1763">
        <v>247623.55</v>
      </c>
    </row>
    <row r="1764" spans="1:6" x14ac:dyDescent="0.3">
      <c r="A1764">
        <v>2026</v>
      </c>
      <c r="B1764">
        <v>3</v>
      </c>
      <c r="C1764" t="s">
        <v>39</v>
      </c>
      <c r="D1764" t="s">
        <v>22</v>
      </c>
      <c r="E1764">
        <v>152</v>
      </c>
      <c r="F1764">
        <v>106214.03</v>
      </c>
    </row>
    <row r="1765" spans="1:6" x14ac:dyDescent="0.3">
      <c r="A1765">
        <v>2026</v>
      </c>
      <c r="B1765">
        <v>3</v>
      </c>
      <c r="C1765" t="s">
        <v>39</v>
      </c>
      <c r="D1765" t="s">
        <v>23</v>
      </c>
      <c r="E1765">
        <v>79</v>
      </c>
      <c r="F1765">
        <v>86380.45</v>
      </c>
    </row>
    <row r="1766" spans="1:6" x14ac:dyDescent="0.3">
      <c r="A1766">
        <v>2026</v>
      </c>
      <c r="B1766">
        <v>3</v>
      </c>
      <c r="C1766" t="s">
        <v>39</v>
      </c>
      <c r="D1766" t="s">
        <v>24</v>
      </c>
      <c r="E1766">
        <v>498</v>
      </c>
      <c r="F1766">
        <v>375406.52</v>
      </c>
    </row>
    <row r="1767" spans="1:6" x14ac:dyDescent="0.3">
      <c r="A1767">
        <v>2026</v>
      </c>
      <c r="B1767">
        <v>3</v>
      </c>
      <c r="C1767" t="s">
        <v>39</v>
      </c>
      <c r="D1767" t="s">
        <v>25</v>
      </c>
      <c r="E1767">
        <v>344</v>
      </c>
      <c r="F1767">
        <v>310112.69</v>
      </c>
    </row>
    <row r="1768" spans="1:6" x14ac:dyDescent="0.3">
      <c r="A1768">
        <v>2026</v>
      </c>
      <c r="B1768">
        <v>3</v>
      </c>
      <c r="C1768" t="s">
        <v>39</v>
      </c>
      <c r="D1768" t="s">
        <v>26</v>
      </c>
      <c r="E1768">
        <v>124</v>
      </c>
      <c r="F1768">
        <v>151569.13</v>
      </c>
    </row>
    <row r="1769" spans="1:6" x14ac:dyDescent="0.3">
      <c r="A1769">
        <v>2026</v>
      </c>
      <c r="B1769">
        <v>3</v>
      </c>
      <c r="C1769" t="s">
        <v>39</v>
      </c>
      <c r="D1769" t="s">
        <v>27</v>
      </c>
      <c r="E1769">
        <v>150</v>
      </c>
      <c r="F1769">
        <v>180447</v>
      </c>
    </row>
    <row r="1770" spans="1:6" x14ac:dyDescent="0.3">
      <c r="A1770">
        <v>2026</v>
      </c>
      <c r="B1770">
        <v>3</v>
      </c>
      <c r="C1770" t="s">
        <v>39</v>
      </c>
      <c r="D1770" t="s">
        <v>28</v>
      </c>
      <c r="E1770">
        <v>191</v>
      </c>
      <c r="F1770">
        <v>162601.04999999999</v>
      </c>
    </row>
    <row r="1771" spans="1:6" x14ac:dyDescent="0.3">
      <c r="A1771">
        <v>2026</v>
      </c>
      <c r="B1771">
        <v>3</v>
      </c>
      <c r="C1771" t="s">
        <v>39</v>
      </c>
      <c r="D1771" t="s">
        <v>29</v>
      </c>
      <c r="E1771">
        <v>144</v>
      </c>
      <c r="F1771">
        <v>131561.99</v>
      </c>
    </row>
    <row r="1772" spans="1:6" x14ac:dyDescent="0.3">
      <c r="A1772">
        <v>2026</v>
      </c>
      <c r="B1772">
        <v>3</v>
      </c>
      <c r="C1772" t="s">
        <v>39</v>
      </c>
      <c r="D1772" t="s">
        <v>30</v>
      </c>
      <c r="E1772">
        <v>92</v>
      </c>
      <c r="F1772">
        <v>77108</v>
      </c>
    </row>
    <row r="1773" spans="1:6" x14ac:dyDescent="0.3">
      <c r="A1773">
        <v>2026</v>
      </c>
      <c r="B1773">
        <v>3</v>
      </c>
      <c r="C1773" t="s">
        <v>39</v>
      </c>
      <c r="D1773" t="s">
        <v>31</v>
      </c>
      <c r="E1773">
        <v>374</v>
      </c>
      <c r="F1773">
        <v>380742.9</v>
      </c>
    </row>
    <row r="1774" spans="1:6" x14ac:dyDescent="0.3">
      <c r="A1774">
        <v>2026</v>
      </c>
      <c r="B1774">
        <v>3</v>
      </c>
      <c r="C1774" t="s">
        <v>39</v>
      </c>
      <c r="D1774" t="s">
        <v>51</v>
      </c>
      <c r="E1774">
        <v>100</v>
      </c>
      <c r="F1774">
        <v>72092.2</v>
      </c>
    </row>
    <row r="1775" spans="1:6" x14ac:dyDescent="0.3">
      <c r="A1775">
        <v>2026</v>
      </c>
      <c r="B1775">
        <v>3</v>
      </c>
      <c r="C1775" t="s">
        <v>39</v>
      </c>
      <c r="D1775" t="s">
        <v>32</v>
      </c>
      <c r="E1775">
        <v>172</v>
      </c>
      <c r="F1775">
        <v>162517</v>
      </c>
    </row>
    <row r="1776" spans="1:6" x14ac:dyDescent="0.3">
      <c r="A1776">
        <v>2026</v>
      </c>
      <c r="B1776">
        <v>3</v>
      </c>
      <c r="C1776" t="s">
        <v>39</v>
      </c>
      <c r="D1776" t="s">
        <v>52</v>
      </c>
      <c r="E1776">
        <v>27</v>
      </c>
      <c r="F1776">
        <v>26478</v>
      </c>
    </row>
    <row r="1777" spans="1:6" x14ac:dyDescent="0.3">
      <c r="A1777">
        <v>2026</v>
      </c>
      <c r="B1777">
        <v>3</v>
      </c>
      <c r="C1777" t="s">
        <v>39</v>
      </c>
      <c r="D1777" t="s">
        <v>33</v>
      </c>
      <c r="E1777">
        <v>212</v>
      </c>
      <c r="F1777">
        <v>236184.81</v>
      </c>
    </row>
    <row r="1778" spans="1:6" x14ac:dyDescent="0.3">
      <c r="A1778">
        <v>2026</v>
      </c>
      <c r="B1778">
        <v>3</v>
      </c>
      <c r="C1778" t="s">
        <v>39</v>
      </c>
      <c r="D1778" t="s">
        <v>58</v>
      </c>
      <c r="E1778">
        <v>114</v>
      </c>
      <c r="F1778">
        <v>93280</v>
      </c>
    </row>
    <row r="1779" spans="1:6" x14ac:dyDescent="0.3">
      <c r="A1779">
        <v>2026</v>
      </c>
      <c r="B1779">
        <v>3</v>
      </c>
      <c r="C1779" t="s">
        <v>39</v>
      </c>
      <c r="D1779" t="s">
        <v>34</v>
      </c>
      <c r="E1779">
        <v>144</v>
      </c>
      <c r="F1779">
        <v>136823</v>
      </c>
    </row>
    <row r="1780" spans="1:6" x14ac:dyDescent="0.3">
      <c r="A1780">
        <v>2026</v>
      </c>
      <c r="B1780">
        <v>3</v>
      </c>
      <c r="C1780" t="s">
        <v>39</v>
      </c>
      <c r="D1780" t="s">
        <v>56</v>
      </c>
      <c r="E1780">
        <v>44</v>
      </c>
      <c r="F1780">
        <v>39376</v>
      </c>
    </row>
    <row r="1781" spans="1:6" x14ac:dyDescent="0.3">
      <c r="A1781">
        <v>2026</v>
      </c>
      <c r="B1781">
        <v>3</v>
      </c>
      <c r="C1781" t="s">
        <v>39</v>
      </c>
      <c r="D1781" t="s">
        <v>57</v>
      </c>
      <c r="E1781">
        <v>18</v>
      </c>
      <c r="F1781">
        <v>14164</v>
      </c>
    </row>
    <row r="1782" spans="1:6" x14ac:dyDescent="0.3">
      <c r="A1782">
        <v>2026</v>
      </c>
      <c r="B1782">
        <v>3</v>
      </c>
      <c r="C1782" t="s">
        <v>39</v>
      </c>
      <c r="D1782" t="s">
        <v>49</v>
      </c>
      <c r="E1782">
        <v>58</v>
      </c>
      <c r="F1782">
        <v>43867</v>
      </c>
    </row>
    <row r="1783" spans="1:6" x14ac:dyDescent="0.3">
      <c r="A1783">
        <v>2026</v>
      </c>
      <c r="B1783">
        <v>3</v>
      </c>
      <c r="C1783" t="s">
        <v>39</v>
      </c>
      <c r="D1783" t="s">
        <v>53</v>
      </c>
      <c r="E1783">
        <v>78</v>
      </c>
      <c r="F1783">
        <v>60351.32</v>
      </c>
    </row>
    <row r="1784" spans="1:6" x14ac:dyDescent="0.3">
      <c r="A1784">
        <v>2026</v>
      </c>
      <c r="B1784">
        <v>3</v>
      </c>
      <c r="C1784" t="s">
        <v>39</v>
      </c>
      <c r="D1784" t="s">
        <v>35</v>
      </c>
      <c r="E1784">
        <v>122</v>
      </c>
      <c r="F1784">
        <v>112903.91</v>
      </c>
    </row>
    <row r="1785" spans="1:6" x14ac:dyDescent="0.3">
      <c r="A1785">
        <v>2026</v>
      </c>
      <c r="B1785">
        <v>3</v>
      </c>
      <c r="C1785" t="s">
        <v>39</v>
      </c>
      <c r="D1785" t="s">
        <v>36</v>
      </c>
      <c r="E1785">
        <v>591</v>
      </c>
      <c r="F1785">
        <v>473265.66</v>
      </c>
    </row>
    <row r="1786" spans="1:6" x14ac:dyDescent="0.3">
      <c r="A1786">
        <v>2026</v>
      </c>
      <c r="B1786">
        <v>3</v>
      </c>
      <c r="C1786" t="s">
        <v>39</v>
      </c>
      <c r="D1786" t="s">
        <v>37</v>
      </c>
      <c r="E1786">
        <v>208</v>
      </c>
      <c r="F1786">
        <v>242315</v>
      </c>
    </row>
    <row r="1787" spans="1:6" x14ac:dyDescent="0.3">
      <c r="A1787">
        <v>2026</v>
      </c>
      <c r="B1787">
        <v>4</v>
      </c>
      <c r="C1787" t="s">
        <v>40</v>
      </c>
      <c r="D1787" t="s">
        <v>7</v>
      </c>
      <c r="E1787">
        <v>438</v>
      </c>
      <c r="F1787">
        <v>415791.49</v>
      </c>
    </row>
    <row r="1788" spans="1:6" x14ac:dyDescent="0.3">
      <c r="A1788">
        <v>2026</v>
      </c>
      <c r="B1788">
        <v>4</v>
      </c>
      <c r="C1788" t="s">
        <v>40</v>
      </c>
      <c r="D1788" t="s">
        <v>70</v>
      </c>
      <c r="E1788">
        <v>23</v>
      </c>
      <c r="F1788">
        <v>21211</v>
      </c>
    </row>
    <row r="1789" spans="1:6" x14ac:dyDescent="0.3">
      <c r="A1789">
        <v>2026</v>
      </c>
      <c r="B1789">
        <v>4</v>
      </c>
      <c r="C1789" t="s">
        <v>40</v>
      </c>
      <c r="D1789" t="s">
        <v>8</v>
      </c>
      <c r="E1789">
        <v>540</v>
      </c>
      <c r="F1789">
        <v>554664</v>
      </c>
    </row>
    <row r="1790" spans="1:6" x14ac:dyDescent="0.3">
      <c r="A1790">
        <v>2026</v>
      </c>
      <c r="B1790">
        <v>4</v>
      </c>
      <c r="C1790" t="s">
        <v>40</v>
      </c>
      <c r="D1790" t="s">
        <v>9</v>
      </c>
      <c r="E1790">
        <v>104</v>
      </c>
      <c r="F1790">
        <v>73047.38</v>
      </c>
    </row>
    <row r="1791" spans="1:6" x14ac:dyDescent="0.3">
      <c r="A1791">
        <v>2026</v>
      </c>
      <c r="B1791">
        <v>4</v>
      </c>
      <c r="C1791" t="s">
        <v>40</v>
      </c>
      <c r="D1791" t="s">
        <v>10</v>
      </c>
      <c r="E1791">
        <v>292</v>
      </c>
      <c r="F1791">
        <v>270559.05</v>
      </c>
    </row>
    <row r="1792" spans="1:6" x14ac:dyDescent="0.3">
      <c r="A1792">
        <v>2026</v>
      </c>
      <c r="B1792">
        <v>4</v>
      </c>
      <c r="C1792" t="s">
        <v>40</v>
      </c>
      <c r="D1792" t="s">
        <v>11</v>
      </c>
      <c r="E1792">
        <v>215</v>
      </c>
      <c r="F1792">
        <v>192114.68</v>
      </c>
    </row>
    <row r="1793" spans="1:6" x14ac:dyDescent="0.3">
      <c r="A1793">
        <v>2026</v>
      </c>
      <c r="B1793">
        <v>4</v>
      </c>
      <c r="C1793" t="s">
        <v>40</v>
      </c>
      <c r="D1793" t="s">
        <v>59</v>
      </c>
      <c r="E1793">
        <v>116</v>
      </c>
      <c r="F1793">
        <v>103270</v>
      </c>
    </row>
    <row r="1794" spans="1:6" x14ac:dyDescent="0.3">
      <c r="A1794">
        <v>2026</v>
      </c>
      <c r="B1794">
        <v>4</v>
      </c>
      <c r="C1794" t="s">
        <v>40</v>
      </c>
      <c r="D1794" t="s">
        <v>12</v>
      </c>
      <c r="E1794">
        <v>221</v>
      </c>
      <c r="F1794">
        <v>215667</v>
      </c>
    </row>
    <row r="1795" spans="1:6" x14ac:dyDescent="0.3">
      <c r="A1795">
        <v>2026</v>
      </c>
      <c r="B1795">
        <v>4</v>
      </c>
      <c r="C1795" t="s">
        <v>40</v>
      </c>
      <c r="D1795" t="s">
        <v>13</v>
      </c>
      <c r="E1795">
        <v>271</v>
      </c>
      <c r="F1795">
        <v>225275.77</v>
      </c>
    </row>
    <row r="1796" spans="1:6" x14ac:dyDescent="0.3">
      <c r="A1796">
        <v>2026</v>
      </c>
      <c r="B1796">
        <v>4</v>
      </c>
      <c r="C1796" t="s">
        <v>40</v>
      </c>
      <c r="D1796" t="s">
        <v>14</v>
      </c>
      <c r="E1796">
        <v>216</v>
      </c>
      <c r="F1796">
        <v>170938.78</v>
      </c>
    </row>
    <row r="1797" spans="1:6" x14ac:dyDescent="0.3">
      <c r="A1797">
        <v>2026</v>
      </c>
      <c r="B1797">
        <v>4</v>
      </c>
      <c r="C1797" t="s">
        <v>40</v>
      </c>
      <c r="D1797" t="s">
        <v>15</v>
      </c>
      <c r="E1797">
        <v>85</v>
      </c>
      <c r="F1797">
        <v>59841</v>
      </c>
    </row>
    <row r="1798" spans="1:6" x14ac:dyDescent="0.3">
      <c r="A1798">
        <v>2026</v>
      </c>
      <c r="B1798">
        <v>4</v>
      </c>
      <c r="C1798" t="s">
        <v>40</v>
      </c>
      <c r="D1798" t="s">
        <v>16</v>
      </c>
      <c r="E1798">
        <v>126</v>
      </c>
      <c r="F1798">
        <v>85989</v>
      </c>
    </row>
    <row r="1799" spans="1:6" x14ac:dyDescent="0.3">
      <c r="A1799">
        <v>2026</v>
      </c>
      <c r="B1799">
        <v>4</v>
      </c>
      <c r="C1799" t="s">
        <v>40</v>
      </c>
      <c r="D1799" t="s">
        <v>71</v>
      </c>
      <c r="E1799">
        <v>294</v>
      </c>
      <c r="F1799">
        <v>252871.82</v>
      </c>
    </row>
    <row r="1800" spans="1:6" x14ac:dyDescent="0.3">
      <c r="A1800">
        <v>2026</v>
      </c>
      <c r="B1800">
        <v>4</v>
      </c>
      <c r="C1800" t="s">
        <v>40</v>
      </c>
      <c r="D1800" t="s">
        <v>54</v>
      </c>
      <c r="E1800">
        <v>547</v>
      </c>
      <c r="F1800">
        <v>499514.6</v>
      </c>
    </row>
    <row r="1801" spans="1:6" x14ac:dyDescent="0.3">
      <c r="A1801">
        <v>2026</v>
      </c>
      <c r="B1801">
        <v>4</v>
      </c>
      <c r="C1801" t="s">
        <v>40</v>
      </c>
      <c r="D1801" t="s">
        <v>72</v>
      </c>
      <c r="E1801">
        <v>231</v>
      </c>
      <c r="F1801">
        <v>178831</v>
      </c>
    </row>
    <row r="1802" spans="1:6" x14ac:dyDescent="0.3">
      <c r="A1802">
        <v>2026</v>
      </c>
      <c r="B1802">
        <v>4</v>
      </c>
      <c r="C1802" t="s">
        <v>40</v>
      </c>
      <c r="D1802" t="s">
        <v>17</v>
      </c>
      <c r="E1802">
        <v>424</v>
      </c>
      <c r="F1802">
        <v>458456.99</v>
      </c>
    </row>
    <row r="1803" spans="1:6" x14ac:dyDescent="0.3">
      <c r="A1803">
        <v>2026</v>
      </c>
      <c r="B1803">
        <v>4</v>
      </c>
      <c r="C1803" t="s">
        <v>40</v>
      </c>
      <c r="D1803" t="s">
        <v>18</v>
      </c>
      <c r="E1803">
        <v>476</v>
      </c>
      <c r="F1803">
        <v>489847.28</v>
      </c>
    </row>
    <row r="1804" spans="1:6" x14ac:dyDescent="0.3">
      <c r="A1804">
        <v>2026</v>
      </c>
      <c r="B1804">
        <v>4</v>
      </c>
      <c r="C1804" t="s">
        <v>40</v>
      </c>
      <c r="D1804" t="s">
        <v>50</v>
      </c>
      <c r="E1804">
        <v>1094</v>
      </c>
      <c r="F1804">
        <v>897908.52</v>
      </c>
    </row>
    <row r="1805" spans="1:6" x14ac:dyDescent="0.3">
      <c r="A1805">
        <v>2026</v>
      </c>
      <c r="B1805">
        <v>4</v>
      </c>
      <c r="C1805" t="s">
        <v>40</v>
      </c>
      <c r="D1805" t="s">
        <v>55</v>
      </c>
      <c r="E1805">
        <v>253</v>
      </c>
      <c r="F1805">
        <v>206300.46</v>
      </c>
    </row>
    <row r="1806" spans="1:6" x14ac:dyDescent="0.3">
      <c r="A1806">
        <v>2026</v>
      </c>
      <c r="B1806">
        <v>4</v>
      </c>
      <c r="C1806" t="s">
        <v>40</v>
      </c>
      <c r="D1806" t="s">
        <v>69</v>
      </c>
      <c r="E1806">
        <v>661</v>
      </c>
      <c r="F1806">
        <v>553120.80000000005</v>
      </c>
    </row>
    <row r="1807" spans="1:6" x14ac:dyDescent="0.3">
      <c r="A1807">
        <v>2026</v>
      </c>
      <c r="B1807">
        <v>4</v>
      </c>
      <c r="C1807" t="s">
        <v>40</v>
      </c>
      <c r="D1807" t="s">
        <v>19</v>
      </c>
      <c r="E1807">
        <v>141</v>
      </c>
      <c r="F1807">
        <v>164911.4</v>
      </c>
    </row>
    <row r="1808" spans="1:6" x14ac:dyDescent="0.3">
      <c r="A1808">
        <v>2026</v>
      </c>
      <c r="B1808">
        <v>4</v>
      </c>
      <c r="C1808" t="s">
        <v>40</v>
      </c>
      <c r="D1808" t="s">
        <v>20</v>
      </c>
      <c r="E1808">
        <v>172</v>
      </c>
      <c r="F1808">
        <v>198837.87</v>
      </c>
    </row>
    <row r="1809" spans="1:6" x14ac:dyDescent="0.3">
      <c r="A1809">
        <v>2026</v>
      </c>
      <c r="B1809">
        <v>4</v>
      </c>
      <c r="C1809" t="s">
        <v>40</v>
      </c>
      <c r="D1809" t="s">
        <v>21</v>
      </c>
      <c r="E1809">
        <v>436</v>
      </c>
      <c r="F1809">
        <v>494631.71</v>
      </c>
    </row>
    <row r="1810" spans="1:6" x14ac:dyDescent="0.3">
      <c r="A1810">
        <v>2026</v>
      </c>
      <c r="B1810">
        <v>4</v>
      </c>
      <c r="C1810" t="s">
        <v>40</v>
      </c>
      <c r="D1810" t="s">
        <v>22</v>
      </c>
      <c r="E1810">
        <v>170</v>
      </c>
      <c r="F1810">
        <v>136482.87</v>
      </c>
    </row>
    <row r="1811" spans="1:6" x14ac:dyDescent="0.3">
      <c r="A1811">
        <v>2026</v>
      </c>
      <c r="B1811">
        <v>4</v>
      </c>
      <c r="C1811" t="s">
        <v>40</v>
      </c>
      <c r="D1811" t="s">
        <v>23</v>
      </c>
      <c r="E1811">
        <v>351</v>
      </c>
      <c r="F1811">
        <v>333767.98</v>
      </c>
    </row>
    <row r="1812" spans="1:6" x14ac:dyDescent="0.3">
      <c r="A1812">
        <v>2026</v>
      </c>
      <c r="B1812">
        <v>4</v>
      </c>
      <c r="C1812" t="s">
        <v>40</v>
      </c>
      <c r="D1812" t="s">
        <v>24</v>
      </c>
      <c r="E1812">
        <v>170</v>
      </c>
      <c r="F1812">
        <v>131442.17000000001</v>
      </c>
    </row>
    <row r="1813" spans="1:6" x14ac:dyDescent="0.3">
      <c r="A1813">
        <v>2026</v>
      </c>
      <c r="B1813">
        <v>4</v>
      </c>
      <c r="C1813" t="s">
        <v>40</v>
      </c>
      <c r="D1813" t="s">
        <v>25</v>
      </c>
      <c r="E1813">
        <v>503</v>
      </c>
      <c r="F1813">
        <v>489598.92</v>
      </c>
    </row>
    <row r="1814" spans="1:6" x14ac:dyDescent="0.3">
      <c r="A1814">
        <v>2026</v>
      </c>
      <c r="B1814">
        <v>4</v>
      </c>
      <c r="C1814" t="s">
        <v>40</v>
      </c>
      <c r="D1814" t="s">
        <v>26</v>
      </c>
      <c r="E1814">
        <v>165</v>
      </c>
      <c r="F1814">
        <v>189626.59</v>
      </c>
    </row>
    <row r="1815" spans="1:6" x14ac:dyDescent="0.3">
      <c r="A1815">
        <v>2026</v>
      </c>
      <c r="B1815">
        <v>4</v>
      </c>
      <c r="C1815" t="s">
        <v>40</v>
      </c>
      <c r="D1815" t="s">
        <v>27</v>
      </c>
      <c r="E1815">
        <v>162</v>
      </c>
      <c r="F1815">
        <v>143134</v>
      </c>
    </row>
    <row r="1816" spans="1:6" x14ac:dyDescent="0.3">
      <c r="A1816">
        <v>2026</v>
      </c>
      <c r="B1816">
        <v>4</v>
      </c>
      <c r="C1816" t="s">
        <v>40</v>
      </c>
      <c r="D1816" t="s">
        <v>28</v>
      </c>
      <c r="E1816">
        <v>242</v>
      </c>
      <c r="F1816">
        <v>209917.69</v>
      </c>
    </row>
    <row r="1817" spans="1:6" x14ac:dyDescent="0.3">
      <c r="A1817">
        <v>2026</v>
      </c>
      <c r="B1817">
        <v>4</v>
      </c>
      <c r="C1817" t="s">
        <v>40</v>
      </c>
      <c r="D1817" t="s">
        <v>29</v>
      </c>
      <c r="E1817">
        <v>321</v>
      </c>
      <c r="F1817">
        <v>292024.81</v>
      </c>
    </row>
    <row r="1818" spans="1:6" x14ac:dyDescent="0.3">
      <c r="A1818">
        <v>2026</v>
      </c>
      <c r="B1818">
        <v>4</v>
      </c>
      <c r="C1818" t="s">
        <v>40</v>
      </c>
      <c r="D1818" t="s">
        <v>30</v>
      </c>
      <c r="E1818">
        <v>96</v>
      </c>
      <c r="F1818">
        <v>63862.8</v>
      </c>
    </row>
    <row r="1819" spans="1:6" x14ac:dyDescent="0.3">
      <c r="A1819">
        <v>2026</v>
      </c>
      <c r="B1819">
        <v>4</v>
      </c>
      <c r="C1819" t="s">
        <v>40</v>
      </c>
      <c r="D1819" t="s">
        <v>31</v>
      </c>
      <c r="E1819">
        <v>582</v>
      </c>
      <c r="F1819">
        <v>636253.97</v>
      </c>
    </row>
    <row r="1820" spans="1:6" x14ac:dyDescent="0.3">
      <c r="A1820">
        <v>2026</v>
      </c>
      <c r="B1820">
        <v>4</v>
      </c>
      <c r="C1820" t="s">
        <v>40</v>
      </c>
      <c r="D1820" t="s">
        <v>51</v>
      </c>
      <c r="E1820">
        <v>628</v>
      </c>
      <c r="F1820">
        <v>433314.95</v>
      </c>
    </row>
    <row r="1821" spans="1:6" x14ac:dyDescent="0.3">
      <c r="A1821">
        <v>2026</v>
      </c>
      <c r="B1821">
        <v>4</v>
      </c>
      <c r="C1821" t="s">
        <v>40</v>
      </c>
      <c r="D1821" t="s">
        <v>32</v>
      </c>
      <c r="E1821">
        <v>263</v>
      </c>
      <c r="F1821">
        <v>244902</v>
      </c>
    </row>
    <row r="1822" spans="1:6" x14ac:dyDescent="0.3">
      <c r="A1822">
        <v>2026</v>
      </c>
      <c r="B1822">
        <v>4</v>
      </c>
      <c r="C1822" t="s">
        <v>40</v>
      </c>
      <c r="D1822" t="s">
        <v>52</v>
      </c>
      <c r="E1822">
        <v>233</v>
      </c>
      <c r="F1822">
        <v>190550.04</v>
      </c>
    </row>
    <row r="1823" spans="1:6" x14ac:dyDescent="0.3">
      <c r="A1823">
        <v>2026</v>
      </c>
      <c r="B1823">
        <v>4</v>
      </c>
      <c r="C1823" t="s">
        <v>40</v>
      </c>
      <c r="D1823" t="s">
        <v>33</v>
      </c>
      <c r="E1823">
        <v>565</v>
      </c>
      <c r="F1823">
        <v>467225.84</v>
      </c>
    </row>
    <row r="1824" spans="1:6" x14ac:dyDescent="0.3">
      <c r="A1824">
        <v>2026</v>
      </c>
      <c r="B1824">
        <v>4</v>
      </c>
      <c r="C1824" t="s">
        <v>40</v>
      </c>
      <c r="D1824" t="s">
        <v>58</v>
      </c>
      <c r="E1824">
        <v>153</v>
      </c>
      <c r="F1824">
        <v>123110.96</v>
      </c>
    </row>
    <row r="1825" spans="1:6" x14ac:dyDescent="0.3">
      <c r="A1825">
        <v>2026</v>
      </c>
      <c r="B1825">
        <v>4</v>
      </c>
      <c r="C1825" t="s">
        <v>40</v>
      </c>
      <c r="D1825" t="s">
        <v>34</v>
      </c>
      <c r="E1825">
        <v>402</v>
      </c>
      <c r="F1825">
        <v>339914.64</v>
      </c>
    </row>
    <row r="1826" spans="1:6" x14ac:dyDescent="0.3">
      <c r="A1826">
        <v>2026</v>
      </c>
      <c r="B1826">
        <v>4</v>
      </c>
      <c r="C1826" t="s">
        <v>40</v>
      </c>
      <c r="D1826" t="s">
        <v>56</v>
      </c>
      <c r="E1826">
        <v>502</v>
      </c>
      <c r="F1826">
        <v>445910</v>
      </c>
    </row>
    <row r="1827" spans="1:6" x14ac:dyDescent="0.3">
      <c r="A1827">
        <v>2026</v>
      </c>
      <c r="B1827">
        <v>4</v>
      </c>
      <c r="C1827" t="s">
        <v>40</v>
      </c>
      <c r="D1827" t="s">
        <v>57</v>
      </c>
      <c r="E1827">
        <v>245</v>
      </c>
      <c r="F1827">
        <v>196691</v>
      </c>
    </row>
    <row r="1828" spans="1:6" x14ac:dyDescent="0.3">
      <c r="A1828">
        <v>2026</v>
      </c>
      <c r="B1828">
        <v>4</v>
      </c>
      <c r="C1828" t="s">
        <v>40</v>
      </c>
      <c r="D1828" t="s">
        <v>49</v>
      </c>
      <c r="E1828">
        <v>215</v>
      </c>
      <c r="F1828">
        <v>166444</v>
      </c>
    </row>
    <row r="1829" spans="1:6" x14ac:dyDescent="0.3">
      <c r="A1829">
        <v>2026</v>
      </c>
      <c r="B1829">
        <v>4</v>
      </c>
      <c r="C1829" t="s">
        <v>40</v>
      </c>
      <c r="D1829" t="s">
        <v>53</v>
      </c>
      <c r="E1829">
        <v>430</v>
      </c>
      <c r="F1829">
        <v>312303.78999999998</v>
      </c>
    </row>
    <row r="1830" spans="1:6" x14ac:dyDescent="0.3">
      <c r="A1830">
        <v>2026</v>
      </c>
      <c r="B1830">
        <v>4</v>
      </c>
      <c r="C1830" t="s">
        <v>40</v>
      </c>
      <c r="D1830" t="s">
        <v>35</v>
      </c>
      <c r="E1830">
        <v>319</v>
      </c>
      <c r="F1830">
        <v>279539</v>
      </c>
    </row>
    <row r="1831" spans="1:6" x14ac:dyDescent="0.3">
      <c r="A1831">
        <v>2026</v>
      </c>
      <c r="B1831">
        <v>4</v>
      </c>
      <c r="C1831" t="s">
        <v>40</v>
      </c>
      <c r="D1831" t="s">
        <v>36</v>
      </c>
      <c r="E1831">
        <v>1000</v>
      </c>
      <c r="F1831">
        <v>675762.06</v>
      </c>
    </row>
    <row r="1832" spans="1:6" x14ac:dyDescent="0.3">
      <c r="A1832">
        <v>2026</v>
      </c>
      <c r="B1832">
        <v>4</v>
      </c>
      <c r="C1832" t="s">
        <v>40</v>
      </c>
      <c r="D1832" t="s">
        <v>37</v>
      </c>
      <c r="E1832">
        <v>283</v>
      </c>
      <c r="F1832">
        <v>282570.40000000002</v>
      </c>
    </row>
    <row r="1833" spans="1:6" x14ac:dyDescent="0.3">
      <c r="A1833">
        <v>2026</v>
      </c>
      <c r="B1833">
        <v>4</v>
      </c>
      <c r="C1833" t="s">
        <v>40</v>
      </c>
      <c r="D1833" t="s">
        <v>73</v>
      </c>
      <c r="E1833">
        <v>15</v>
      </c>
      <c r="F1833">
        <v>12195</v>
      </c>
    </row>
    <row r="1834" spans="1:6" x14ac:dyDescent="0.3">
      <c r="A1834">
        <v>2026</v>
      </c>
      <c r="B1834">
        <v>4</v>
      </c>
      <c r="C1834" t="s">
        <v>40</v>
      </c>
      <c r="D1834" t="s">
        <v>74</v>
      </c>
      <c r="E1834">
        <v>116</v>
      </c>
      <c r="F1834">
        <v>91058</v>
      </c>
    </row>
    <row r="1835" spans="1:6" x14ac:dyDescent="0.3">
      <c r="A1835">
        <v>2026</v>
      </c>
      <c r="B1835">
        <v>5</v>
      </c>
      <c r="C1835" t="s">
        <v>41</v>
      </c>
      <c r="D1835" t="s">
        <v>7</v>
      </c>
      <c r="E1835">
        <v>88</v>
      </c>
      <c r="F1835">
        <v>67631.679999999993</v>
      </c>
    </row>
    <row r="1836" spans="1:6" x14ac:dyDescent="0.3">
      <c r="A1836">
        <v>2026</v>
      </c>
      <c r="B1836">
        <v>5</v>
      </c>
      <c r="C1836" t="s">
        <v>41</v>
      </c>
      <c r="D1836" t="s">
        <v>70</v>
      </c>
      <c r="E1836">
        <v>131</v>
      </c>
      <c r="F1836">
        <v>115724</v>
      </c>
    </row>
    <row r="1837" spans="1:6" x14ac:dyDescent="0.3">
      <c r="A1837">
        <v>2026</v>
      </c>
      <c r="B1837">
        <v>5</v>
      </c>
      <c r="C1837" t="s">
        <v>41</v>
      </c>
      <c r="D1837" t="s">
        <v>8</v>
      </c>
      <c r="E1837">
        <v>251</v>
      </c>
      <c r="F1837">
        <v>227521</v>
      </c>
    </row>
    <row r="1838" spans="1:6" x14ac:dyDescent="0.3">
      <c r="A1838">
        <v>2026</v>
      </c>
      <c r="B1838">
        <v>5</v>
      </c>
      <c r="C1838" t="s">
        <v>41</v>
      </c>
      <c r="D1838" t="s">
        <v>9</v>
      </c>
      <c r="E1838">
        <v>55</v>
      </c>
      <c r="F1838">
        <v>35182.559999999998</v>
      </c>
    </row>
    <row r="1839" spans="1:6" x14ac:dyDescent="0.3">
      <c r="A1839">
        <v>2026</v>
      </c>
      <c r="B1839">
        <v>5</v>
      </c>
      <c r="C1839" t="s">
        <v>41</v>
      </c>
      <c r="D1839" t="s">
        <v>10</v>
      </c>
      <c r="E1839">
        <v>148</v>
      </c>
      <c r="F1839">
        <v>114754</v>
      </c>
    </row>
    <row r="1840" spans="1:6" x14ac:dyDescent="0.3">
      <c r="A1840">
        <v>2026</v>
      </c>
      <c r="B1840">
        <v>5</v>
      </c>
      <c r="C1840" t="s">
        <v>41</v>
      </c>
      <c r="D1840" t="s">
        <v>11</v>
      </c>
      <c r="E1840">
        <v>149</v>
      </c>
      <c r="F1840">
        <v>123634.32</v>
      </c>
    </row>
    <row r="1841" spans="1:6" x14ac:dyDescent="0.3">
      <c r="A1841">
        <v>2026</v>
      </c>
      <c r="B1841">
        <v>5</v>
      </c>
      <c r="C1841" t="s">
        <v>41</v>
      </c>
      <c r="D1841" t="s">
        <v>59</v>
      </c>
      <c r="E1841">
        <v>67</v>
      </c>
      <c r="F1841">
        <v>58369.96</v>
      </c>
    </row>
    <row r="1842" spans="1:6" x14ac:dyDescent="0.3">
      <c r="A1842">
        <v>2026</v>
      </c>
      <c r="B1842">
        <v>5</v>
      </c>
      <c r="C1842" t="s">
        <v>41</v>
      </c>
      <c r="D1842" t="s">
        <v>12</v>
      </c>
      <c r="E1842">
        <v>46</v>
      </c>
      <c r="F1842">
        <v>39258</v>
      </c>
    </row>
    <row r="1843" spans="1:6" x14ac:dyDescent="0.3">
      <c r="A1843">
        <v>2026</v>
      </c>
      <c r="B1843">
        <v>5</v>
      </c>
      <c r="C1843" t="s">
        <v>41</v>
      </c>
      <c r="D1843" t="s">
        <v>13</v>
      </c>
      <c r="E1843">
        <v>28</v>
      </c>
      <c r="F1843">
        <v>33460</v>
      </c>
    </row>
    <row r="1844" spans="1:6" x14ac:dyDescent="0.3">
      <c r="A1844">
        <v>2026</v>
      </c>
      <c r="B1844">
        <v>5</v>
      </c>
      <c r="C1844" t="s">
        <v>41</v>
      </c>
      <c r="D1844" t="s">
        <v>14</v>
      </c>
      <c r="E1844">
        <v>24</v>
      </c>
      <c r="F1844">
        <v>19503.28</v>
      </c>
    </row>
    <row r="1845" spans="1:6" x14ac:dyDescent="0.3">
      <c r="A1845">
        <v>2026</v>
      </c>
      <c r="B1845">
        <v>5</v>
      </c>
      <c r="C1845" t="s">
        <v>41</v>
      </c>
      <c r="D1845" t="s">
        <v>15</v>
      </c>
      <c r="E1845">
        <v>27</v>
      </c>
      <c r="F1845">
        <v>16586</v>
      </c>
    </row>
    <row r="1846" spans="1:6" x14ac:dyDescent="0.3">
      <c r="A1846">
        <v>2026</v>
      </c>
      <c r="B1846">
        <v>5</v>
      </c>
      <c r="C1846" t="s">
        <v>41</v>
      </c>
      <c r="D1846" t="s">
        <v>16</v>
      </c>
      <c r="E1846">
        <v>27</v>
      </c>
      <c r="F1846">
        <v>18296.38</v>
      </c>
    </row>
    <row r="1847" spans="1:6" x14ac:dyDescent="0.3">
      <c r="A1847">
        <v>2026</v>
      </c>
      <c r="B1847">
        <v>5</v>
      </c>
      <c r="C1847" t="s">
        <v>41</v>
      </c>
      <c r="D1847" t="s">
        <v>71</v>
      </c>
      <c r="E1847">
        <v>332</v>
      </c>
      <c r="F1847">
        <v>297957.62</v>
      </c>
    </row>
    <row r="1848" spans="1:6" x14ac:dyDescent="0.3">
      <c r="A1848">
        <v>2026</v>
      </c>
      <c r="B1848">
        <v>5</v>
      </c>
      <c r="C1848" t="s">
        <v>41</v>
      </c>
      <c r="D1848" t="s">
        <v>54</v>
      </c>
      <c r="E1848">
        <v>212</v>
      </c>
      <c r="F1848">
        <v>196563.76</v>
      </c>
    </row>
    <row r="1849" spans="1:6" x14ac:dyDescent="0.3">
      <c r="A1849">
        <v>2026</v>
      </c>
      <c r="B1849">
        <v>5</v>
      </c>
      <c r="C1849" t="s">
        <v>41</v>
      </c>
      <c r="D1849" t="s">
        <v>72</v>
      </c>
      <c r="E1849">
        <v>171</v>
      </c>
      <c r="F1849">
        <v>128010</v>
      </c>
    </row>
    <row r="1850" spans="1:6" x14ac:dyDescent="0.3">
      <c r="A1850">
        <v>2026</v>
      </c>
      <c r="B1850">
        <v>5</v>
      </c>
      <c r="C1850" t="s">
        <v>41</v>
      </c>
      <c r="D1850" t="s">
        <v>17</v>
      </c>
      <c r="E1850">
        <v>62</v>
      </c>
      <c r="F1850">
        <v>55251.05</v>
      </c>
    </row>
    <row r="1851" spans="1:6" x14ac:dyDescent="0.3">
      <c r="A1851">
        <v>2026</v>
      </c>
      <c r="B1851">
        <v>5</v>
      </c>
      <c r="C1851" t="s">
        <v>41</v>
      </c>
      <c r="D1851" t="s">
        <v>18</v>
      </c>
      <c r="E1851">
        <v>119</v>
      </c>
      <c r="F1851">
        <v>117950</v>
      </c>
    </row>
    <row r="1852" spans="1:6" x14ac:dyDescent="0.3">
      <c r="A1852">
        <v>2026</v>
      </c>
      <c r="B1852">
        <v>5</v>
      </c>
      <c r="C1852" t="s">
        <v>41</v>
      </c>
      <c r="D1852" t="s">
        <v>50</v>
      </c>
      <c r="E1852">
        <v>344</v>
      </c>
      <c r="F1852">
        <v>254337.93</v>
      </c>
    </row>
    <row r="1853" spans="1:6" x14ac:dyDescent="0.3">
      <c r="A1853">
        <v>2026</v>
      </c>
      <c r="B1853">
        <v>5</v>
      </c>
      <c r="C1853" t="s">
        <v>41</v>
      </c>
      <c r="D1853" t="s">
        <v>55</v>
      </c>
      <c r="E1853">
        <v>241</v>
      </c>
      <c r="F1853">
        <v>196191.66</v>
      </c>
    </row>
    <row r="1854" spans="1:6" x14ac:dyDescent="0.3">
      <c r="A1854">
        <v>2026</v>
      </c>
      <c r="B1854">
        <v>5</v>
      </c>
      <c r="C1854" t="s">
        <v>41</v>
      </c>
      <c r="D1854" t="s">
        <v>69</v>
      </c>
      <c r="E1854">
        <v>209</v>
      </c>
      <c r="F1854">
        <v>175867</v>
      </c>
    </row>
    <row r="1855" spans="1:6" x14ac:dyDescent="0.3">
      <c r="A1855">
        <v>2026</v>
      </c>
      <c r="B1855">
        <v>5</v>
      </c>
      <c r="C1855" t="s">
        <v>41</v>
      </c>
      <c r="D1855" t="s">
        <v>19</v>
      </c>
      <c r="E1855">
        <v>23</v>
      </c>
      <c r="F1855">
        <v>25318.5</v>
      </c>
    </row>
    <row r="1856" spans="1:6" x14ac:dyDescent="0.3">
      <c r="A1856">
        <v>2026</v>
      </c>
      <c r="B1856">
        <v>5</v>
      </c>
      <c r="C1856" t="s">
        <v>41</v>
      </c>
      <c r="D1856" t="s">
        <v>20</v>
      </c>
      <c r="E1856">
        <v>66</v>
      </c>
      <c r="F1856">
        <v>47872</v>
      </c>
    </row>
    <row r="1857" spans="1:6" x14ac:dyDescent="0.3">
      <c r="A1857">
        <v>2026</v>
      </c>
      <c r="B1857">
        <v>5</v>
      </c>
      <c r="C1857" t="s">
        <v>41</v>
      </c>
      <c r="D1857" t="s">
        <v>21</v>
      </c>
      <c r="E1857">
        <v>192</v>
      </c>
      <c r="F1857">
        <v>171252</v>
      </c>
    </row>
    <row r="1858" spans="1:6" x14ac:dyDescent="0.3">
      <c r="A1858">
        <v>2026</v>
      </c>
      <c r="B1858">
        <v>5</v>
      </c>
      <c r="C1858" t="s">
        <v>41</v>
      </c>
      <c r="D1858" t="s">
        <v>22</v>
      </c>
      <c r="E1858">
        <v>43</v>
      </c>
      <c r="F1858">
        <v>27397</v>
      </c>
    </row>
    <row r="1859" spans="1:6" x14ac:dyDescent="0.3">
      <c r="A1859">
        <v>2026</v>
      </c>
      <c r="B1859">
        <v>5</v>
      </c>
      <c r="C1859" t="s">
        <v>41</v>
      </c>
      <c r="D1859" t="s">
        <v>23</v>
      </c>
      <c r="E1859">
        <v>135</v>
      </c>
      <c r="F1859">
        <v>112434</v>
      </c>
    </row>
    <row r="1860" spans="1:6" x14ac:dyDescent="0.3">
      <c r="A1860">
        <v>2026</v>
      </c>
      <c r="B1860">
        <v>5</v>
      </c>
      <c r="C1860" t="s">
        <v>41</v>
      </c>
      <c r="D1860" t="s">
        <v>24</v>
      </c>
      <c r="E1860">
        <v>39</v>
      </c>
      <c r="F1860">
        <v>27622</v>
      </c>
    </row>
    <row r="1861" spans="1:6" x14ac:dyDescent="0.3">
      <c r="A1861">
        <v>2026</v>
      </c>
      <c r="B1861">
        <v>5</v>
      </c>
      <c r="C1861" t="s">
        <v>41</v>
      </c>
      <c r="D1861" t="s">
        <v>25</v>
      </c>
      <c r="E1861">
        <v>194</v>
      </c>
      <c r="F1861">
        <v>170304.7</v>
      </c>
    </row>
    <row r="1862" spans="1:6" x14ac:dyDescent="0.3">
      <c r="A1862">
        <v>2026</v>
      </c>
      <c r="B1862">
        <v>5</v>
      </c>
      <c r="C1862" t="s">
        <v>41</v>
      </c>
      <c r="D1862" t="s">
        <v>26</v>
      </c>
      <c r="E1862">
        <v>27</v>
      </c>
      <c r="F1862">
        <v>22762</v>
      </c>
    </row>
    <row r="1863" spans="1:6" x14ac:dyDescent="0.3">
      <c r="A1863">
        <v>2026</v>
      </c>
      <c r="B1863">
        <v>5</v>
      </c>
      <c r="C1863" t="s">
        <v>41</v>
      </c>
      <c r="D1863" t="s">
        <v>27</v>
      </c>
      <c r="E1863">
        <v>93</v>
      </c>
      <c r="F1863">
        <v>70221.8</v>
      </c>
    </row>
    <row r="1864" spans="1:6" x14ac:dyDescent="0.3">
      <c r="A1864">
        <v>2026</v>
      </c>
      <c r="B1864">
        <v>5</v>
      </c>
      <c r="C1864" t="s">
        <v>41</v>
      </c>
      <c r="D1864" t="s">
        <v>28</v>
      </c>
      <c r="E1864">
        <v>22</v>
      </c>
      <c r="F1864">
        <v>16392.439999999999</v>
      </c>
    </row>
    <row r="1865" spans="1:6" x14ac:dyDescent="0.3">
      <c r="A1865">
        <v>2026</v>
      </c>
      <c r="B1865">
        <v>5</v>
      </c>
      <c r="C1865" t="s">
        <v>41</v>
      </c>
      <c r="D1865" t="s">
        <v>29</v>
      </c>
      <c r="E1865">
        <v>162</v>
      </c>
      <c r="F1865">
        <v>136920</v>
      </c>
    </row>
    <row r="1866" spans="1:6" x14ac:dyDescent="0.3">
      <c r="A1866">
        <v>2026</v>
      </c>
      <c r="B1866">
        <v>5</v>
      </c>
      <c r="C1866" t="s">
        <v>41</v>
      </c>
      <c r="D1866" t="s">
        <v>30</v>
      </c>
      <c r="E1866">
        <v>53</v>
      </c>
      <c r="F1866">
        <v>39541</v>
      </c>
    </row>
    <row r="1867" spans="1:6" x14ac:dyDescent="0.3">
      <c r="A1867">
        <v>2026</v>
      </c>
      <c r="B1867">
        <v>5</v>
      </c>
      <c r="C1867" t="s">
        <v>41</v>
      </c>
      <c r="D1867" t="s">
        <v>31</v>
      </c>
      <c r="E1867">
        <v>117</v>
      </c>
      <c r="F1867">
        <v>125518.04</v>
      </c>
    </row>
    <row r="1868" spans="1:6" x14ac:dyDescent="0.3">
      <c r="A1868">
        <v>2026</v>
      </c>
      <c r="B1868">
        <v>5</v>
      </c>
      <c r="C1868" t="s">
        <v>41</v>
      </c>
      <c r="D1868" t="s">
        <v>51</v>
      </c>
      <c r="E1868">
        <v>176</v>
      </c>
      <c r="F1868">
        <v>123161.86</v>
      </c>
    </row>
    <row r="1869" spans="1:6" x14ac:dyDescent="0.3">
      <c r="A1869">
        <v>2026</v>
      </c>
      <c r="B1869">
        <v>5</v>
      </c>
      <c r="C1869" t="s">
        <v>41</v>
      </c>
      <c r="D1869" t="s">
        <v>32</v>
      </c>
      <c r="E1869">
        <v>15</v>
      </c>
      <c r="F1869">
        <v>10911</v>
      </c>
    </row>
    <row r="1870" spans="1:6" x14ac:dyDescent="0.3">
      <c r="A1870">
        <v>2026</v>
      </c>
      <c r="B1870">
        <v>5</v>
      </c>
      <c r="C1870" t="s">
        <v>41</v>
      </c>
      <c r="D1870" t="s">
        <v>52</v>
      </c>
      <c r="E1870">
        <v>200</v>
      </c>
      <c r="F1870">
        <v>169160.25</v>
      </c>
    </row>
    <row r="1871" spans="1:6" x14ac:dyDescent="0.3">
      <c r="A1871">
        <v>2026</v>
      </c>
      <c r="B1871">
        <v>5</v>
      </c>
      <c r="C1871" t="s">
        <v>41</v>
      </c>
      <c r="D1871" t="s">
        <v>33</v>
      </c>
      <c r="E1871">
        <v>54</v>
      </c>
      <c r="F1871">
        <v>49336</v>
      </c>
    </row>
    <row r="1872" spans="1:6" x14ac:dyDescent="0.3">
      <c r="A1872">
        <v>2026</v>
      </c>
      <c r="B1872">
        <v>5</v>
      </c>
      <c r="C1872" t="s">
        <v>41</v>
      </c>
      <c r="D1872" t="s">
        <v>58</v>
      </c>
      <c r="E1872">
        <v>105</v>
      </c>
      <c r="F1872">
        <v>83412</v>
      </c>
    </row>
    <row r="1873" spans="1:6" x14ac:dyDescent="0.3">
      <c r="A1873">
        <v>2026</v>
      </c>
      <c r="B1873">
        <v>5</v>
      </c>
      <c r="C1873" t="s">
        <v>41</v>
      </c>
      <c r="D1873" t="s">
        <v>34</v>
      </c>
      <c r="E1873">
        <v>57</v>
      </c>
      <c r="F1873">
        <v>45332</v>
      </c>
    </row>
    <row r="1874" spans="1:6" x14ac:dyDescent="0.3">
      <c r="A1874">
        <v>2026</v>
      </c>
      <c r="B1874">
        <v>5</v>
      </c>
      <c r="C1874" t="s">
        <v>41</v>
      </c>
      <c r="D1874" t="s">
        <v>56</v>
      </c>
      <c r="E1874">
        <v>269</v>
      </c>
      <c r="F1874">
        <v>233021</v>
      </c>
    </row>
    <row r="1875" spans="1:6" x14ac:dyDescent="0.3">
      <c r="A1875">
        <v>2026</v>
      </c>
      <c r="B1875">
        <v>5</v>
      </c>
      <c r="C1875" t="s">
        <v>41</v>
      </c>
      <c r="D1875" t="s">
        <v>57</v>
      </c>
      <c r="E1875">
        <v>154</v>
      </c>
      <c r="F1875">
        <v>132045.09</v>
      </c>
    </row>
    <row r="1876" spans="1:6" x14ac:dyDescent="0.3">
      <c r="A1876">
        <v>2026</v>
      </c>
      <c r="B1876">
        <v>5</v>
      </c>
      <c r="C1876" t="s">
        <v>41</v>
      </c>
      <c r="D1876" t="s">
        <v>49</v>
      </c>
      <c r="E1876">
        <v>121</v>
      </c>
      <c r="F1876">
        <v>92955.3</v>
      </c>
    </row>
    <row r="1877" spans="1:6" x14ac:dyDescent="0.3">
      <c r="A1877">
        <v>2026</v>
      </c>
      <c r="B1877">
        <v>5</v>
      </c>
      <c r="C1877" t="s">
        <v>41</v>
      </c>
      <c r="D1877" t="s">
        <v>53</v>
      </c>
      <c r="E1877">
        <v>113</v>
      </c>
      <c r="F1877">
        <v>84809.27</v>
      </c>
    </row>
    <row r="1878" spans="1:6" x14ac:dyDescent="0.3">
      <c r="A1878">
        <v>2026</v>
      </c>
      <c r="B1878">
        <v>5</v>
      </c>
      <c r="C1878" t="s">
        <v>41</v>
      </c>
      <c r="D1878" t="s">
        <v>35</v>
      </c>
      <c r="E1878">
        <v>39</v>
      </c>
      <c r="F1878">
        <v>30604</v>
      </c>
    </row>
    <row r="1879" spans="1:6" x14ac:dyDescent="0.3">
      <c r="A1879">
        <v>2026</v>
      </c>
      <c r="B1879">
        <v>5</v>
      </c>
      <c r="C1879" t="s">
        <v>41</v>
      </c>
      <c r="D1879" t="s">
        <v>36</v>
      </c>
      <c r="E1879">
        <v>69</v>
      </c>
      <c r="F1879">
        <v>46993.32</v>
      </c>
    </row>
    <row r="1880" spans="1:6" x14ac:dyDescent="0.3">
      <c r="A1880">
        <v>2026</v>
      </c>
      <c r="B1880">
        <v>5</v>
      </c>
      <c r="C1880" t="s">
        <v>41</v>
      </c>
      <c r="D1880" t="s">
        <v>37</v>
      </c>
      <c r="E1880">
        <v>124</v>
      </c>
      <c r="F1880">
        <v>104711.48</v>
      </c>
    </row>
    <row r="1881" spans="1:6" x14ac:dyDescent="0.3">
      <c r="A1881">
        <v>2026</v>
      </c>
      <c r="B1881">
        <v>5</v>
      </c>
      <c r="C1881" t="s">
        <v>41</v>
      </c>
      <c r="D1881" t="s">
        <v>73</v>
      </c>
      <c r="E1881">
        <v>95</v>
      </c>
      <c r="F1881">
        <v>81285.990000000005</v>
      </c>
    </row>
    <row r="1882" spans="1:6" x14ac:dyDescent="0.3">
      <c r="A1882">
        <v>2026</v>
      </c>
      <c r="B1882">
        <v>5</v>
      </c>
      <c r="C1882" t="s">
        <v>41</v>
      </c>
      <c r="D1882" t="s">
        <v>74</v>
      </c>
      <c r="E1882">
        <v>152</v>
      </c>
      <c r="F1882">
        <v>123583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F60A-FB6D-489A-8ACE-2791C2F29938}">
  <dimension ref="A1:F1844"/>
  <sheetViews>
    <sheetView workbookViewId="0">
      <selection activeCell="C1799" sqref="C1799"/>
    </sheetView>
  </sheetViews>
  <sheetFormatPr defaultRowHeight="14.4" x14ac:dyDescent="0.3"/>
  <cols>
    <col min="1" max="1" width="6.88671875" bestFit="1" customWidth="1"/>
    <col min="2" max="2" width="13.109375" bestFit="1" customWidth="1"/>
    <col min="3" max="3" width="9.77734375" bestFit="1" customWidth="1"/>
    <col min="4" max="4" width="28.44140625" bestFit="1" customWidth="1"/>
    <col min="5" max="5" width="7.44140625" bestFit="1" customWidth="1"/>
    <col min="6" max="6" width="17.109375" style="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hidden="1" x14ac:dyDescent="0.3">
      <c r="A2">
        <v>2022</v>
      </c>
      <c r="B2">
        <v>1</v>
      </c>
      <c r="C2" s="105" t="s">
        <v>6</v>
      </c>
      <c r="D2" s="105" t="s">
        <v>7</v>
      </c>
      <c r="E2">
        <v>12</v>
      </c>
      <c r="F2" s="1">
        <v>9802.5300000000007</v>
      </c>
    </row>
    <row r="3" spans="1:6" hidden="1" x14ac:dyDescent="0.3">
      <c r="A3">
        <v>2022</v>
      </c>
      <c r="B3">
        <v>1</v>
      </c>
      <c r="C3" s="105" t="s">
        <v>6</v>
      </c>
      <c r="D3" s="105" t="s">
        <v>8</v>
      </c>
      <c r="E3">
        <v>26</v>
      </c>
      <c r="F3" s="1">
        <v>18597.080000000002</v>
      </c>
    </row>
    <row r="4" spans="1:6" hidden="1" x14ac:dyDescent="0.3">
      <c r="A4">
        <v>2022</v>
      </c>
      <c r="B4">
        <v>1</v>
      </c>
      <c r="C4" s="105" t="s">
        <v>6</v>
      </c>
      <c r="D4" s="105" t="s">
        <v>9</v>
      </c>
      <c r="E4">
        <v>13</v>
      </c>
      <c r="F4" s="1">
        <v>9415.91</v>
      </c>
    </row>
    <row r="5" spans="1:6" hidden="1" x14ac:dyDescent="0.3">
      <c r="A5">
        <v>2022</v>
      </c>
      <c r="B5">
        <v>1</v>
      </c>
      <c r="C5" s="105" t="s">
        <v>6</v>
      </c>
      <c r="D5" s="105" t="s">
        <v>10</v>
      </c>
      <c r="E5">
        <v>37</v>
      </c>
      <c r="F5" s="1">
        <v>35589.599999999999</v>
      </c>
    </row>
    <row r="6" spans="1:6" hidden="1" x14ac:dyDescent="0.3">
      <c r="A6">
        <v>2022</v>
      </c>
      <c r="B6">
        <v>1</v>
      </c>
      <c r="C6" s="105" t="s">
        <v>6</v>
      </c>
      <c r="D6" s="105" t="s">
        <v>11</v>
      </c>
      <c r="E6">
        <v>39</v>
      </c>
      <c r="F6" s="1">
        <v>30117.82</v>
      </c>
    </row>
    <row r="7" spans="1:6" hidden="1" x14ac:dyDescent="0.3">
      <c r="A7">
        <v>2022</v>
      </c>
      <c r="B7">
        <v>1</v>
      </c>
      <c r="C7" s="105" t="s">
        <v>6</v>
      </c>
      <c r="D7" s="105" t="s">
        <v>12</v>
      </c>
      <c r="E7">
        <v>45</v>
      </c>
      <c r="F7" s="1">
        <v>34141.99</v>
      </c>
    </row>
    <row r="8" spans="1:6" hidden="1" x14ac:dyDescent="0.3">
      <c r="A8">
        <v>2022</v>
      </c>
      <c r="B8">
        <v>1</v>
      </c>
      <c r="C8" s="105" t="s">
        <v>6</v>
      </c>
      <c r="D8" s="105" t="s">
        <v>13</v>
      </c>
      <c r="E8">
        <v>88</v>
      </c>
      <c r="F8" s="1">
        <v>70521.11</v>
      </c>
    </row>
    <row r="9" spans="1:6" hidden="1" x14ac:dyDescent="0.3">
      <c r="A9">
        <v>2022</v>
      </c>
      <c r="B9">
        <v>1</v>
      </c>
      <c r="C9" s="105" t="s">
        <v>6</v>
      </c>
      <c r="D9" s="105" t="s">
        <v>14</v>
      </c>
      <c r="E9">
        <v>59</v>
      </c>
      <c r="F9" s="1">
        <v>36052.199999999997</v>
      </c>
    </row>
    <row r="10" spans="1:6" hidden="1" x14ac:dyDescent="0.3">
      <c r="A10">
        <v>2022</v>
      </c>
      <c r="B10">
        <v>1</v>
      </c>
      <c r="C10" s="105" t="s">
        <v>6</v>
      </c>
      <c r="D10" s="105" t="s">
        <v>15</v>
      </c>
      <c r="E10">
        <v>13</v>
      </c>
      <c r="F10" s="1">
        <v>8653.66</v>
      </c>
    </row>
    <row r="11" spans="1:6" hidden="1" x14ac:dyDescent="0.3">
      <c r="A11">
        <v>2022</v>
      </c>
      <c r="B11">
        <v>1</v>
      </c>
      <c r="C11" s="105" t="s">
        <v>6</v>
      </c>
      <c r="D11" s="105" t="s">
        <v>16</v>
      </c>
      <c r="E11">
        <v>8</v>
      </c>
      <c r="F11" s="1">
        <v>6446.06</v>
      </c>
    </row>
    <row r="12" spans="1:6" hidden="1" x14ac:dyDescent="0.3">
      <c r="A12">
        <v>2022</v>
      </c>
      <c r="B12">
        <v>1</v>
      </c>
      <c r="C12" s="105" t="s">
        <v>6</v>
      </c>
      <c r="D12" s="105" t="s">
        <v>17</v>
      </c>
      <c r="E12">
        <v>20</v>
      </c>
      <c r="F12" s="1">
        <v>16275.29</v>
      </c>
    </row>
    <row r="13" spans="1:6" hidden="1" x14ac:dyDescent="0.3">
      <c r="A13">
        <v>2022</v>
      </c>
      <c r="B13">
        <v>1</v>
      </c>
      <c r="C13" s="105" t="s">
        <v>6</v>
      </c>
      <c r="D13" s="105" t="s">
        <v>18</v>
      </c>
      <c r="E13">
        <v>70</v>
      </c>
      <c r="F13" s="1">
        <v>62989.36</v>
      </c>
    </row>
    <row r="14" spans="1:6" hidden="1" x14ac:dyDescent="0.3">
      <c r="A14">
        <v>2022</v>
      </c>
      <c r="B14">
        <v>1</v>
      </c>
      <c r="C14" s="105" t="s">
        <v>6</v>
      </c>
      <c r="D14" s="105" t="s">
        <v>19</v>
      </c>
      <c r="E14">
        <v>14</v>
      </c>
      <c r="F14" s="1">
        <v>12744.62</v>
      </c>
    </row>
    <row r="15" spans="1:6" hidden="1" x14ac:dyDescent="0.3">
      <c r="A15">
        <v>2022</v>
      </c>
      <c r="B15">
        <v>1</v>
      </c>
      <c r="C15" s="105" t="s">
        <v>6</v>
      </c>
      <c r="D15" s="105" t="s">
        <v>20</v>
      </c>
      <c r="E15">
        <v>45</v>
      </c>
      <c r="F15" s="1">
        <v>31670.080000000002</v>
      </c>
    </row>
    <row r="16" spans="1:6" hidden="1" x14ac:dyDescent="0.3">
      <c r="A16">
        <v>2022</v>
      </c>
      <c r="B16">
        <v>1</v>
      </c>
      <c r="C16" s="105" t="s">
        <v>6</v>
      </c>
      <c r="D16" s="105" t="s">
        <v>21</v>
      </c>
      <c r="E16">
        <v>46</v>
      </c>
      <c r="F16" s="1">
        <v>42141.84</v>
      </c>
    </row>
    <row r="17" spans="1:6" x14ac:dyDescent="0.3">
      <c r="A17">
        <v>2022</v>
      </c>
      <c r="B17">
        <v>1</v>
      </c>
      <c r="C17" s="105" t="s">
        <v>6</v>
      </c>
      <c r="D17" s="105" t="s">
        <v>22</v>
      </c>
      <c r="E17">
        <v>15</v>
      </c>
      <c r="F17" s="1">
        <v>8827.18</v>
      </c>
    </row>
    <row r="18" spans="1:6" hidden="1" x14ac:dyDescent="0.3">
      <c r="A18">
        <v>2022</v>
      </c>
      <c r="B18">
        <v>1</v>
      </c>
      <c r="C18" s="105" t="s">
        <v>6</v>
      </c>
      <c r="D18" s="105" t="s">
        <v>23</v>
      </c>
      <c r="E18">
        <v>11</v>
      </c>
      <c r="F18" s="1">
        <v>9563.9699999999993</v>
      </c>
    </row>
    <row r="19" spans="1:6" hidden="1" x14ac:dyDescent="0.3">
      <c r="A19">
        <v>2022</v>
      </c>
      <c r="B19">
        <v>1</v>
      </c>
      <c r="C19" s="105" t="s">
        <v>6</v>
      </c>
      <c r="D19" s="105" t="s">
        <v>24</v>
      </c>
      <c r="E19">
        <v>51</v>
      </c>
      <c r="F19" s="1">
        <v>36838.519999999997</v>
      </c>
    </row>
    <row r="20" spans="1:6" hidden="1" x14ac:dyDescent="0.3">
      <c r="A20">
        <v>2022</v>
      </c>
      <c r="B20">
        <v>1</v>
      </c>
      <c r="C20" s="105" t="s">
        <v>6</v>
      </c>
      <c r="D20" s="105" t="s">
        <v>25</v>
      </c>
      <c r="E20">
        <v>27</v>
      </c>
      <c r="F20" s="1">
        <v>23446.240000000002</v>
      </c>
    </row>
    <row r="21" spans="1:6" hidden="1" x14ac:dyDescent="0.3">
      <c r="A21">
        <v>2022</v>
      </c>
      <c r="B21">
        <v>1</v>
      </c>
      <c r="C21" s="105" t="s">
        <v>6</v>
      </c>
      <c r="D21" s="105" t="s">
        <v>26</v>
      </c>
      <c r="E21">
        <v>8</v>
      </c>
      <c r="F21" s="1">
        <v>6973.57</v>
      </c>
    </row>
    <row r="22" spans="1:6" hidden="1" x14ac:dyDescent="0.3">
      <c r="A22">
        <v>2022</v>
      </c>
      <c r="B22">
        <v>1</v>
      </c>
      <c r="C22" s="105" t="s">
        <v>6</v>
      </c>
      <c r="D22" s="105" t="s">
        <v>27</v>
      </c>
      <c r="E22">
        <v>24</v>
      </c>
      <c r="F22" s="1">
        <v>18874.599999999999</v>
      </c>
    </row>
    <row r="23" spans="1:6" hidden="1" x14ac:dyDescent="0.3">
      <c r="A23">
        <v>2022</v>
      </c>
      <c r="B23">
        <v>1</v>
      </c>
      <c r="C23" s="105" t="s">
        <v>6</v>
      </c>
      <c r="D23" s="105" t="s">
        <v>28</v>
      </c>
      <c r="E23">
        <v>6</v>
      </c>
      <c r="F23" s="1">
        <v>9810.94</v>
      </c>
    </row>
    <row r="24" spans="1:6" hidden="1" x14ac:dyDescent="0.3">
      <c r="A24">
        <v>2022</v>
      </c>
      <c r="B24">
        <v>1</v>
      </c>
      <c r="C24" s="105" t="s">
        <v>6</v>
      </c>
      <c r="D24" s="105" t="s">
        <v>29</v>
      </c>
      <c r="E24">
        <v>65</v>
      </c>
      <c r="F24" s="1">
        <v>50613.8</v>
      </c>
    </row>
    <row r="25" spans="1:6" hidden="1" x14ac:dyDescent="0.3">
      <c r="A25">
        <v>2022</v>
      </c>
      <c r="B25">
        <v>1</v>
      </c>
      <c r="C25" s="105" t="s">
        <v>6</v>
      </c>
      <c r="D25" s="105" t="s">
        <v>30</v>
      </c>
      <c r="E25">
        <v>24</v>
      </c>
      <c r="F25" s="1">
        <v>20230.23</v>
      </c>
    </row>
    <row r="26" spans="1:6" hidden="1" x14ac:dyDescent="0.3">
      <c r="A26">
        <v>2022</v>
      </c>
      <c r="B26">
        <v>1</v>
      </c>
      <c r="C26" s="105" t="s">
        <v>6</v>
      </c>
      <c r="D26" s="105" t="s">
        <v>31</v>
      </c>
      <c r="E26">
        <v>94</v>
      </c>
      <c r="F26" s="1">
        <v>84219</v>
      </c>
    </row>
    <row r="27" spans="1:6" hidden="1" x14ac:dyDescent="0.3">
      <c r="A27">
        <v>2022</v>
      </c>
      <c r="B27">
        <v>1</v>
      </c>
      <c r="C27" s="105" t="s">
        <v>6</v>
      </c>
      <c r="D27" s="105" t="s">
        <v>32</v>
      </c>
      <c r="E27">
        <v>13</v>
      </c>
      <c r="F27" s="1">
        <v>11527.73</v>
      </c>
    </row>
    <row r="28" spans="1:6" hidden="1" x14ac:dyDescent="0.3">
      <c r="A28">
        <v>2022</v>
      </c>
      <c r="B28">
        <v>1</v>
      </c>
      <c r="C28" s="105" t="s">
        <v>6</v>
      </c>
      <c r="D28" s="105" t="s">
        <v>33</v>
      </c>
      <c r="E28">
        <v>144</v>
      </c>
      <c r="F28" s="1">
        <v>135343.35</v>
      </c>
    </row>
    <row r="29" spans="1:6" hidden="1" x14ac:dyDescent="0.3">
      <c r="A29">
        <v>2022</v>
      </c>
      <c r="B29">
        <v>1</v>
      </c>
      <c r="C29" s="105" t="s">
        <v>6</v>
      </c>
      <c r="D29" s="105" t="s">
        <v>34</v>
      </c>
      <c r="E29">
        <v>64</v>
      </c>
      <c r="F29" s="1">
        <v>50657.55</v>
      </c>
    </row>
    <row r="30" spans="1:6" hidden="1" x14ac:dyDescent="0.3">
      <c r="A30">
        <v>2022</v>
      </c>
      <c r="B30">
        <v>1</v>
      </c>
      <c r="C30" s="105" t="s">
        <v>6</v>
      </c>
      <c r="D30" s="105" t="s">
        <v>35</v>
      </c>
      <c r="E30">
        <v>13</v>
      </c>
      <c r="F30" s="1">
        <v>9207.52</v>
      </c>
    </row>
    <row r="31" spans="1:6" hidden="1" x14ac:dyDescent="0.3">
      <c r="A31">
        <v>2022</v>
      </c>
      <c r="B31">
        <v>1</v>
      </c>
      <c r="C31" s="105" t="s">
        <v>6</v>
      </c>
      <c r="D31" s="105" t="s">
        <v>36</v>
      </c>
      <c r="E31">
        <v>44</v>
      </c>
      <c r="F31" s="1">
        <v>37035.25</v>
      </c>
    </row>
    <row r="32" spans="1:6" hidden="1" x14ac:dyDescent="0.3">
      <c r="A32">
        <v>2022</v>
      </c>
      <c r="B32">
        <v>1</v>
      </c>
      <c r="C32" s="105" t="s">
        <v>6</v>
      </c>
      <c r="D32" s="105" t="s">
        <v>37</v>
      </c>
      <c r="E32">
        <v>46</v>
      </c>
      <c r="F32" s="1">
        <v>40564.32</v>
      </c>
    </row>
    <row r="33" spans="1:6" hidden="1" x14ac:dyDescent="0.3">
      <c r="A33">
        <v>2022</v>
      </c>
      <c r="B33">
        <v>2</v>
      </c>
      <c r="C33" s="105" t="s">
        <v>38</v>
      </c>
      <c r="D33" s="105" t="s">
        <v>7</v>
      </c>
      <c r="E33">
        <v>20</v>
      </c>
      <c r="F33" s="1">
        <v>17612.53</v>
      </c>
    </row>
    <row r="34" spans="1:6" hidden="1" x14ac:dyDescent="0.3">
      <c r="A34">
        <v>2022</v>
      </c>
      <c r="B34">
        <v>2</v>
      </c>
      <c r="C34" s="105" t="s">
        <v>38</v>
      </c>
      <c r="D34" s="105" t="s">
        <v>8</v>
      </c>
      <c r="E34">
        <v>23</v>
      </c>
      <c r="F34" s="1">
        <v>15380.4</v>
      </c>
    </row>
    <row r="35" spans="1:6" hidden="1" x14ac:dyDescent="0.3">
      <c r="A35">
        <v>2022</v>
      </c>
      <c r="B35">
        <v>2</v>
      </c>
      <c r="C35" s="105" t="s">
        <v>38</v>
      </c>
      <c r="D35" s="105" t="s">
        <v>9</v>
      </c>
      <c r="E35">
        <v>8</v>
      </c>
      <c r="F35" s="1">
        <v>9692.36</v>
      </c>
    </row>
    <row r="36" spans="1:6" hidden="1" x14ac:dyDescent="0.3">
      <c r="A36">
        <v>2022</v>
      </c>
      <c r="B36">
        <v>2</v>
      </c>
      <c r="C36" s="105" t="s">
        <v>38</v>
      </c>
      <c r="D36" s="105" t="s">
        <v>10</v>
      </c>
      <c r="E36">
        <v>39</v>
      </c>
      <c r="F36" s="1">
        <v>37151.839999999997</v>
      </c>
    </row>
    <row r="37" spans="1:6" hidden="1" x14ac:dyDescent="0.3">
      <c r="A37">
        <v>2022</v>
      </c>
      <c r="B37">
        <v>2</v>
      </c>
      <c r="C37" s="105" t="s">
        <v>38</v>
      </c>
      <c r="D37" s="105" t="s">
        <v>11</v>
      </c>
      <c r="E37">
        <v>40</v>
      </c>
      <c r="F37" s="1">
        <v>31324.94</v>
      </c>
    </row>
    <row r="38" spans="1:6" hidden="1" x14ac:dyDescent="0.3">
      <c r="A38">
        <v>2022</v>
      </c>
      <c r="B38">
        <v>2</v>
      </c>
      <c r="C38" s="105" t="s">
        <v>38</v>
      </c>
      <c r="D38" s="105" t="s">
        <v>12</v>
      </c>
      <c r="E38">
        <v>34</v>
      </c>
      <c r="F38" s="1">
        <v>27041.97</v>
      </c>
    </row>
    <row r="39" spans="1:6" hidden="1" x14ac:dyDescent="0.3">
      <c r="A39">
        <v>2022</v>
      </c>
      <c r="B39">
        <v>2</v>
      </c>
      <c r="C39" s="105" t="s">
        <v>38</v>
      </c>
      <c r="D39" s="105" t="s">
        <v>13</v>
      </c>
      <c r="E39">
        <v>74</v>
      </c>
      <c r="F39" s="1">
        <v>60740.53</v>
      </c>
    </row>
    <row r="40" spans="1:6" hidden="1" x14ac:dyDescent="0.3">
      <c r="A40">
        <v>2022</v>
      </c>
      <c r="B40">
        <v>2</v>
      </c>
      <c r="C40" s="105" t="s">
        <v>38</v>
      </c>
      <c r="D40" s="105" t="s">
        <v>14</v>
      </c>
      <c r="E40">
        <v>29</v>
      </c>
      <c r="F40" s="1">
        <v>17901.79</v>
      </c>
    </row>
    <row r="41" spans="1:6" hidden="1" x14ac:dyDescent="0.3">
      <c r="A41">
        <v>2022</v>
      </c>
      <c r="B41">
        <v>2</v>
      </c>
      <c r="C41" s="105" t="s">
        <v>38</v>
      </c>
      <c r="D41" s="105" t="s">
        <v>15</v>
      </c>
      <c r="E41">
        <v>8</v>
      </c>
      <c r="F41" s="1">
        <v>6277.82</v>
      </c>
    </row>
    <row r="42" spans="1:6" hidden="1" x14ac:dyDescent="0.3">
      <c r="A42">
        <v>2022</v>
      </c>
      <c r="B42">
        <v>2</v>
      </c>
      <c r="C42" s="105" t="s">
        <v>38</v>
      </c>
      <c r="D42" s="105" t="s">
        <v>16</v>
      </c>
      <c r="E42">
        <v>12</v>
      </c>
      <c r="F42" s="1">
        <v>9094.42</v>
      </c>
    </row>
    <row r="43" spans="1:6" hidden="1" x14ac:dyDescent="0.3">
      <c r="A43">
        <v>2022</v>
      </c>
      <c r="B43">
        <v>2</v>
      </c>
      <c r="C43" s="105" t="s">
        <v>38</v>
      </c>
      <c r="D43" s="105" t="s">
        <v>17</v>
      </c>
      <c r="E43">
        <v>24</v>
      </c>
      <c r="F43" s="1">
        <v>21941.87</v>
      </c>
    </row>
    <row r="44" spans="1:6" hidden="1" x14ac:dyDescent="0.3">
      <c r="A44">
        <v>2022</v>
      </c>
      <c r="B44">
        <v>2</v>
      </c>
      <c r="C44" s="105" t="s">
        <v>38</v>
      </c>
      <c r="D44" s="105" t="s">
        <v>18</v>
      </c>
      <c r="E44">
        <v>78</v>
      </c>
      <c r="F44" s="1">
        <v>79536.800000000003</v>
      </c>
    </row>
    <row r="45" spans="1:6" hidden="1" x14ac:dyDescent="0.3">
      <c r="A45">
        <v>2022</v>
      </c>
      <c r="B45">
        <v>2</v>
      </c>
      <c r="C45" s="105" t="s">
        <v>38</v>
      </c>
      <c r="D45" s="105" t="s">
        <v>19</v>
      </c>
      <c r="E45">
        <v>13</v>
      </c>
      <c r="F45" s="1">
        <v>7477.65</v>
      </c>
    </row>
    <row r="46" spans="1:6" hidden="1" x14ac:dyDescent="0.3">
      <c r="A46">
        <v>2022</v>
      </c>
      <c r="B46">
        <v>2</v>
      </c>
      <c r="C46" s="105" t="s">
        <v>38</v>
      </c>
      <c r="D46" s="105" t="s">
        <v>20</v>
      </c>
      <c r="E46">
        <v>38</v>
      </c>
      <c r="F46" s="1">
        <v>31436.560000000001</v>
      </c>
    </row>
    <row r="47" spans="1:6" hidden="1" x14ac:dyDescent="0.3">
      <c r="A47">
        <v>2022</v>
      </c>
      <c r="B47">
        <v>2</v>
      </c>
      <c r="C47" s="105" t="s">
        <v>38</v>
      </c>
      <c r="D47" s="105" t="s">
        <v>21</v>
      </c>
      <c r="E47">
        <v>94</v>
      </c>
      <c r="F47" s="1">
        <v>88057.09</v>
      </c>
    </row>
    <row r="48" spans="1:6" x14ac:dyDescent="0.3">
      <c r="A48">
        <v>2022</v>
      </c>
      <c r="B48">
        <v>2</v>
      </c>
      <c r="C48" s="105" t="s">
        <v>38</v>
      </c>
      <c r="D48" s="105" t="s">
        <v>22</v>
      </c>
      <c r="E48">
        <v>15</v>
      </c>
      <c r="F48" s="1">
        <v>9473.07</v>
      </c>
    </row>
    <row r="49" spans="1:6" hidden="1" x14ac:dyDescent="0.3">
      <c r="A49">
        <v>2022</v>
      </c>
      <c r="B49">
        <v>2</v>
      </c>
      <c r="C49" s="105" t="s">
        <v>38</v>
      </c>
      <c r="D49" s="105" t="s">
        <v>23</v>
      </c>
      <c r="E49">
        <v>12</v>
      </c>
      <c r="F49" s="1">
        <v>13349.37</v>
      </c>
    </row>
    <row r="50" spans="1:6" hidden="1" x14ac:dyDescent="0.3">
      <c r="A50">
        <v>2022</v>
      </c>
      <c r="B50">
        <v>2</v>
      </c>
      <c r="C50" s="105" t="s">
        <v>38</v>
      </c>
      <c r="D50" s="105" t="s">
        <v>24</v>
      </c>
      <c r="E50">
        <v>55</v>
      </c>
      <c r="F50" s="1">
        <v>45967.41</v>
      </c>
    </row>
    <row r="51" spans="1:6" hidden="1" x14ac:dyDescent="0.3">
      <c r="A51">
        <v>2022</v>
      </c>
      <c r="B51">
        <v>2</v>
      </c>
      <c r="C51" s="105" t="s">
        <v>38</v>
      </c>
      <c r="D51" s="105" t="s">
        <v>25</v>
      </c>
      <c r="E51">
        <v>45</v>
      </c>
      <c r="F51" s="1">
        <v>35626.61</v>
      </c>
    </row>
    <row r="52" spans="1:6" hidden="1" x14ac:dyDescent="0.3">
      <c r="A52">
        <v>2022</v>
      </c>
      <c r="B52">
        <v>2</v>
      </c>
      <c r="C52" s="105" t="s">
        <v>38</v>
      </c>
      <c r="D52" s="105" t="s">
        <v>26</v>
      </c>
      <c r="E52">
        <v>12</v>
      </c>
      <c r="F52" s="1">
        <v>10017.280000000001</v>
      </c>
    </row>
    <row r="53" spans="1:6" hidden="1" x14ac:dyDescent="0.3">
      <c r="A53">
        <v>2022</v>
      </c>
      <c r="B53">
        <v>2</v>
      </c>
      <c r="C53" s="105" t="s">
        <v>38</v>
      </c>
      <c r="D53" s="105" t="s">
        <v>27</v>
      </c>
      <c r="E53">
        <v>26</v>
      </c>
      <c r="F53" s="1">
        <v>21749.09</v>
      </c>
    </row>
    <row r="54" spans="1:6" hidden="1" x14ac:dyDescent="0.3">
      <c r="A54">
        <v>2022</v>
      </c>
      <c r="B54">
        <v>2</v>
      </c>
      <c r="C54" s="105" t="s">
        <v>38</v>
      </c>
      <c r="D54" s="105" t="s">
        <v>28</v>
      </c>
      <c r="E54">
        <v>8</v>
      </c>
      <c r="F54" s="1">
        <v>5900.56</v>
      </c>
    </row>
    <row r="55" spans="1:6" hidden="1" x14ac:dyDescent="0.3">
      <c r="A55">
        <v>2022</v>
      </c>
      <c r="B55">
        <v>2</v>
      </c>
      <c r="C55" s="105" t="s">
        <v>38</v>
      </c>
      <c r="D55" s="105" t="s">
        <v>29</v>
      </c>
      <c r="E55">
        <v>48</v>
      </c>
      <c r="F55" s="1">
        <v>40370.339999999997</v>
      </c>
    </row>
    <row r="56" spans="1:6" hidden="1" x14ac:dyDescent="0.3">
      <c r="A56">
        <v>2022</v>
      </c>
      <c r="B56">
        <v>2</v>
      </c>
      <c r="C56" s="105" t="s">
        <v>38</v>
      </c>
      <c r="D56" s="105" t="s">
        <v>30</v>
      </c>
      <c r="E56">
        <v>25</v>
      </c>
      <c r="F56" s="1">
        <v>17497.509999999998</v>
      </c>
    </row>
    <row r="57" spans="1:6" hidden="1" x14ac:dyDescent="0.3">
      <c r="A57">
        <v>2022</v>
      </c>
      <c r="B57">
        <v>2</v>
      </c>
      <c r="C57" s="105" t="s">
        <v>38</v>
      </c>
      <c r="D57" s="105" t="s">
        <v>31</v>
      </c>
      <c r="E57">
        <v>81</v>
      </c>
      <c r="F57" s="1">
        <v>71055.289999999994</v>
      </c>
    </row>
    <row r="58" spans="1:6" hidden="1" x14ac:dyDescent="0.3">
      <c r="A58">
        <v>2022</v>
      </c>
      <c r="B58">
        <v>2</v>
      </c>
      <c r="C58" s="105" t="s">
        <v>38</v>
      </c>
      <c r="D58" s="105" t="s">
        <v>32</v>
      </c>
      <c r="E58">
        <v>13</v>
      </c>
      <c r="F58" s="1">
        <v>11286.58</v>
      </c>
    </row>
    <row r="59" spans="1:6" hidden="1" x14ac:dyDescent="0.3">
      <c r="A59">
        <v>2022</v>
      </c>
      <c r="B59">
        <v>2</v>
      </c>
      <c r="C59" s="105" t="s">
        <v>38</v>
      </c>
      <c r="D59" s="105" t="s">
        <v>33</v>
      </c>
      <c r="E59">
        <v>115</v>
      </c>
      <c r="F59" s="1">
        <v>107607.49</v>
      </c>
    </row>
    <row r="60" spans="1:6" hidden="1" x14ac:dyDescent="0.3">
      <c r="A60">
        <v>2022</v>
      </c>
      <c r="B60">
        <v>2</v>
      </c>
      <c r="C60" s="105" t="s">
        <v>38</v>
      </c>
      <c r="D60" s="105" t="s">
        <v>34</v>
      </c>
      <c r="E60">
        <v>45</v>
      </c>
      <c r="F60" s="1">
        <v>35052.25</v>
      </c>
    </row>
    <row r="61" spans="1:6" hidden="1" x14ac:dyDescent="0.3">
      <c r="A61">
        <v>2022</v>
      </c>
      <c r="B61">
        <v>2</v>
      </c>
      <c r="C61" s="105" t="s">
        <v>38</v>
      </c>
      <c r="D61" s="105" t="s">
        <v>35</v>
      </c>
      <c r="E61">
        <v>21</v>
      </c>
      <c r="F61" s="1">
        <v>15514.71</v>
      </c>
    </row>
    <row r="62" spans="1:6" hidden="1" x14ac:dyDescent="0.3">
      <c r="A62">
        <v>2022</v>
      </c>
      <c r="B62">
        <v>2</v>
      </c>
      <c r="C62" s="105" t="s">
        <v>38</v>
      </c>
      <c r="D62" s="105" t="s">
        <v>36</v>
      </c>
      <c r="E62">
        <v>32</v>
      </c>
      <c r="F62" s="1">
        <v>26773.49</v>
      </c>
    </row>
    <row r="63" spans="1:6" hidden="1" x14ac:dyDescent="0.3">
      <c r="A63">
        <v>2022</v>
      </c>
      <c r="B63">
        <v>2</v>
      </c>
      <c r="C63" s="105" t="s">
        <v>38</v>
      </c>
      <c r="D63" s="105" t="s">
        <v>37</v>
      </c>
      <c r="E63">
        <v>35</v>
      </c>
      <c r="F63" s="1">
        <v>28806.06</v>
      </c>
    </row>
    <row r="64" spans="1:6" hidden="1" x14ac:dyDescent="0.3">
      <c r="A64">
        <v>2022</v>
      </c>
      <c r="B64">
        <v>3</v>
      </c>
      <c r="C64" s="105" t="s">
        <v>39</v>
      </c>
      <c r="D64" s="105" t="s">
        <v>7</v>
      </c>
      <c r="E64">
        <v>28</v>
      </c>
      <c r="F64" s="1">
        <v>20632.84</v>
      </c>
    </row>
    <row r="65" spans="1:6" hidden="1" x14ac:dyDescent="0.3">
      <c r="A65">
        <v>2022</v>
      </c>
      <c r="B65">
        <v>3</v>
      </c>
      <c r="C65" s="105" t="s">
        <v>39</v>
      </c>
      <c r="D65" s="105" t="s">
        <v>8</v>
      </c>
      <c r="E65">
        <v>39</v>
      </c>
      <c r="F65" s="1">
        <v>28338.3</v>
      </c>
    </row>
    <row r="66" spans="1:6" hidden="1" x14ac:dyDescent="0.3">
      <c r="A66">
        <v>2022</v>
      </c>
      <c r="B66">
        <v>3</v>
      </c>
      <c r="C66" s="105" t="s">
        <v>39</v>
      </c>
      <c r="D66" s="105" t="s">
        <v>9</v>
      </c>
      <c r="E66">
        <v>10</v>
      </c>
      <c r="F66" s="1">
        <v>8870.24</v>
      </c>
    </row>
    <row r="67" spans="1:6" hidden="1" x14ac:dyDescent="0.3">
      <c r="A67">
        <v>2022</v>
      </c>
      <c r="B67">
        <v>3</v>
      </c>
      <c r="C67" s="105" t="s">
        <v>39</v>
      </c>
      <c r="D67" s="105" t="s">
        <v>10</v>
      </c>
      <c r="E67">
        <v>39</v>
      </c>
      <c r="F67" s="1">
        <v>39393.879999999997</v>
      </c>
    </row>
    <row r="68" spans="1:6" hidden="1" x14ac:dyDescent="0.3">
      <c r="A68">
        <v>2022</v>
      </c>
      <c r="B68">
        <v>3</v>
      </c>
      <c r="C68" s="105" t="s">
        <v>39</v>
      </c>
      <c r="D68" s="105" t="s">
        <v>11</v>
      </c>
      <c r="E68">
        <v>61</v>
      </c>
      <c r="F68" s="1">
        <v>49737.8</v>
      </c>
    </row>
    <row r="69" spans="1:6" hidden="1" x14ac:dyDescent="0.3">
      <c r="A69">
        <v>2022</v>
      </c>
      <c r="B69">
        <v>3</v>
      </c>
      <c r="C69" s="105" t="s">
        <v>39</v>
      </c>
      <c r="D69" s="105" t="s">
        <v>12</v>
      </c>
      <c r="E69">
        <v>35</v>
      </c>
      <c r="F69" s="1">
        <v>26357.68</v>
      </c>
    </row>
    <row r="70" spans="1:6" hidden="1" x14ac:dyDescent="0.3">
      <c r="A70">
        <v>2022</v>
      </c>
      <c r="B70">
        <v>3</v>
      </c>
      <c r="C70" s="105" t="s">
        <v>39</v>
      </c>
      <c r="D70" s="105" t="s">
        <v>13</v>
      </c>
      <c r="E70">
        <v>96</v>
      </c>
      <c r="F70" s="1">
        <v>69923.55</v>
      </c>
    </row>
    <row r="71" spans="1:6" hidden="1" x14ac:dyDescent="0.3">
      <c r="A71">
        <v>2022</v>
      </c>
      <c r="B71">
        <v>3</v>
      </c>
      <c r="C71" s="105" t="s">
        <v>39</v>
      </c>
      <c r="D71" s="105" t="s">
        <v>14</v>
      </c>
      <c r="E71">
        <v>46</v>
      </c>
      <c r="F71" s="1">
        <v>26228.37</v>
      </c>
    </row>
    <row r="72" spans="1:6" hidden="1" x14ac:dyDescent="0.3">
      <c r="A72">
        <v>2022</v>
      </c>
      <c r="B72">
        <v>3</v>
      </c>
      <c r="C72" s="105" t="s">
        <v>39</v>
      </c>
      <c r="D72" s="105" t="s">
        <v>15</v>
      </c>
      <c r="E72">
        <v>13</v>
      </c>
      <c r="F72" s="1">
        <v>9969.36</v>
      </c>
    </row>
    <row r="73" spans="1:6" hidden="1" x14ac:dyDescent="0.3">
      <c r="A73">
        <v>2022</v>
      </c>
      <c r="B73">
        <v>3</v>
      </c>
      <c r="C73" s="105" t="s">
        <v>39</v>
      </c>
      <c r="D73" s="105" t="s">
        <v>16</v>
      </c>
      <c r="E73">
        <v>12</v>
      </c>
      <c r="F73" s="1">
        <v>9558.2199999999993</v>
      </c>
    </row>
    <row r="74" spans="1:6" hidden="1" x14ac:dyDescent="0.3">
      <c r="A74">
        <v>2022</v>
      </c>
      <c r="B74">
        <v>3</v>
      </c>
      <c r="C74" s="105" t="s">
        <v>39</v>
      </c>
      <c r="D74" s="105" t="s">
        <v>17</v>
      </c>
      <c r="E74">
        <v>53</v>
      </c>
      <c r="F74" s="1">
        <v>47428.35</v>
      </c>
    </row>
    <row r="75" spans="1:6" hidden="1" x14ac:dyDescent="0.3">
      <c r="A75">
        <v>2022</v>
      </c>
      <c r="B75">
        <v>3</v>
      </c>
      <c r="C75" s="105" t="s">
        <v>39</v>
      </c>
      <c r="D75" s="105" t="s">
        <v>18</v>
      </c>
      <c r="E75">
        <v>98</v>
      </c>
      <c r="F75" s="1">
        <v>85233.89</v>
      </c>
    </row>
    <row r="76" spans="1:6" hidden="1" x14ac:dyDescent="0.3">
      <c r="A76">
        <v>2022</v>
      </c>
      <c r="B76">
        <v>3</v>
      </c>
      <c r="C76" s="105" t="s">
        <v>39</v>
      </c>
      <c r="D76" s="105" t="s">
        <v>19</v>
      </c>
      <c r="E76">
        <v>17</v>
      </c>
      <c r="F76" s="1">
        <v>11494.76</v>
      </c>
    </row>
    <row r="77" spans="1:6" hidden="1" x14ac:dyDescent="0.3">
      <c r="A77">
        <v>2022</v>
      </c>
      <c r="B77">
        <v>3</v>
      </c>
      <c r="C77" s="105" t="s">
        <v>39</v>
      </c>
      <c r="D77" s="105" t="s">
        <v>20</v>
      </c>
      <c r="E77">
        <v>97</v>
      </c>
      <c r="F77" s="1">
        <v>70908.67</v>
      </c>
    </row>
    <row r="78" spans="1:6" hidden="1" x14ac:dyDescent="0.3">
      <c r="A78">
        <v>2022</v>
      </c>
      <c r="B78">
        <v>3</v>
      </c>
      <c r="C78" s="105" t="s">
        <v>39</v>
      </c>
      <c r="D78" s="105" t="s">
        <v>21</v>
      </c>
      <c r="E78">
        <v>96</v>
      </c>
      <c r="F78" s="1">
        <v>76650.89</v>
      </c>
    </row>
    <row r="79" spans="1:6" x14ac:dyDescent="0.3">
      <c r="A79">
        <v>2022</v>
      </c>
      <c r="B79">
        <v>3</v>
      </c>
      <c r="C79" s="105" t="s">
        <v>39</v>
      </c>
      <c r="D79" s="105" t="s">
        <v>22</v>
      </c>
      <c r="E79">
        <v>44</v>
      </c>
      <c r="F79" s="1">
        <v>27173.16</v>
      </c>
    </row>
    <row r="80" spans="1:6" hidden="1" x14ac:dyDescent="0.3">
      <c r="A80">
        <v>2022</v>
      </c>
      <c r="B80">
        <v>3</v>
      </c>
      <c r="C80" s="105" t="s">
        <v>39</v>
      </c>
      <c r="D80" s="105" t="s">
        <v>23</v>
      </c>
      <c r="E80">
        <v>16</v>
      </c>
      <c r="F80" s="1">
        <v>14959.21</v>
      </c>
    </row>
    <row r="81" spans="1:6" hidden="1" x14ac:dyDescent="0.3">
      <c r="A81">
        <v>2022</v>
      </c>
      <c r="B81">
        <v>3</v>
      </c>
      <c r="C81" s="105" t="s">
        <v>39</v>
      </c>
      <c r="D81" s="105" t="s">
        <v>24</v>
      </c>
      <c r="E81">
        <v>57</v>
      </c>
      <c r="F81" s="1">
        <v>39978.1</v>
      </c>
    </row>
    <row r="82" spans="1:6" hidden="1" x14ac:dyDescent="0.3">
      <c r="A82">
        <v>2022</v>
      </c>
      <c r="B82">
        <v>3</v>
      </c>
      <c r="C82" s="105" t="s">
        <v>39</v>
      </c>
      <c r="D82" s="105" t="s">
        <v>25</v>
      </c>
      <c r="E82">
        <v>77</v>
      </c>
      <c r="F82" s="1">
        <v>61763.9</v>
      </c>
    </row>
    <row r="83" spans="1:6" hidden="1" x14ac:dyDescent="0.3">
      <c r="A83">
        <v>2022</v>
      </c>
      <c r="B83">
        <v>3</v>
      </c>
      <c r="C83" s="105" t="s">
        <v>39</v>
      </c>
      <c r="D83" s="105" t="s">
        <v>26</v>
      </c>
      <c r="E83">
        <v>26</v>
      </c>
      <c r="F83" s="1">
        <v>22569.79</v>
      </c>
    </row>
    <row r="84" spans="1:6" hidden="1" x14ac:dyDescent="0.3">
      <c r="A84">
        <v>2022</v>
      </c>
      <c r="B84">
        <v>3</v>
      </c>
      <c r="C84" s="105" t="s">
        <v>39</v>
      </c>
      <c r="D84" s="105" t="s">
        <v>27</v>
      </c>
      <c r="E84">
        <v>63</v>
      </c>
      <c r="F84" s="1">
        <v>53672.39</v>
      </c>
    </row>
    <row r="85" spans="1:6" hidden="1" x14ac:dyDescent="0.3">
      <c r="A85">
        <v>2022</v>
      </c>
      <c r="B85">
        <v>3</v>
      </c>
      <c r="C85" s="105" t="s">
        <v>39</v>
      </c>
      <c r="D85" s="105" t="s">
        <v>28</v>
      </c>
      <c r="E85">
        <v>13</v>
      </c>
      <c r="F85" s="1">
        <v>8472.23</v>
      </c>
    </row>
    <row r="86" spans="1:6" hidden="1" x14ac:dyDescent="0.3">
      <c r="A86">
        <v>2022</v>
      </c>
      <c r="B86">
        <v>3</v>
      </c>
      <c r="C86" s="105" t="s">
        <v>39</v>
      </c>
      <c r="D86" s="105" t="s">
        <v>29</v>
      </c>
      <c r="E86">
        <v>66</v>
      </c>
      <c r="F86" s="1">
        <v>52787.21</v>
      </c>
    </row>
    <row r="87" spans="1:6" hidden="1" x14ac:dyDescent="0.3">
      <c r="A87">
        <v>2022</v>
      </c>
      <c r="B87">
        <v>3</v>
      </c>
      <c r="C87" s="105" t="s">
        <v>39</v>
      </c>
      <c r="D87" s="105" t="s">
        <v>30</v>
      </c>
      <c r="E87">
        <v>28</v>
      </c>
      <c r="F87" s="1">
        <v>20238.61</v>
      </c>
    </row>
    <row r="88" spans="1:6" hidden="1" x14ac:dyDescent="0.3">
      <c r="A88">
        <v>2022</v>
      </c>
      <c r="B88">
        <v>3</v>
      </c>
      <c r="C88" s="105" t="s">
        <v>39</v>
      </c>
      <c r="D88" s="105" t="s">
        <v>31</v>
      </c>
      <c r="E88">
        <v>113</v>
      </c>
      <c r="F88" s="1">
        <v>99174.81</v>
      </c>
    </row>
    <row r="89" spans="1:6" hidden="1" x14ac:dyDescent="0.3">
      <c r="A89">
        <v>2022</v>
      </c>
      <c r="B89">
        <v>3</v>
      </c>
      <c r="C89" s="105" t="s">
        <v>39</v>
      </c>
      <c r="D89" s="105" t="s">
        <v>32</v>
      </c>
      <c r="E89">
        <v>24</v>
      </c>
      <c r="F89" s="1">
        <v>16993.240000000002</v>
      </c>
    </row>
    <row r="90" spans="1:6" hidden="1" x14ac:dyDescent="0.3">
      <c r="A90">
        <v>2022</v>
      </c>
      <c r="B90">
        <v>3</v>
      </c>
      <c r="C90" s="105" t="s">
        <v>39</v>
      </c>
      <c r="D90" s="105" t="s">
        <v>33</v>
      </c>
      <c r="E90">
        <v>168</v>
      </c>
      <c r="F90" s="1">
        <v>153675.4</v>
      </c>
    </row>
    <row r="91" spans="1:6" hidden="1" x14ac:dyDescent="0.3">
      <c r="A91">
        <v>2022</v>
      </c>
      <c r="B91">
        <v>3</v>
      </c>
      <c r="C91" s="105" t="s">
        <v>39</v>
      </c>
      <c r="D91" s="105" t="s">
        <v>34</v>
      </c>
      <c r="E91">
        <v>97</v>
      </c>
      <c r="F91" s="1">
        <v>69556.289999999994</v>
      </c>
    </row>
    <row r="92" spans="1:6" hidden="1" x14ac:dyDescent="0.3">
      <c r="A92">
        <v>2022</v>
      </c>
      <c r="B92">
        <v>3</v>
      </c>
      <c r="C92" s="105" t="s">
        <v>39</v>
      </c>
      <c r="D92" s="105" t="s">
        <v>35</v>
      </c>
      <c r="E92">
        <v>35</v>
      </c>
      <c r="F92" s="1">
        <v>24876.59</v>
      </c>
    </row>
    <row r="93" spans="1:6" hidden="1" x14ac:dyDescent="0.3">
      <c r="A93">
        <v>2022</v>
      </c>
      <c r="B93">
        <v>3</v>
      </c>
      <c r="C93" s="105" t="s">
        <v>39</v>
      </c>
      <c r="D93" s="105" t="s">
        <v>36</v>
      </c>
      <c r="E93">
        <v>78</v>
      </c>
      <c r="F93" s="1">
        <v>60991.41</v>
      </c>
    </row>
    <row r="94" spans="1:6" hidden="1" x14ac:dyDescent="0.3">
      <c r="A94">
        <v>2022</v>
      </c>
      <c r="B94">
        <v>3</v>
      </c>
      <c r="C94" s="105" t="s">
        <v>39</v>
      </c>
      <c r="D94" s="105" t="s">
        <v>37</v>
      </c>
      <c r="E94">
        <v>76</v>
      </c>
      <c r="F94" s="1">
        <v>63467.18</v>
      </c>
    </row>
    <row r="95" spans="1:6" hidden="1" x14ac:dyDescent="0.3">
      <c r="A95">
        <v>2022</v>
      </c>
      <c r="B95">
        <v>4</v>
      </c>
      <c r="C95" s="105" t="s">
        <v>40</v>
      </c>
      <c r="D95" s="105" t="s">
        <v>7</v>
      </c>
      <c r="E95">
        <v>50</v>
      </c>
      <c r="F95" s="1">
        <v>36043.129999999997</v>
      </c>
    </row>
    <row r="96" spans="1:6" hidden="1" x14ac:dyDescent="0.3">
      <c r="A96">
        <v>2022</v>
      </c>
      <c r="B96">
        <v>4</v>
      </c>
      <c r="C96" s="105" t="s">
        <v>40</v>
      </c>
      <c r="D96" s="105" t="s">
        <v>8</v>
      </c>
      <c r="E96">
        <v>49</v>
      </c>
      <c r="F96" s="1">
        <v>33835.440000000002</v>
      </c>
    </row>
    <row r="97" spans="1:6" hidden="1" x14ac:dyDescent="0.3">
      <c r="A97">
        <v>2022</v>
      </c>
      <c r="B97">
        <v>4</v>
      </c>
      <c r="C97" s="105" t="s">
        <v>40</v>
      </c>
      <c r="D97" s="105" t="s">
        <v>9</v>
      </c>
      <c r="E97">
        <v>25</v>
      </c>
      <c r="F97" s="1">
        <v>16838.740000000002</v>
      </c>
    </row>
    <row r="98" spans="1:6" hidden="1" x14ac:dyDescent="0.3">
      <c r="A98">
        <v>2022</v>
      </c>
      <c r="B98">
        <v>4</v>
      </c>
      <c r="C98" s="105" t="s">
        <v>40</v>
      </c>
      <c r="D98" s="105" t="s">
        <v>10</v>
      </c>
      <c r="E98">
        <v>70</v>
      </c>
      <c r="F98" s="1">
        <v>59506.9</v>
      </c>
    </row>
    <row r="99" spans="1:6" hidden="1" x14ac:dyDescent="0.3">
      <c r="A99">
        <v>2022</v>
      </c>
      <c r="B99">
        <v>4</v>
      </c>
      <c r="C99" s="105" t="s">
        <v>40</v>
      </c>
      <c r="D99" s="105" t="s">
        <v>11</v>
      </c>
      <c r="E99">
        <v>82</v>
      </c>
      <c r="F99" s="1">
        <v>61928.43</v>
      </c>
    </row>
    <row r="100" spans="1:6" hidden="1" x14ac:dyDescent="0.3">
      <c r="A100">
        <v>2022</v>
      </c>
      <c r="B100">
        <v>4</v>
      </c>
      <c r="C100" s="105" t="s">
        <v>40</v>
      </c>
      <c r="D100" s="105" t="s">
        <v>12</v>
      </c>
      <c r="E100">
        <v>50</v>
      </c>
      <c r="F100" s="1">
        <v>36578.33</v>
      </c>
    </row>
    <row r="101" spans="1:6" hidden="1" x14ac:dyDescent="0.3">
      <c r="A101">
        <v>2022</v>
      </c>
      <c r="B101">
        <v>4</v>
      </c>
      <c r="C101" s="105" t="s">
        <v>40</v>
      </c>
      <c r="D101" s="105" t="s">
        <v>13</v>
      </c>
      <c r="E101">
        <v>126</v>
      </c>
      <c r="F101" s="1">
        <v>86660.82</v>
      </c>
    </row>
    <row r="102" spans="1:6" hidden="1" x14ac:dyDescent="0.3">
      <c r="A102">
        <v>2022</v>
      </c>
      <c r="B102">
        <v>4</v>
      </c>
      <c r="C102" s="105" t="s">
        <v>40</v>
      </c>
      <c r="D102" s="105" t="s">
        <v>14</v>
      </c>
      <c r="E102">
        <v>74</v>
      </c>
      <c r="F102" s="1">
        <v>49324.77</v>
      </c>
    </row>
    <row r="103" spans="1:6" hidden="1" x14ac:dyDescent="0.3">
      <c r="A103">
        <v>2022</v>
      </c>
      <c r="B103">
        <v>4</v>
      </c>
      <c r="C103" s="105" t="s">
        <v>40</v>
      </c>
      <c r="D103" s="105" t="s">
        <v>15</v>
      </c>
      <c r="E103">
        <v>18</v>
      </c>
      <c r="F103" s="1">
        <v>13737.89</v>
      </c>
    </row>
    <row r="104" spans="1:6" hidden="1" x14ac:dyDescent="0.3">
      <c r="A104">
        <v>2022</v>
      </c>
      <c r="B104">
        <v>4</v>
      </c>
      <c r="C104" s="105" t="s">
        <v>40</v>
      </c>
      <c r="D104" s="105" t="s">
        <v>16</v>
      </c>
      <c r="E104">
        <v>21</v>
      </c>
      <c r="F104" s="1">
        <v>18005.349999999999</v>
      </c>
    </row>
    <row r="105" spans="1:6" hidden="1" x14ac:dyDescent="0.3">
      <c r="A105">
        <v>2022</v>
      </c>
      <c r="B105">
        <v>4</v>
      </c>
      <c r="C105" s="105" t="s">
        <v>40</v>
      </c>
      <c r="D105" s="105" t="s">
        <v>17</v>
      </c>
      <c r="E105">
        <v>85</v>
      </c>
      <c r="F105" s="1">
        <v>74822.350000000006</v>
      </c>
    </row>
    <row r="106" spans="1:6" hidden="1" x14ac:dyDescent="0.3">
      <c r="A106">
        <v>2022</v>
      </c>
      <c r="B106">
        <v>4</v>
      </c>
      <c r="C106" s="105" t="s">
        <v>40</v>
      </c>
      <c r="D106" s="105" t="s">
        <v>18</v>
      </c>
      <c r="E106">
        <v>117</v>
      </c>
      <c r="F106" s="1">
        <v>99670.42</v>
      </c>
    </row>
    <row r="107" spans="1:6" hidden="1" x14ac:dyDescent="0.3">
      <c r="A107">
        <v>2022</v>
      </c>
      <c r="B107">
        <v>4</v>
      </c>
      <c r="C107" s="105" t="s">
        <v>40</v>
      </c>
      <c r="D107" s="105" t="s">
        <v>19</v>
      </c>
      <c r="E107">
        <v>14</v>
      </c>
      <c r="F107" s="1">
        <v>7759.69</v>
      </c>
    </row>
    <row r="108" spans="1:6" hidden="1" x14ac:dyDescent="0.3">
      <c r="A108">
        <v>2022</v>
      </c>
      <c r="B108">
        <v>4</v>
      </c>
      <c r="C108" s="105" t="s">
        <v>40</v>
      </c>
      <c r="D108" s="105" t="s">
        <v>20</v>
      </c>
      <c r="E108">
        <v>178</v>
      </c>
      <c r="F108" s="1">
        <v>120378.98</v>
      </c>
    </row>
    <row r="109" spans="1:6" hidden="1" x14ac:dyDescent="0.3">
      <c r="A109">
        <v>2022</v>
      </c>
      <c r="B109">
        <v>4</v>
      </c>
      <c r="C109" s="105" t="s">
        <v>40</v>
      </c>
      <c r="D109" s="105" t="s">
        <v>21</v>
      </c>
      <c r="E109">
        <v>138</v>
      </c>
      <c r="F109" s="1">
        <v>129097.09</v>
      </c>
    </row>
    <row r="110" spans="1:6" x14ac:dyDescent="0.3">
      <c r="A110">
        <v>2022</v>
      </c>
      <c r="B110">
        <v>4</v>
      </c>
      <c r="C110" s="105" t="s">
        <v>40</v>
      </c>
      <c r="D110" s="105" t="s">
        <v>22</v>
      </c>
      <c r="E110">
        <v>67</v>
      </c>
      <c r="F110" s="1">
        <v>43932.4</v>
      </c>
    </row>
    <row r="111" spans="1:6" hidden="1" x14ac:dyDescent="0.3">
      <c r="A111">
        <v>2022</v>
      </c>
      <c r="B111">
        <v>4</v>
      </c>
      <c r="C111" s="105" t="s">
        <v>40</v>
      </c>
      <c r="D111" s="105" t="s">
        <v>23</v>
      </c>
      <c r="E111">
        <v>21</v>
      </c>
      <c r="F111" s="1">
        <v>19865.47</v>
      </c>
    </row>
    <row r="112" spans="1:6" hidden="1" x14ac:dyDescent="0.3">
      <c r="A112">
        <v>2022</v>
      </c>
      <c r="B112">
        <v>4</v>
      </c>
      <c r="C112" s="105" t="s">
        <v>40</v>
      </c>
      <c r="D112" s="105" t="s">
        <v>24</v>
      </c>
      <c r="E112">
        <v>96</v>
      </c>
      <c r="F112" s="1">
        <v>62212.23</v>
      </c>
    </row>
    <row r="113" spans="1:6" hidden="1" x14ac:dyDescent="0.3">
      <c r="A113">
        <v>2022</v>
      </c>
      <c r="B113">
        <v>4</v>
      </c>
      <c r="C113" s="105" t="s">
        <v>40</v>
      </c>
      <c r="D113" s="105" t="s">
        <v>25</v>
      </c>
      <c r="E113">
        <v>144</v>
      </c>
      <c r="F113" s="1">
        <v>101890.81</v>
      </c>
    </row>
    <row r="114" spans="1:6" hidden="1" x14ac:dyDescent="0.3">
      <c r="A114">
        <v>2022</v>
      </c>
      <c r="B114">
        <v>4</v>
      </c>
      <c r="C114" s="105" t="s">
        <v>40</v>
      </c>
      <c r="D114" s="105" t="s">
        <v>26</v>
      </c>
      <c r="E114">
        <v>28</v>
      </c>
      <c r="F114" s="1">
        <v>22404.12</v>
      </c>
    </row>
    <row r="115" spans="1:6" hidden="1" x14ac:dyDescent="0.3">
      <c r="A115">
        <v>2022</v>
      </c>
      <c r="B115">
        <v>4</v>
      </c>
      <c r="C115" s="105" t="s">
        <v>40</v>
      </c>
      <c r="D115" s="105" t="s">
        <v>27</v>
      </c>
      <c r="E115">
        <v>97</v>
      </c>
      <c r="F115" s="1">
        <v>77624.3</v>
      </c>
    </row>
    <row r="116" spans="1:6" hidden="1" x14ac:dyDescent="0.3">
      <c r="A116">
        <v>2022</v>
      </c>
      <c r="B116">
        <v>4</v>
      </c>
      <c r="C116" s="105" t="s">
        <v>40</v>
      </c>
      <c r="D116" s="105" t="s">
        <v>28</v>
      </c>
      <c r="E116">
        <v>13</v>
      </c>
      <c r="F116" s="1">
        <v>8273.74</v>
      </c>
    </row>
    <row r="117" spans="1:6" hidden="1" x14ac:dyDescent="0.3">
      <c r="A117">
        <v>2022</v>
      </c>
      <c r="B117">
        <v>4</v>
      </c>
      <c r="C117" s="105" t="s">
        <v>40</v>
      </c>
      <c r="D117" s="105" t="s">
        <v>29</v>
      </c>
      <c r="E117">
        <v>85</v>
      </c>
      <c r="F117" s="1">
        <v>60524.12</v>
      </c>
    </row>
    <row r="118" spans="1:6" hidden="1" x14ac:dyDescent="0.3">
      <c r="A118">
        <v>2022</v>
      </c>
      <c r="B118">
        <v>4</v>
      </c>
      <c r="C118" s="105" t="s">
        <v>40</v>
      </c>
      <c r="D118" s="105" t="s">
        <v>30</v>
      </c>
      <c r="E118">
        <v>16</v>
      </c>
      <c r="F118" s="1">
        <v>10019.709999999999</v>
      </c>
    </row>
    <row r="119" spans="1:6" hidden="1" x14ac:dyDescent="0.3">
      <c r="A119">
        <v>2022</v>
      </c>
      <c r="B119">
        <v>4</v>
      </c>
      <c r="C119" s="105" t="s">
        <v>40</v>
      </c>
      <c r="D119" s="105" t="s">
        <v>31</v>
      </c>
      <c r="E119">
        <v>191</v>
      </c>
      <c r="F119" s="1">
        <v>167405.85</v>
      </c>
    </row>
    <row r="120" spans="1:6" hidden="1" x14ac:dyDescent="0.3">
      <c r="A120">
        <v>2022</v>
      </c>
      <c r="B120">
        <v>4</v>
      </c>
      <c r="C120" s="105" t="s">
        <v>40</v>
      </c>
      <c r="D120" s="105" t="s">
        <v>32</v>
      </c>
      <c r="E120">
        <v>40</v>
      </c>
      <c r="F120" s="1">
        <v>32420.19</v>
      </c>
    </row>
    <row r="121" spans="1:6" hidden="1" x14ac:dyDescent="0.3">
      <c r="A121">
        <v>2022</v>
      </c>
      <c r="B121">
        <v>4</v>
      </c>
      <c r="C121" s="105" t="s">
        <v>40</v>
      </c>
      <c r="D121" s="105" t="s">
        <v>33</v>
      </c>
      <c r="E121">
        <v>240</v>
      </c>
      <c r="F121" s="1">
        <v>202518.61</v>
      </c>
    </row>
    <row r="122" spans="1:6" hidden="1" x14ac:dyDescent="0.3">
      <c r="A122">
        <v>2022</v>
      </c>
      <c r="B122">
        <v>4</v>
      </c>
      <c r="C122" s="105" t="s">
        <v>40</v>
      </c>
      <c r="D122" s="105" t="s">
        <v>34</v>
      </c>
      <c r="E122">
        <v>131</v>
      </c>
      <c r="F122" s="1">
        <v>93175.02</v>
      </c>
    </row>
    <row r="123" spans="1:6" hidden="1" x14ac:dyDescent="0.3">
      <c r="A123">
        <v>2022</v>
      </c>
      <c r="B123">
        <v>4</v>
      </c>
      <c r="C123" s="105" t="s">
        <v>40</v>
      </c>
      <c r="D123" s="105" t="s">
        <v>35</v>
      </c>
      <c r="E123">
        <v>55</v>
      </c>
      <c r="F123" s="1">
        <v>38799.43</v>
      </c>
    </row>
    <row r="124" spans="1:6" hidden="1" x14ac:dyDescent="0.3">
      <c r="A124">
        <v>2022</v>
      </c>
      <c r="B124">
        <v>4</v>
      </c>
      <c r="C124" s="105" t="s">
        <v>40</v>
      </c>
      <c r="D124" s="105" t="s">
        <v>36</v>
      </c>
      <c r="E124">
        <v>127</v>
      </c>
      <c r="F124" s="1">
        <v>101872.76</v>
      </c>
    </row>
    <row r="125" spans="1:6" hidden="1" x14ac:dyDescent="0.3">
      <c r="A125">
        <v>2022</v>
      </c>
      <c r="B125">
        <v>4</v>
      </c>
      <c r="C125" s="105" t="s">
        <v>40</v>
      </c>
      <c r="D125" s="105" t="s">
        <v>37</v>
      </c>
      <c r="E125">
        <v>75</v>
      </c>
      <c r="F125" s="1">
        <v>68234.48</v>
      </c>
    </row>
    <row r="126" spans="1:6" hidden="1" x14ac:dyDescent="0.3">
      <c r="A126">
        <v>2022</v>
      </c>
      <c r="B126">
        <v>5</v>
      </c>
      <c r="C126" s="105" t="s">
        <v>41</v>
      </c>
      <c r="D126" s="105" t="s">
        <v>7</v>
      </c>
      <c r="E126">
        <v>78</v>
      </c>
      <c r="F126" s="1">
        <v>59064.24</v>
      </c>
    </row>
    <row r="127" spans="1:6" hidden="1" x14ac:dyDescent="0.3">
      <c r="A127">
        <v>2022</v>
      </c>
      <c r="B127">
        <v>5</v>
      </c>
      <c r="C127" s="105" t="s">
        <v>41</v>
      </c>
      <c r="D127" s="105" t="s">
        <v>8</v>
      </c>
      <c r="E127">
        <v>61</v>
      </c>
      <c r="F127" s="1">
        <v>40279.25</v>
      </c>
    </row>
    <row r="128" spans="1:6" hidden="1" x14ac:dyDescent="0.3">
      <c r="A128">
        <v>2022</v>
      </c>
      <c r="B128">
        <v>5</v>
      </c>
      <c r="C128" s="105" t="s">
        <v>41</v>
      </c>
      <c r="D128" s="105" t="s">
        <v>9</v>
      </c>
      <c r="E128">
        <v>26</v>
      </c>
      <c r="F128" s="1">
        <v>16066.38</v>
      </c>
    </row>
    <row r="129" spans="1:6" hidden="1" x14ac:dyDescent="0.3">
      <c r="A129">
        <v>2022</v>
      </c>
      <c r="B129">
        <v>5</v>
      </c>
      <c r="C129" s="105" t="s">
        <v>41</v>
      </c>
      <c r="D129" s="105" t="s">
        <v>10</v>
      </c>
      <c r="E129">
        <v>93</v>
      </c>
      <c r="F129" s="1">
        <v>79675.92</v>
      </c>
    </row>
    <row r="130" spans="1:6" hidden="1" x14ac:dyDescent="0.3">
      <c r="A130">
        <v>2022</v>
      </c>
      <c r="B130">
        <v>5</v>
      </c>
      <c r="C130" s="105" t="s">
        <v>41</v>
      </c>
      <c r="D130" s="105" t="s">
        <v>11</v>
      </c>
      <c r="E130">
        <v>133</v>
      </c>
      <c r="F130" s="1">
        <v>95713.13</v>
      </c>
    </row>
    <row r="131" spans="1:6" hidden="1" x14ac:dyDescent="0.3">
      <c r="A131">
        <v>2022</v>
      </c>
      <c r="B131">
        <v>5</v>
      </c>
      <c r="C131" s="105" t="s">
        <v>41</v>
      </c>
      <c r="D131" s="105" t="s">
        <v>12</v>
      </c>
      <c r="E131">
        <v>97</v>
      </c>
      <c r="F131" s="1">
        <v>63353.05</v>
      </c>
    </row>
    <row r="132" spans="1:6" hidden="1" x14ac:dyDescent="0.3">
      <c r="A132">
        <v>2022</v>
      </c>
      <c r="B132">
        <v>5</v>
      </c>
      <c r="C132" s="105" t="s">
        <v>41</v>
      </c>
      <c r="D132" s="105" t="s">
        <v>13</v>
      </c>
      <c r="E132">
        <v>182</v>
      </c>
      <c r="F132" s="1">
        <v>119704.23</v>
      </c>
    </row>
    <row r="133" spans="1:6" hidden="1" x14ac:dyDescent="0.3">
      <c r="A133">
        <v>2022</v>
      </c>
      <c r="B133">
        <v>5</v>
      </c>
      <c r="C133" s="105" t="s">
        <v>41</v>
      </c>
      <c r="D133" s="105" t="s">
        <v>14</v>
      </c>
      <c r="E133">
        <v>105</v>
      </c>
      <c r="F133" s="1">
        <v>66415.69</v>
      </c>
    </row>
    <row r="134" spans="1:6" hidden="1" x14ac:dyDescent="0.3">
      <c r="A134">
        <v>2022</v>
      </c>
      <c r="B134">
        <v>5</v>
      </c>
      <c r="C134" s="105" t="s">
        <v>41</v>
      </c>
      <c r="D134" s="105" t="s">
        <v>15</v>
      </c>
      <c r="E134">
        <v>24</v>
      </c>
      <c r="F134" s="1">
        <v>16113.41</v>
      </c>
    </row>
    <row r="135" spans="1:6" hidden="1" x14ac:dyDescent="0.3">
      <c r="A135">
        <v>2022</v>
      </c>
      <c r="B135">
        <v>5</v>
      </c>
      <c r="C135" s="105" t="s">
        <v>41</v>
      </c>
      <c r="D135" s="105" t="s">
        <v>16</v>
      </c>
      <c r="E135">
        <v>22</v>
      </c>
      <c r="F135" s="1">
        <v>19393.27</v>
      </c>
    </row>
    <row r="136" spans="1:6" hidden="1" x14ac:dyDescent="0.3">
      <c r="A136">
        <v>2022</v>
      </c>
      <c r="B136">
        <v>5</v>
      </c>
      <c r="C136" s="105" t="s">
        <v>41</v>
      </c>
      <c r="D136" s="105" t="s">
        <v>17</v>
      </c>
      <c r="E136">
        <v>128</v>
      </c>
      <c r="F136" s="1">
        <v>105499.85</v>
      </c>
    </row>
    <row r="137" spans="1:6" hidden="1" x14ac:dyDescent="0.3">
      <c r="A137">
        <v>2022</v>
      </c>
      <c r="B137">
        <v>5</v>
      </c>
      <c r="C137" s="105" t="s">
        <v>41</v>
      </c>
      <c r="D137" s="105" t="s">
        <v>18</v>
      </c>
      <c r="E137">
        <v>185</v>
      </c>
      <c r="F137" s="1">
        <v>156044.17000000001</v>
      </c>
    </row>
    <row r="138" spans="1:6" hidden="1" x14ac:dyDescent="0.3">
      <c r="A138">
        <v>2022</v>
      </c>
      <c r="B138">
        <v>5</v>
      </c>
      <c r="C138" s="105" t="s">
        <v>41</v>
      </c>
      <c r="D138" s="105" t="s">
        <v>19</v>
      </c>
      <c r="E138">
        <v>26</v>
      </c>
      <c r="F138" s="1">
        <v>15961.54</v>
      </c>
    </row>
    <row r="139" spans="1:6" hidden="1" x14ac:dyDescent="0.3">
      <c r="A139">
        <v>2022</v>
      </c>
      <c r="B139">
        <v>5</v>
      </c>
      <c r="C139" s="105" t="s">
        <v>41</v>
      </c>
      <c r="D139" s="105" t="s">
        <v>20</v>
      </c>
      <c r="E139">
        <v>177</v>
      </c>
      <c r="F139" s="1">
        <v>124210.6</v>
      </c>
    </row>
    <row r="140" spans="1:6" hidden="1" x14ac:dyDescent="0.3">
      <c r="A140">
        <v>2022</v>
      </c>
      <c r="B140">
        <v>5</v>
      </c>
      <c r="C140" s="105" t="s">
        <v>41</v>
      </c>
      <c r="D140" s="105" t="s">
        <v>21</v>
      </c>
      <c r="E140">
        <v>154</v>
      </c>
      <c r="F140" s="1">
        <v>130358.53</v>
      </c>
    </row>
    <row r="141" spans="1:6" x14ac:dyDescent="0.3">
      <c r="A141">
        <v>2022</v>
      </c>
      <c r="B141">
        <v>5</v>
      </c>
      <c r="C141" s="105" t="s">
        <v>41</v>
      </c>
      <c r="D141" s="105" t="s">
        <v>22</v>
      </c>
      <c r="E141">
        <v>67</v>
      </c>
      <c r="F141" s="1">
        <v>44724.27</v>
      </c>
    </row>
    <row r="142" spans="1:6" hidden="1" x14ac:dyDescent="0.3">
      <c r="A142">
        <v>2022</v>
      </c>
      <c r="B142">
        <v>5</v>
      </c>
      <c r="C142" s="105" t="s">
        <v>41</v>
      </c>
      <c r="D142" s="105" t="s">
        <v>23</v>
      </c>
      <c r="E142">
        <v>62</v>
      </c>
      <c r="F142" s="1">
        <v>55639.07</v>
      </c>
    </row>
    <row r="143" spans="1:6" hidden="1" x14ac:dyDescent="0.3">
      <c r="A143">
        <v>2022</v>
      </c>
      <c r="B143">
        <v>5</v>
      </c>
      <c r="C143" s="105" t="s">
        <v>41</v>
      </c>
      <c r="D143" s="105" t="s">
        <v>24</v>
      </c>
      <c r="E143">
        <v>60</v>
      </c>
      <c r="F143" s="1">
        <v>39592.839999999997</v>
      </c>
    </row>
    <row r="144" spans="1:6" hidden="1" x14ac:dyDescent="0.3">
      <c r="A144">
        <v>2022</v>
      </c>
      <c r="B144">
        <v>5</v>
      </c>
      <c r="C144" s="105" t="s">
        <v>41</v>
      </c>
      <c r="D144" s="105" t="s">
        <v>25</v>
      </c>
      <c r="E144">
        <v>191</v>
      </c>
      <c r="F144" s="1">
        <v>153797.12</v>
      </c>
    </row>
    <row r="145" spans="1:6" hidden="1" x14ac:dyDescent="0.3">
      <c r="A145">
        <v>2022</v>
      </c>
      <c r="B145">
        <v>5</v>
      </c>
      <c r="C145" s="105" t="s">
        <v>41</v>
      </c>
      <c r="D145" s="105" t="s">
        <v>26</v>
      </c>
      <c r="E145">
        <v>55</v>
      </c>
      <c r="F145" s="1">
        <v>46071.040000000001</v>
      </c>
    </row>
    <row r="146" spans="1:6" hidden="1" x14ac:dyDescent="0.3">
      <c r="A146">
        <v>2022</v>
      </c>
      <c r="B146">
        <v>5</v>
      </c>
      <c r="C146" s="105" t="s">
        <v>41</v>
      </c>
      <c r="D146" s="105" t="s">
        <v>27</v>
      </c>
      <c r="E146">
        <v>69</v>
      </c>
      <c r="F146" s="1">
        <v>56082.61</v>
      </c>
    </row>
    <row r="147" spans="1:6" hidden="1" x14ac:dyDescent="0.3">
      <c r="A147">
        <v>2022</v>
      </c>
      <c r="B147">
        <v>5</v>
      </c>
      <c r="C147" s="105" t="s">
        <v>41</v>
      </c>
      <c r="D147" s="105" t="s">
        <v>28</v>
      </c>
      <c r="E147">
        <v>31</v>
      </c>
      <c r="F147" s="1">
        <v>22608.560000000001</v>
      </c>
    </row>
    <row r="148" spans="1:6" hidden="1" x14ac:dyDescent="0.3">
      <c r="A148">
        <v>2022</v>
      </c>
      <c r="B148">
        <v>5</v>
      </c>
      <c r="C148" s="105" t="s">
        <v>41</v>
      </c>
      <c r="D148" s="105" t="s">
        <v>29</v>
      </c>
      <c r="E148">
        <v>156</v>
      </c>
      <c r="F148" s="1">
        <v>106810.75</v>
      </c>
    </row>
    <row r="149" spans="1:6" hidden="1" x14ac:dyDescent="0.3">
      <c r="A149">
        <v>2022</v>
      </c>
      <c r="B149">
        <v>5</v>
      </c>
      <c r="C149" s="105" t="s">
        <v>41</v>
      </c>
      <c r="D149" s="105" t="s">
        <v>30</v>
      </c>
      <c r="E149">
        <v>15</v>
      </c>
      <c r="F149" s="1">
        <v>10990.2</v>
      </c>
    </row>
    <row r="150" spans="1:6" hidden="1" x14ac:dyDescent="0.3">
      <c r="A150">
        <v>2022</v>
      </c>
      <c r="B150">
        <v>5</v>
      </c>
      <c r="C150" s="105" t="s">
        <v>41</v>
      </c>
      <c r="D150" s="105" t="s">
        <v>31</v>
      </c>
      <c r="E150">
        <v>208</v>
      </c>
      <c r="F150" s="1">
        <v>186518.69</v>
      </c>
    </row>
    <row r="151" spans="1:6" hidden="1" x14ac:dyDescent="0.3">
      <c r="A151">
        <v>2022</v>
      </c>
      <c r="B151">
        <v>5</v>
      </c>
      <c r="C151" s="105" t="s">
        <v>41</v>
      </c>
      <c r="D151" s="105" t="s">
        <v>32</v>
      </c>
      <c r="E151">
        <v>51</v>
      </c>
      <c r="F151" s="1">
        <v>38332.78</v>
      </c>
    </row>
    <row r="152" spans="1:6" hidden="1" x14ac:dyDescent="0.3">
      <c r="A152">
        <v>2022</v>
      </c>
      <c r="B152">
        <v>5</v>
      </c>
      <c r="C152" s="105" t="s">
        <v>41</v>
      </c>
      <c r="D152" s="105" t="s">
        <v>33</v>
      </c>
      <c r="E152">
        <v>270</v>
      </c>
      <c r="F152" s="1">
        <v>228455.6</v>
      </c>
    </row>
    <row r="153" spans="1:6" hidden="1" x14ac:dyDescent="0.3">
      <c r="A153">
        <v>2022</v>
      </c>
      <c r="B153">
        <v>5</v>
      </c>
      <c r="C153" s="105" t="s">
        <v>41</v>
      </c>
      <c r="D153" s="105" t="s">
        <v>34</v>
      </c>
      <c r="E153">
        <v>138</v>
      </c>
      <c r="F153" s="1">
        <v>99978.17</v>
      </c>
    </row>
    <row r="154" spans="1:6" hidden="1" x14ac:dyDescent="0.3">
      <c r="A154">
        <v>2022</v>
      </c>
      <c r="B154">
        <v>5</v>
      </c>
      <c r="C154" s="105" t="s">
        <v>41</v>
      </c>
      <c r="D154" s="105" t="s">
        <v>35</v>
      </c>
      <c r="E154">
        <v>79</v>
      </c>
      <c r="F154" s="1">
        <v>50046.83</v>
      </c>
    </row>
    <row r="155" spans="1:6" hidden="1" x14ac:dyDescent="0.3">
      <c r="A155">
        <v>2022</v>
      </c>
      <c r="B155">
        <v>5</v>
      </c>
      <c r="C155" s="105" t="s">
        <v>41</v>
      </c>
      <c r="D155" s="105" t="s">
        <v>36</v>
      </c>
      <c r="E155">
        <v>87</v>
      </c>
      <c r="F155" s="1">
        <v>66085.429999999993</v>
      </c>
    </row>
    <row r="156" spans="1:6" hidden="1" x14ac:dyDescent="0.3">
      <c r="A156">
        <v>2022</v>
      </c>
      <c r="B156">
        <v>5</v>
      </c>
      <c r="C156" s="105" t="s">
        <v>41</v>
      </c>
      <c r="D156" s="105" t="s">
        <v>37</v>
      </c>
      <c r="E156">
        <v>129</v>
      </c>
      <c r="F156" s="1">
        <v>104979.27</v>
      </c>
    </row>
    <row r="157" spans="1:6" hidden="1" x14ac:dyDescent="0.3">
      <c r="A157">
        <v>2022</v>
      </c>
      <c r="B157">
        <v>6</v>
      </c>
      <c r="C157" s="105" t="s">
        <v>42</v>
      </c>
      <c r="D157" s="105" t="s">
        <v>7</v>
      </c>
      <c r="E157">
        <v>50</v>
      </c>
      <c r="F157" s="1">
        <v>35223.339999999997</v>
      </c>
    </row>
    <row r="158" spans="1:6" hidden="1" x14ac:dyDescent="0.3">
      <c r="A158">
        <v>2022</v>
      </c>
      <c r="B158">
        <v>6</v>
      </c>
      <c r="C158" s="105" t="s">
        <v>42</v>
      </c>
      <c r="D158" s="105" t="s">
        <v>8</v>
      </c>
      <c r="E158">
        <v>49</v>
      </c>
      <c r="F158" s="1">
        <v>32697.919999999998</v>
      </c>
    </row>
    <row r="159" spans="1:6" hidden="1" x14ac:dyDescent="0.3">
      <c r="A159">
        <v>2022</v>
      </c>
      <c r="B159">
        <v>6</v>
      </c>
      <c r="C159" s="105" t="s">
        <v>42</v>
      </c>
      <c r="D159" s="105" t="s">
        <v>9</v>
      </c>
      <c r="E159">
        <v>28</v>
      </c>
      <c r="F159" s="1">
        <v>17298.25</v>
      </c>
    </row>
    <row r="160" spans="1:6" hidden="1" x14ac:dyDescent="0.3">
      <c r="A160">
        <v>2022</v>
      </c>
      <c r="B160">
        <v>6</v>
      </c>
      <c r="C160" s="105" t="s">
        <v>42</v>
      </c>
      <c r="D160" s="105" t="s">
        <v>10</v>
      </c>
      <c r="E160">
        <v>74</v>
      </c>
      <c r="F160" s="1">
        <v>66151.73</v>
      </c>
    </row>
    <row r="161" spans="1:6" hidden="1" x14ac:dyDescent="0.3">
      <c r="A161">
        <v>2022</v>
      </c>
      <c r="B161">
        <v>6</v>
      </c>
      <c r="C161" s="105" t="s">
        <v>42</v>
      </c>
      <c r="D161" s="105" t="s">
        <v>11</v>
      </c>
      <c r="E161">
        <v>78</v>
      </c>
      <c r="F161" s="1">
        <v>58332.77</v>
      </c>
    </row>
    <row r="162" spans="1:6" hidden="1" x14ac:dyDescent="0.3">
      <c r="A162">
        <v>2022</v>
      </c>
      <c r="B162">
        <v>6</v>
      </c>
      <c r="C162" s="105" t="s">
        <v>42</v>
      </c>
      <c r="D162" s="105" t="s">
        <v>12</v>
      </c>
      <c r="E162">
        <v>99</v>
      </c>
      <c r="F162" s="1">
        <v>63843.18</v>
      </c>
    </row>
    <row r="163" spans="1:6" hidden="1" x14ac:dyDescent="0.3">
      <c r="A163">
        <v>2022</v>
      </c>
      <c r="B163">
        <v>6</v>
      </c>
      <c r="C163" s="105" t="s">
        <v>42</v>
      </c>
      <c r="D163" s="105" t="s">
        <v>13</v>
      </c>
      <c r="E163">
        <v>144</v>
      </c>
      <c r="F163" s="1">
        <v>91815.52</v>
      </c>
    </row>
    <row r="164" spans="1:6" hidden="1" x14ac:dyDescent="0.3">
      <c r="A164">
        <v>2022</v>
      </c>
      <c r="B164">
        <v>6</v>
      </c>
      <c r="C164" s="105" t="s">
        <v>42</v>
      </c>
      <c r="D164" s="105" t="s">
        <v>14</v>
      </c>
      <c r="E164">
        <v>67</v>
      </c>
      <c r="F164" s="1">
        <v>41121.86</v>
      </c>
    </row>
    <row r="165" spans="1:6" hidden="1" x14ac:dyDescent="0.3">
      <c r="A165">
        <v>2022</v>
      </c>
      <c r="B165">
        <v>6</v>
      </c>
      <c r="C165" s="105" t="s">
        <v>42</v>
      </c>
      <c r="D165" s="105" t="s">
        <v>15</v>
      </c>
      <c r="E165">
        <v>33</v>
      </c>
      <c r="F165" s="1">
        <v>20046.080000000002</v>
      </c>
    </row>
    <row r="166" spans="1:6" hidden="1" x14ac:dyDescent="0.3">
      <c r="A166">
        <v>2022</v>
      </c>
      <c r="B166">
        <v>6</v>
      </c>
      <c r="C166" s="105" t="s">
        <v>42</v>
      </c>
      <c r="D166" s="105" t="s">
        <v>16</v>
      </c>
      <c r="E166">
        <v>27</v>
      </c>
      <c r="F166" s="1">
        <v>22957.279999999999</v>
      </c>
    </row>
    <row r="167" spans="1:6" hidden="1" x14ac:dyDescent="0.3">
      <c r="A167">
        <v>2022</v>
      </c>
      <c r="B167">
        <v>6</v>
      </c>
      <c r="C167" s="105" t="s">
        <v>42</v>
      </c>
      <c r="D167" s="105" t="s">
        <v>17</v>
      </c>
      <c r="E167">
        <v>138</v>
      </c>
      <c r="F167" s="1">
        <v>112092.74</v>
      </c>
    </row>
    <row r="168" spans="1:6" hidden="1" x14ac:dyDescent="0.3">
      <c r="A168">
        <v>2022</v>
      </c>
      <c r="B168">
        <v>6</v>
      </c>
      <c r="C168" s="105" t="s">
        <v>42</v>
      </c>
      <c r="D168" s="105" t="s">
        <v>18</v>
      </c>
      <c r="E168">
        <v>155</v>
      </c>
      <c r="F168" s="1">
        <v>130642.76</v>
      </c>
    </row>
    <row r="169" spans="1:6" hidden="1" x14ac:dyDescent="0.3">
      <c r="A169">
        <v>2022</v>
      </c>
      <c r="B169">
        <v>6</v>
      </c>
      <c r="C169" s="105" t="s">
        <v>42</v>
      </c>
      <c r="D169" s="105" t="s">
        <v>19</v>
      </c>
      <c r="E169">
        <v>21</v>
      </c>
      <c r="F169" s="1">
        <v>13420.15</v>
      </c>
    </row>
    <row r="170" spans="1:6" hidden="1" x14ac:dyDescent="0.3">
      <c r="A170">
        <v>2022</v>
      </c>
      <c r="B170">
        <v>6</v>
      </c>
      <c r="C170" s="105" t="s">
        <v>42</v>
      </c>
      <c r="D170" s="105" t="s">
        <v>20</v>
      </c>
      <c r="E170">
        <v>156</v>
      </c>
      <c r="F170" s="1">
        <v>110020.81</v>
      </c>
    </row>
    <row r="171" spans="1:6" hidden="1" x14ac:dyDescent="0.3">
      <c r="A171">
        <v>2022</v>
      </c>
      <c r="B171">
        <v>6</v>
      </c>
      <c r="C171" s="105" t="s">
        <v>42</v>
      </c>
      <c r="D171" s="105" t="s">
        <v>21</v>
      </c>
      <c r="E171">
        <v>111</v>
      </c>
      <c r="F171" s="1">
        <v>95681.46</v>
      </c>
    </row>
    <row r="172" spans="1:6" x14ac:dyDescent="0.3">
      <c r="A172">
        <v>2022</v>
      </c>
      <c r="B172">
        <v>6</v>
      </c>
      <c r="C172" s="105" t="s">
        <v>42</v>
      </c>
      <c r="D172" s="105" t="s">
        <v>22</v>
      </c>
      <c r="E172">
        <v>66</v>
      </c>
      <c r="F172" s="1">
        <v>42372.74</v>
      </c>
    </row>
    <row r="173" spans="1:6" hidden="1" x14ac:dyDescent="0.3">
      <c r="A173">
        <v>2022</v>
      </c>
      <c r="B173">
        <v>6</v>
      </c>
      <c r="C173" s="105" t="s">
        <v>42</v>
      </c>
      <c r="D173" s="105" t="s">
        <v>23</v>
      </c>
      <c r="E173">
        <v>38</v>
      </c>
      <c r="F173" s="1">
        <v>29288.41</v>
      </c>
    </row>
    <row r="174" spans="1:6" hidden="1" x14ac:dyDescent="0.3">
      <c r="A174">
        <v>2022</v>
      </c>
      <c r="B174">
        <v>6</v>
      </c>
      <c r="C174" s="105" t="s">
        <v>42</v>
      </c>
      <c r="D174" s="105" t="s">
        <v>24</v>
      </c>
      <c r="E174">
        <v>76</v>
      </c>
      <c r="F174" s="1">
        <v>49965.62</v>
      </c>
    </row>
    <row r="175" spans="1:6" hidden="1" x14ac:dyDescent="0.3">
      <c r="A175">
        <v>2022</v>
      </c>
      <c r="B175">
        <v>6</v>
      </c>
      <c r="C175" s="105" t="s">
        <v>42</v>
      </c>
      <c r="D175" s="105" t="s">
        <v>25</v>
      </c>
      <c r="E175">
        <v>182</v>
      </c>
      <c r="F175" s="1">
        <v>149107.76999999999</v>
      </c>
    </row>
    <row r="176" spans="1:6" hidden="1" x14ac:dyDescent="0.3">
      <c r="A176">
        <v>2022</v>
      </c>
      <c r="B176">
        <v>6</v>
      </c>
      <c r="C176" s="105" t="s">
        <v>42</v>
      </c>
      <c r="D176" s="105" t="s">
        <v>26</v>
      </c>
      <c r="E176">
        <v>32</v>
      </c>
      <c r="F176" s="1">
        <v>28350.16</v>
      </c>
    </row>
    <row r="177" spans="1:6" hidden="1" x14ac:dyDescent="0.3">
      <c r="A177">
        <v>2022</v>
      </c>
      <c r="B177">
        <v>6</v>
      </c>
      <c r="C177" s="105" t="s">
        <v>42</v>
      </c>
      <c r="D177" s="105" t="s">
        <v>27</v>
      </c>
      <c r="E177">
        <v>72</v>
      </c>
      <c r="F177" s="1">
        <v>57476.98</v>
      </c>
    </row>
    <row r="178" spans="1:6" hidden="1" x14ac:dyDescent="0.3">
      <c r="A178">
        <v>2022</v>
      </c>
      <c r="B178">
        <v>6</v>
      </c>
      <c r="C178" s="105" t="s">
        <v>42</v>
      </c>
      <c r="D178" s="105" t="s">
        <v>28</v>
      </c>
      <c r="E178">
        <v>26</v>
      </c>
      <c r="F178" s="1">
        <v>19697.05</v>
      </c>
    </row>
    <row r="179" spans="1:6" hidden="1" x14ac:dyDescent="0.3">
      <c r="A179">
        <v>2022</v>
      </c>
      <c r="B179">
        <v>6</v>
      </c>
      <c r="C179" s="105" t="s">
        <v>42</v>
      </c>
      <c r="D179" s="105" t="s">
        <v>29</v>
      </c>
      <c r="E179">
        <v>90</v>
      </c>
      <c r="F179" s="1">
        <v>64719.74</v>
      </c>
    </row>
    <row r="180" spans="1:6" hidden="1" x14ac:dyDescent="0.3">
      <c r="A180">
        <v>2022</v>
      </c>
      <c r="B180">
        <v>6</v>
      </c>
      <c r="C180" s="105" t="s">
        <v>42</v>
      </c>
      <c r="D180" s="105" t="s">
        <v>30</v>
      </c>
      <c r="E180">
        <v>26</v>
      </c>
      <c r="F180" s="1">
        <v>18120.52</v>
      </c>
    </row>
    <row r="181" spans="1:6" hidden="1" x14ac:dyDescent="0.3">
      <c r="A181">
        <v>2022</v>
      </c>
      <c r="B181">
        <v>6</v>
      </c>
      <c r="C181" s="105" t="s">
        <v>42</v>
      </c>
      <c r="D181" s="105" t="s">
        <v>31</v>
      </c>
      <c r="E181">
        <v>192</v>
      </c>
      <c r="F181" s="1">
        <v>158227.16</v>
      </c>
    </row>
    <row r="182" spans="1:6" hidden="1" x14ac:dyDescent="0.3">
      <c r="A182">
        <v>2022</v>
      </c>
      <c r="B182">
        <v>6</v>
      </c>
      <c r="C182" s="105" t="s">
        <v>42</v>
      </c>
      <c r="D182" s="105" t="s">
        <v>32</v>
      </c>
      <c r="E182">
        <v>42</v>
      </c>
      <c r="F182" s="1">
        <v>30924.11</v>
      </c>
    </row>
    <row r="183" spans="1:6" hidden="1" x14ac:dyDescent="0.3">
      <c r="A183">
        <v>2022</v>
      </c>
      <c r="B183">
        <v>6</v>
      </c>
      <c r="C183" s="105" t="s">
        <v>42</v>
      </c>
      <c r="D183" s="105" t="s">
        <v>33</v>
      </c>
      <c r="E183">
        <v>246</v>
      </c>
      <c r="F183" s="1">
        <v>209338.55</v>
      </c>
    </row>
    <row r="184" spans="1:6" hidden="1" x14ac:dyDescent="0.3">
      <c r="A184">
        <v>2022</v>
      </c>
      <c r="B184">
        <v>6</v>
      </c>
      <c r="C184" s="105" t="s">
        <v>42</v>
      </c>
      <c r="D184" s="105" t="s">
        <v>34</v>
      </c>
      <c r="E184">
        <v>110</v>
      </c>
      <c r="F184" s="1">
        <v>77495.69</v>
      </c>
    </row>
    <row r="185" spans="1:6" hidden="1" x14ac:dyDescent="0.3">
      <c r="A185">
        <v>2022</v>
      </c>
      <c r="B185">
        <v>6</v>
      </c>
      <c r="C185" s="105" t="s">
        <v>42</v>
      </c>
      <c r="D185" s="105" t="s">
        <v>35</v>
      </c>
      <c r="E185">
        <v>43</v>
      </c>
      <c r="F185" s="1">
        <v>31151.25</v>
      </c>
    </row>
    <row r="186" spans="1:6" hidden="1" x14ac:dyDescent="0.3">
      <c r="A186">
        <v>2022</v>
      </c>
      <c r="B186">
        <v>6</v>
      </c>
      <c r="C186" s="105" t="s">
        <v>42</v>
      </c>
      <c r="D186" s="105" t="s">
        <v>36</v>
      </c>
      <c r="E186">
        <v>97</v>
      </c>
      <c r="F186" s="1">
        <v>70653.81</v>
      </c>
    </row>
    <row r="187" spans="1:6" hidden="1" x14ac:dyDescent="0.3">
      <c r="A187">
        <v>2022</v>
      </c>
      <c r="B187">
        <v>6</v>
      </c>
      <c r="C187" s="105" t="s">
        <v>42</v>
      </c>
      <c r="D187" s="105" t="s">
        <v>37</v>
      </c>
      <c r="E187">
        <v>110</v>
      </c>
      <c r="F187" s="1">
        <v>91061.68</v>
      </c>
    </row>
    <row r="188" spans="1:6" hidden="1" x14ac:dyDescent="0.3">
      <c r="A188">
        <v>2022</v>
      </c>
      <c r="B188">
        <v>7</v>
      </c>
      <c r="C188" s="105" t="s">
        <v>43</v>
      </c>
      <c r="D188" s="105" t="s">
        <v>7</v>
      </c>
      <c r="E188">
        <v>70</v>
      </c>
      <c r="F188" s="1">
        <v>43537.11</v>
      </c>
    </row>
    <row r="189" spans="1:6" hidden="1" x14ac:dyDescent="0.3">
      <c r="A189">
        <v>2022</v>
      </c>
      <c r="B189">
        <v>7</v>
      </c>
      <c r="C189" s="105" t="s">
        <v>43</v>
      </c>
      <c r="D189" s="105" t="s">
        <v>8</v>
      </c>
      <c r="E189">
        <v>56</v>
      </c>
      <c r="F189" s="1">
        <v>38042.75</v>
      </c>
    </row>
    <row r="190" spans="1:6" hidden="1" x14ac:dyDescent="0.3">
      <c r="A190">
        <v>2022</v>
      </c>
      <c r="B190">
        <v>7</v>
      </c>
      <c r="C190" s="105" t="s">
        <v>43</v>
      </c>
      <c r="D190" s="105" t="s">
        <v>9</v>
      </c>
      <c r="E190">
        <v>38</v>
      </c>
      <c r="F190" s="1">
        <v>24952.48</v>
      </c>
    </row>
    <row r="191" spans="1:6" hidden="1" x14ac:dyDescent="0.3">
      <c r="A191">
        <v>2022</v>
      </c>
      <c r="B191">
        <v>7</v>
      </c>
      <c r="C191" s="105" t="s">
        <v>43</v>
      </c>
      <c r="D191" s="105" t="s">
        <v>10</v>
      </c>
      <c r="E191">
        <v>95</v>
      </c>
      <c r="F191" s="1">
        <v>71311.009999999995</v>
      </c>
    </row>
    <row r="192" spans="1:6" hidden="1" x14ac:dyDescent="0.3">
      <c r="A192">
        <v>2022</v>
      </c>
      <c r="B192">
        <v>7</v>
      </c>
      <c r="C192" s="105" t="s">
        <v>43</v>
      </c>
      <c r="D192" s="105" t="s">
        <v>11</v>
      </c>
      <c r="E192">
        <v>108</v>
      </c>
      <c r="F192" s="1">
        <v>71656.67</v>
      </c>
    </row>
    <row r="193" spans="1:6" hidden="1" x14ac:dyDescent="0.3">
      <c r="A193">
        <v>2022</v>
      </c>
      <c r="B193">
        <v>7</v>
      </c>
      <c r="C193" s="105" t="s">
        <v>43</v>
      </c>
      <c r="D193" s="105" t="s">
        <v>12</v>
      </c>
      <c r="E193">
        <v>109</v>
      </c>
      <c r="F193" s="1">
        <v>63534.239999999998</v>
      </c>
    </row>
    <row r="194" spans="1:6" hidden="1" x14ac:dyDescent="0.3">
      <c r="A194">
        <v>2022</v>
      </c>
      <c r="B194">
        <v>7</v>
      </c>
      <c r="C194" s="105" t="s">
        <v>43</v>
      </c>
      <c r="D194" s="105" t="s">
        <v>13</v>
      </c>
      <c r="E194">
        <v>161</v>
      </c>
      <c r="F194" s="1">
        <v>93296.28</v>
      </c>
    </row>
    <row r="195" spans="1:6" hidden="1" x14ac:dyDescent="0.3">
      <c r="A195">
        <v>2022</v>
      </c>
      <c r="B195">
        <v>7</v>
      </c>
      <c r="C195" s="105" t="s">
        <v>43</v>
      </c>
      <c r="D195" s="105" t="s">
        <v>14</v>
      </c>
      <c r="E195">
        <v>59</v>
      </c>
      <c r="F195" s="1">
        <v>39364.239999999998</v>
      </c>
    </row>
    <row r="196" spans="1:6" hidden="1" x14ac:dyDescent="0.3">
      <c r="A196">
        <v>2022</v>
      </c>
      <c r="B196">
        <v>7</v>
      </c>
      <c r="C196" s="105" t="s">
        <v>43</v>
      </c>
      <c r="D196" s="105" t="s">
        <v>15</v>
      </c>
      <c r="E196">
        <v>31</v>
      </c>
      <c r="F196" s="1">
        <v>21362.37</v>
      </c>
    </row>
    <row r="197" spans="1:6" hidden="1" x14ac:dyDescent="0.3">
      <c r="A197">
        <v>2022</v>
      </c>
      <c r="B197">
        <v>7</v>
      </c>
      <c r="C197" s="105" t="s">
        <v>43</v>
      </c>
      <c r="D197" s="105" t="s">
        <v>16</v>
      </c>
      <c r="E197">
        <v>49</v>
      </c>
      <c r="F197" s="1">
        <v>45097.760000000002</v>
      </c>
    </row>
    <row r="198" spans="1:6" hidden="1" x14ac:dyDescent="0.3">
      <c r="A198">
        <v>2022</v>
      </c>
      <c r="B198">
        <v>7</v>
      </c>
      <c r="C198" s="105" t="s">
        <v>43</v>
      </c>
      <c r="D198" s="105" t="s">
        <v>17</v>
      </c>
      <c r="E198">
        <v>167</v>
      </c>
      <c r="F198" s="1">
        <v>117076.89</v>
      </c>
    </row>
    <row r="199" spans="1:6" hidden="1" x14ac:dyDescent="0.3">
      <c r="A199">
        <v>2022</v>
      </c>
      <c r="B199">
        <v>7</v>
      </c>
      <c r="C199" s="105" t="s">
        <v>43</v>
      </c>
      <c r="D199" s="105" t="s">
        <v>18</v>
      </c>
      <c r="E199">
        <v>220</v>
      </c>
      <c r="F199" s="1">
        <v>173583.3</v>
      </c>
    </row>
    <row r="200" spans="1:6" hidden="1" x14ac:dyDescent="0.3">
      <c r="A200">
        <v>2022</v>
      </c>
      <c r="B200">
        <v>7</v>
      </c>
      <c r="C200" s="105" t="s">
        <v>43</v>
      </c>
      <c r="D200" s="105" t="s">
        <v>19</v>
      </c>
      <c r="E200">
        <v>29</v>
      </c>
      <c r="F200" s="1">
        <v>20851.759999999998</v>
      </c>
    </row>
    <row r="201" spans="1:6" hidden="1" x14ac:dyDescent="0.3">
      <c r="A201">
        <v>2022</v>
      </c>
      <c r="B201">
        <v>7</v>
      </c>
      <c r="C201" s="105" t="s">
        <v>43</v>
      </c>
      <c r="D201" s="105" t="s">
        <v>20</v>
      </c>
      <c r="E201">
        <v>125</v>
      </c>
      <c r="F201" s="1">
        <v>97199.5</v>
      </c>
    </row>
    <row r="202" spans="1:6" hidden="1" x14ac:dyDescent="0.3">
      <c r="A202">
        <v>2022</v>
      </c>
      <c r="B202">
        <v>7</v>
      </c>
      <c r="C202" s="105" t="s">
        <v>43</v>
      </c>
      <c r="D202" s="105" t="s">
        <v>21</v>
      </c>
      <c r="E202">
        <v>134</v>
      </c>
      <c r="F202" s="1">
        <v>96790.5</v>
      </c>
    </row>
    <row r="203" spans="1:6" x14ac:dyDescent="0.3">
      <c r="A203">
        <v>2022</v>
      </c>
      <c r="B203">
        <v>7</v>
      </c>
      <c r="C203" s="105" t="s">
        <v>43</v>
      </c>
      <c r="D203" s="105" t="s">
        <v>22</v>
      </c>
      <c r="E203">
        <v>50</v>
      </c>
      <c r="F203" s="1">
        <v>32260.93</v>
      </c>
    </row>
    <row r="204" spans="1:6" hidden="1" x14ac:dyDescent="0.3">
      <c r="A204">
        <v>2022</v>
      </c>
      <c r="B204">
        <v>7</v>
      </c>
      <c r="C204" s="105" t="s">
        <v>43</v>
      </c>
      <c r="D204" s="105" t="s">
        <v>23</v>
      </c>
      <c r="E204">
        <v>72</v>
      </c>
      <c r="F204" s="1">
        <v>58415.95</v>
      </c>
    </row>
    <row r="205" spans="1:6" hidden="1" x14ac:dyDescent="0.3">
      <c r="A205">
        <v>2022</v>
      </c>
      <c r="B205">
        <v>7</v>
      </c>
      <c r="C205" s="105" t="s">
        <v>43</v>
      </c>
      <c r="D205" s="105" t="s">
        <v>24</v>
      </c>
      <c r="E205">
        <v>56</v>
      </c>
      <c r="F205" s="1">
        <v>37985.9</v>
      </c>
    </row>
    <row r="206" spans="1:6" hidden="1" x14ac:dyDescent="0.3">
      <c r="A206">
        <v>2022</v>
      </c>
      <c r="B206">
        <v>7</v>
      </c>
      <c r="C206" s="105" t="s">
        <v>43</v>
      </c>
      <c r="D206" s="105" t="s">
        <v>25</v>
      </c>
      <c r="E206">
        <v>160</v>
      </c>
      <c r="F206" s="1">
        <v>123283.99</v>
      </c>
    </row>
    <row r="207" spans="1:6" hidden="1" x14ac:dyDescent="0.3">
      <c r="A207">
        <v>2022</v>
      </c>
      <c r="B207">
        <v>7</v>
      </c>
      <c r="C207" s="105" t="s">
        <v>43</v>
      </c>
      <c r="D207" s="105" t="s">
        <v>26</v>
      </c>
      <c r="E207">
        <v>72</v>
      </c>
      <c r="F207" s="1">
        <v>56878.91</v>
      </c>
    </row>
    <row r="208" spans="1:6" hidden="1" x14ac:dyDescent="0.3">
      <c r="A208">
        <v>2022</v>
      </c>
      <c r="B208">
        <v>7</v>
      </c>
      <c r="C208" s="105" t="s">
        <v>43</v>
      </c>
      <c r="D208" s="105" t="s">
        <v>27</v>
      </c>
      <c r="E208">
        <v>96</v>
      </c>
      <c r="F208" s="1">
        <v>69015.820000000007</v>
      </c>
    </row>
    <row r="209" spans="1:6" hidden="1" x14ac:dyDescent="0.3">
      <c r="A209">
        <v>2022</v>
      </c>
      <c r="B209">
        <v>7</v>
      </c>
      <c r="C209" s="105" t="s">
        <v>43</v>
      </c>
      <c r="D209" s="105" t="s">
        <v>28</v>
      </c>
      <c r="E209">
        <v>20</v>
      </c>
      <c r="F209" s="1">
        <v>14601.19</v>
      </c>
    </row>
    <row r="210" spans="1:6" hidden="1" x14ac:dyDescent="0.3">
      <c r="A210">
        <v>2022</v>
      </c>
      <c r="B210">
        <v>7</v>
      </c>
      <c r="C210" s="105" t="s">
        <v>43</v>
      </c>
      <c r="D210" s="105" t="s">
        <v>29</v>
      </c>
      <c r="E210">
        <v>166</v>
      </c>
      <c r="F210" s="1">
        <v>102654.91</v>
      </c>
    </row>
    <row r="211" spans="1:6" hidden="1" x14ac:dyDescent="0.3">
      <c r="A211">
        <v>2022</v>
      </c>
      <c r="B211">
        <v>7</v>
      </c>
      <c r="C211" s="105" t="s">
        <v>43</v>
      </c>
      <c r="D211" s="105" t="s">
        <v>30</v>
      </c>
      <c r="E211">
        <v>27</v>
      </c>
      <c r="F211" s="1">
        <v>19103.12</v>
      </c>
    </row>
    <row r="212" spans="1:6" hidden="1" x14ac:dyDescent="0.3">
      <c r="A212">
        <v>2022</v>
      </c>
      <c r="B212">
        <v>7</v>
      </c>
      <c r="C212" s="105" t="s">
        <v>43</v>
      </c>
      <c r="D212" s="105" t="s">
        <v>31</v>
      </c>
      <c r="E212">
        <v>316</v>
      </c>
      <c r="F212" s="1">
        <v>243621.19</v>
      </c>
    </row>
    <row r="213" spans="1:6" hidden="1" x14ac:dyDescent="0.3">
      <c r="A213">
        <v>2022</v>
      </c>
      <c r="B213">
        <v>7</v>
      </c>
      <c r="C213" s="105" t="s">
        <v>43</v>
      </c>
      <c r="D213" s="105" t="s">
        <v>32</v>
      </c>
      <c r="E213">
        <v>47</v>
      </c>
      <c r="F213" s="1">
        <v>34864.83</v>
      </c>
    </row>
    <row r="214" spans="1:6" hidden="1" x14ac:dyDescent="0.3">
      <c r="A214">
        <v>2022</v>
      </c>
      <c r="B214">
        <v>7</v>
      </c>
      <c r="C214" s="105" t="s">
        <v>43</v>
      </c>
      <c r="D214" s="105" t="s">
        <v>33</v>
      </c>
      <c r="E214">
        <v>348</v>
      </c>
      <c r="F214" s="1">
        <v>274060.03000000003</v>
      </c>
    </row>
    <row r="215" spans="1:6" hidden="1" x14ac:dyDescent="0.3">
      <c r="A215">
        <v>2022</v>
      </c>
      <c r="B215">
        <v>7</v>
      </c>
      <c r="C215" s="105" t="s">
        <v>43</v>
      </c>
      <c r="D215" s="105" t="s">
        <v>34</v>
      </c>
      <c r="E215">
        <v>148</v>
      </c>
      <c r="F215" s="1">
        <v>104793.29</v>
      </c>
    </row>
    <row r="216" spans="1:6" hidden="1" x14ac:dyDescent="0.3">
      <c r="A216">
        <v>2022</v>
      </c>
      <c r="B216">
        <v>7</v>
      </c>
      <c r="C216" s="105" t="s">
        <v>43</v>
      </c>
      <c r="D216" s="105" t="s">
        <v>35</v>
      </c>
      <c r="E216">
        <v>98</v>
      </c>
      <c r="F216" s="1">
        <v>60685.66</v>
      </c>
    </row>
    <row r="217" spans="1:6" hidden="1" x14ac:dyDescent="0.3">
      <c r="A217">
        <v>2022</v>
      </c>
      <c r="B217">
        <v>7</v>
      </c>
      <c r="C217" s="105" t="s">
        <v>43</v>
      </c>
      <c r="D217" s="105" t="s">
        <v>36</v>
      </c>
      <c r="E217">
        <v>112</v>
      </c>
      <c r="F217" s="1">
        <v>84482.07</v>
      </c>
    </row>
    <row r="218" spans="1:6" hidden="1" x14ac:dyDescent="0.3">
      <c r="A218">
        <v>2022</v>
      </c>
      <c r="B218">
        <v>7</v>
      </c>
      <c r="C218" s="105" t="s">
        <v>43</v>
      </c>
      <c r="D218" s="105" t="s">
        <v>37</v>
      </c>
      <c r="E218">
        <v>137</v>
      </c>
      <c r="F218" s="1">
        <v>102763.32</v>
      </c>
    </row>
    <row r="219" spans="1:6" hidden="1" x14ac:dyDescent="0.3">
      <c r="A219">
        <v>2022</v>
      </c>
      <c r="B219">
        <v>8</v>
      </c>
      <c r="C219" s="105" t="s">
        <v>44</v>
      </c>
      <c r="D219" s="105" t="s">
        <v>7</v>
      </c>
      <c r="E219">
        <v>107</v>
      </c>
      <c r="F219" s="1">
        <v>75716.08</v>
      </c>
    </row>
    <row r="220" spans="1:6" hidden="1" x14ac:dyDescent="0.3">
      <c r="A220">
        <v>2022</v>
      </c>
      <c r="B220">
        <v>8</v>
      </c>
      <c r="C220" s="105" t="s">
        <v>44</v>
      </c>
      <c r="D220" s="105" t="s">
        <v>8</v>
      </c>
      <c r="E220">
        <v>59</v>
      </c>
      <c r="F220" s="1">
        <v>42535.4</v>
      </c>
    </row>
    <row r="221" spans="1:6" hidden="1" x14ac:dyDescent="0.3">
      <c r="A221">
        <v>2022</v>
      </c>
      <c r="B221">
        <v>8</v>
      </c>
      <c r="C221" s="105" t="s">
        <v>44</v>
      </c>
      <c r="D221" s="105" t="s">
        <v>9</v>
      </c>
      <c r="E221">
        <v>28</v>
      </c>
      <c r="F221" s="1">
        <v>18477.38</v>
      </c>
    </row>
    <row r="222" spans="1:6" hidden="1" x14ac:dyDescent="0.3">
      <c r="A222">
        <v>2022</v>
      </c>
      <c r="B222">
        <v>8</v>
      </c>
      <c r="C222" s="105" t="s">
        <v>44</v>
      </c>
      <c r="D222" s="105" t="s">
        <v>10</v>
      </c>
      <c r="E222">
        <v>142</v>
      </c>
      <c r="F222" s="1">
        <v>124264.62</v>
      </c>
    </row>
    <row r="223" spans="1:6" hidden="1" x14ac:dyDescent="0.3">
      <c r="A223">
        <v>2022</v>
      </c>
      <c r="B223">
        <v>8</v>
      </c>
      <c r="C223" s="105" t="s">
        <v>44</v>
      </c>
      <c r="D223" s="105" t="s">
        <v>11</v>
      </c>
      <c r="E223">
        <v>201</v>
      </c>
      <c r="F223" s="1">
        <v>141070.41</v>
      </c>
    </row>
    <row r="224" spans="1:6" hidden="1" x14ac:dyDescent="0.3">
      <c r="A224">
        <v>2022</v>
      </c>
      <c r="B224">
        <v>8</v>
      </c>
      <c r="C224" s="105" t="s">
        <v>44</v>
      </c>
      <c r="D224" s="105" t="s">
        <v>12</v>
      </c>
      <c r="E224">
        <v>150</v>
      </c>
      <c r="F224" s="1">
        <v>97076.2</v>
      </c>
    </row>
    <row r="225" spans="1:6" hidden="1" x14ac:dyDescent="0.3">
      <c r="A225">
        <v>2022</v>
      </c>
      <c r="B225">
        <v>8</v>
      </c>
      <c r="C225" s="105" t="s">
        <v>44</v>
      </c>
      <c r="D225" s="105" t="s">
        <v>13</v>
      </c>
      <c r="E225">
        <v>232</v>
      </c>
      <c r="F225" s="1">
        <v>132859.6</v>
      </c>
    </row>
    <row r="226" spans="1:6" hidden="1" x14ac:dyDescent="0.3">
      <c r="A226">
        <v>2022</v>
      </c>
      <c r="B226">
        <v>8</v>
      </c>
      <c r="C226" s="105" t="s">
        <v>44</v>
      </c>
      <c r="D226" s="105" t="s">
        <v>14</v>
      </c>
      <c r="E226">
        <v>69</v>
      </c>
      <c r="F226" s="1">
        <v>43148.63</v>
      </c>
    </row>
    <row r="227" spans="1:6" hidden="1" x14ac:dyDescent="0.3">
      <c r="A227">
        <v>2022</v>
      </c>
      <c r="B227">
        <v>8</v>
      </c>
      <c r="C227" s="105" t="s">
        <v>44</v>
      </c>
      <c r="D227" s="105" t="s">
        <v>15</v>
      </c>
      <c r="E227">
        <v>31</v>
      </c>
      <c r="F227" s="1">
        <v>22020.55</v>
      </c>
    </row>
    <row r="228" spans="1:6" hidden="1" x14ac:dyDescent="0.3">
      <c r="A228">
        <v>2022</v>
      </c>
      <c r="B228">
        <v>8</v>
      </c>
      <c r="C228" s="105" t="s">
        <v>44</v>
      </c>
      <c r="D228" s="105" t="s">
        <v>16</v>
      </c>
      <c r="E228">
        <v>37</v>
      </c>
      <c r="F228" s="1">
        <v>26919.42</v>
      </c>
    </row>
    <row r="229" spans="1:6" hidden="1" x14ac:dyDescent="0.3">
      <c r="A229">
        <v>2022</v>
      </c>
      <c r="B229">
        <v>8</v>
      </c>
      <c r="C229" s="105" t="s">
        <v>44</v>
      </c>
      <c r="D229" s="105" t="s">
        <v>17</v>
      </c>
      <c r="E229">
        <v>340</v>
      </c>
      <c r="F229" s="1">
        <v>233757.73</v>
      </c>
    </row>
    <row r="230" spans="1:6" hidden="1" x14ac:dyDescent="0.3">
      <c r="A230">
        <v>2022</v>
      </c>
      <c r="B230">
        <v>8</v>
      </c>
      <c r="C230" s="105" t="s">
        <v>44</v>
      </c>
      <c r="D230" s="105" t="s">
        <v>18</v>
      </c>
      <c r="E230">
        <v>232</v>
      </c>
      <c r="F230" s="1">
        <v>197223.25</v>
      </c>
    </row>
    <row r="231" spans="1:6" hidden="1" x14ac:dyDescent="0.3">
      <c r="A231">
        <v>2022</v>
      </c>
      <c r="B231">
        <v>8</v>
      </c>
      <c r="C231" s="105" t="s">
        <v>44</v>
      </c>
      <c r="D231" s="105" t="s">
        <v>19</v>
      </c>
      <c r="E231">
        <v>23</v>
      </c>
      <c r="F231" s="1">
        <v>15460.87</v>
      </c>
    </row>
    <row r="232" spans="1:6" hidden="1" x14ac:dyDescent="0.3">
      <c r="A232">
        <v>2022</v>
      </c>
      <c r="B232">
        <v>8</v>
      </c>
      <c r="C232" s="105" t="s">
        <v>44</v>
      </c>
      <c r="D232" s="105" t="s">
        <v>20</v>
      </c>
      <c r="E232">
        <v>154</v>
      </c>
      <c r="F232" s="1">
        <v>117646.38</v>
      </c>
    </row>
    <row r="233" spans="1:6" hidden="1" x14ac:dyDescent="0.3">
      <c r="A233">
        <v>2022</v>
      </c>
      <c r="B233">
        <v>8</v>
      </c>
      <c r="C233" s="105" t="s">
        <v>44</v>
      </c>
      <c r="D233" s="105" t="s">
        <v>21</v>
      </c>
      <c r="E233">
        <v>178</v>
      </c>
      <c r="F233" s="1">
        <v>146636.09</v>
      </c>
    </row>
    <row r="234" spans="1:6" x14ac:dyDescent="0.3">
      <c r="A234">
        <v>2022</v>
      </c>
      <c r="B234">
        <v>8</v>
      </c>
      <c r="C234" s="105" t="s">
        <v>44</v>
      </c>
      <c r="D234" s="105" t="s">
        <v>22</v>
      </c>
      <c r="E234">
        <v>51</v>
      </c>
      <c r="F234" s="1">
        <v>35789.58</v>
      </c>
    </row>
    <row r="235" spans="1:6" hidden="1" x14ac:dyDescent="0.3">
      <c r="A235">
        <v>2022</v>
      </c>
      <c r="B235">
        <v>8</v>
      </c>
      <c r="C235" s="105" t="s">
        <v>44</v>
      </c>
      <c r="D235" s="105" t="s">
        <v>23</v>
      </c>
      <c r="E235">
        <v>74</v>
      </c>
      <c r="F235" s="1">
        <v>69681.429999999993</v>
      </c>
    </row>
    <row r="236" spans="1:6" hidden="1" x14ac:dyDescent="0.3">
      <c r="A236">
        <v>2022</v>
      </c>
      <c r="B236">
        <v>8</v>
      </c>
      <c r="C236" s="105" t="s">
        <v>44</v>
      </c>
      <c r="D236" s="105" t="s">
        <v>24</v>
      </c>
      <c r="E236">
        <v>63</v>
      </c>
      <c r="F236" s="1">
        <v>47363.38</v>
      </c>
    </row>
    <row r="237" spans="1:6" hidden="1" x14ac:dyDescent="0.3">
      <c r="A237">
        <v>2022</v>
      </c>
      <c r="B237">
        <v>8</v>
      </c>
      <c r="C237" s="105" t="s">
        <v>44</v>
      </c>
      <c r="D237" s="105" t="s">
        <v>25</v>
      </c>
      <c r="E237">
        <v>164</v>
      </c>
      <c r="F237" s="1">
        <v>130341.63</v>
      </c>
    </row>
    <row r="238" spans="1:6" hidden="1" x14ac:dyDescent="0.3">
      <c r="A238">
        <v>2022</v>
      </c>
      <c r="B238">
        <v>8</v>
      </c>
      <c r="C238" s="105" t="s">
        <v>44</v>
      </c>
      <c r="D238" s="105" t="s">
        <v>26</v>
      </c>
      <c r="E238">
        <v>99</v>
      </c>
      <c r="F238" s="1">
        <v>68983.08</v>
      </c>
    </row>
    <row r="239" spans="1:6" hidden="1" x14ac:dyDescent="0.3">
      <c r="A239">
        <v>2022</v>
      </c>
      <c r="B239">
        <v>8</v>
      </c>
      <c r="C239" s="105" t="s">
        <v>44</v>
      </c>
      <c r="D239" s="105" t="s">
        <v>27</v>
      </c>
      <c r="E239">
        <v>73</v>
      </c>
      <c r="F239" s="1">
        <v>57420.75</v>
      </c>
    </row>
    <row r="240" spans="1:6" hidden="1" x14ac:dyDescent="0.3">
      <c r="A240">
        <v>2022</v>
      </c>
      <c r="B240">
        <v>8</v>
      </c>
      <c r="C240" s="105" t="s">
        <v>44</v>
      </c>
      <c r="D240" s="105" t="s">
        <v>28</v>
      </c>
      <c r="E240">
        <v>20</v>
      </c>
      <c r="F240" s="1">
        <v>15798.42</v>
      </c>
    </row>
    <row r="241" spans="1:6" hidden="1" x14ac:dyDescent="0.3">
      <c r="A241">
        <v>2022</v>
      </c>
      <c r="B241">
        <v>8</v>
      </c>
      <c r="C241" s="105" t="s">
        <v>44</v>
      </c>
      <c r="D241" s="105" t="s">
        <v>29</v>
      </c>
      <c r="E241">
        <v>244</v>
      </c>
      <c r="F241" s="1">
        <v>171051.17</v>
      </c>
    </row>
    <row r="242" spans="1:6" hidden="1" x14ac:dyDescent="0.3">
      <c r="A242">
        <v>2022</v>
      </c>
      <c r="B242">
        <v>8</v>
      </c>
      <c r="C242" s="105" t="s">
        <v>44</v>
      </c>
      <c r="D242" s="105" t="s">
        <v>30</v>
      </c>
      <c r="E242">
        <v>15</v>
      </c>
      <c r="F242" s="1">
        <v>10999.16</v>
      </c>
    </row>
    <row r="243" spans="1:6" hidden="1" x14ac:dyDescent="0.3">
      <c r="A243">
        <v>2022</v>
      </c>
      <c r="B243">
        <v>8</v>
      </c>
      <c r="C243" s="105" t="s">
        <v>44</v>
      </c>
      <c r="D243" s="105" t="s">
        <v>31</v>
      </c>
      <c r="E243">
        <v>271</v>
      </c>
      <c r="F243" s="1">
        <v>215841.9</v>
      </c>
    </row>
    <row r="244" spans="1:6" hidden="1" x14ac:dyDescent="0.3">
      <c r="A244">
        <v>2022</v>
      </c>
      <c r="B244">
        <v>8</v>
      </c>
      <c r="C244" s="105" t="s">
        <v>44</v>
      </c>
      <c r="D244" s="105" t="s">
        <v>32</v>
      </c>
      <c r="E244">
        <v>107</v>
      </c>
      <c r="F244" s="1">
        <v>77520.14</v>
      </c>
    </row>
    <row r="245" spans="1:6" hidden="1" x14ac:dyDescent="0.3">
      <c r="A245">
        <v>2022</v>
      </c>
      <c r="B245">
        <v>8</v>
      </c>
      <c r="C245" s="105" t="s">
        <v>44</v>
      </c>
      <c r="D245" s="105" t="s">
        <v>33</v>
      </c>
      <c r="E245">
        <v>385</v>
      </c>
      <c r="F245" s="1">
        <v>319037.8</v>
      </c>
    </row>
    <row r="246" spans="1:6" hidden="1" x14ac:dyDescent="0.3">
      <c r="A246">
        <v>2022</v>
      </c>
      <c r="B246">
        <v>8</v>
      </c>
      <c r="C246" s="105" t="s">
        <v>44</v>
      </c>
      <c r="D246" s="105" t="s">
        <v>34</v>
      </c>
      <c r="E246">
        <v>258</v>
      </c>
      <c r="F246" s="1">
        <v>180997.17</v>
      </c>
    </row>
    <row r="247" spans="1:6" hidden="1" x14ac:dyDescent="0.3">
      <c r="A247">
        <v>2022</v>
      </c>
      <c r="B247">
        <v>8</v>
      </c>
      <c r="C247" s="105" t="s">
        <v>44</v>
      </c>
      <c r="D247" s="105" t="s">
        <v>35</v>
      </c>
      <c r="E247">
        <v>164</v>
      </c>
      <c r="F247" s="1">
        <v>112405.65</v>
      </c>
    </row>
    <row r="248" spans="1:6" hidden="1" x14ac:dyDescent="0.3">
      <c r="A248">
        <v>2022</v>
      </c>
      <c r="B248">
        <v>8</v>
      </c>
      <c r="C248" s="105" t="s">
        <v>44</v>
      </c>
      <c r="D248" s="105" t="s">
        <v>36</v>
      </c>
      <c r="E248">
        <v>123</v>
      </c>
      <c r="F248" s="1">
        <v>94577.13</v>
      </c>
    </row>
    <row r="249" spans="1:6" hidden="1" x14ac:dyDescent="0.3">
      <c r="A249">
        <v>2022</v>
      </c>
      <c r="B249">
        <v>8</v>
      </c>
      <c r="C249" s="105" t="s">
        <v>44</v>
      </c>
      <c r="D249" s="105" t="s">
        <v>37</v>
      </c>
      <c r="E249">
        <v>152</v>
      </c>
      <c r="F249" s="1">
        <v>119320.79</v>
      </c>
    </row>
    <row r="250" spans="1:6" hidden="1" x14ac:dyDescent="0.3">
      <c r="A250">
        <v>2022</v>
      </c>
      <c r="B250">
        <v>9</v>
      </c>
      <c r="C250" s="105" t="s">
        <v>45</v>
      </c>
      <c r="D250" s="105" t="s">
        <v>7</v>
      </c>
      <c r="E250">
        <v>46</v>
      </c>
      <c r="F250" s="1">
        <v>30928.04</v>
      </c>
    </row>
    <row r="251" spans="1:6" hidden="1" x14ac:dyDescent="0.3">
      <c r="A251">
        <v>2022</v>
      </c>
      <c r="B251">
        <v>9</v>
      </c>
      <c r="C251" s="105" t="s">
        <v>45</v>
      </c>
      <c r="D251" s="105" t="s">
        <v>8</v>
      </c>
      <c r="E251">
        <v>42</v>
      </c>
      <c r="F251" s="1">
        <v>31736.21</v>
      </c>
    </row>
    <row r="252" spans="1:6" hidden="1" x14ac:dyDescent="0.3">
      <c r="A252">
        <v>2022</v>
      </c>
      <c r="B252">
        <v>9</v>
      </c>
      <c r="C252" s="105" t="s">
        <v>45</v>
      </c>
      <c r="D252" s="105" t="s">
        <v>9</v>
      </c>
      <c r="E252">
        <v>34</v>
      </c>
      <c r="F252" s="1">
        <v>26980.55</v>
      </c>
    </row>
    <row r="253" spans="1:6" hidden="1" x14ac:dyDescent="0.3">
      <c r="A253">
        <v>2022</v>
      </c>
      <c r="B253">
        <v>9</v>
      </c>
      <c r="C253" s="105" t="s">
        <v>45</v>
      </c>
      <c r="D253" s="105" t="s">
        <v>10</v>
      </c>
      <c r="E253">
        <v>124</v>
      </c>
      <c r="F253" s="1">
        <v>103964.55</v>
      </c>
    </row>
    <row r="254" spans="1:6" hidden="1" x14ac:dyDescent="0.3">
      <c r="A254">
        <v>2022</v>
      </c>
      <c r="B254">
        <v>9</v>
      </c>
      <c r="C254" s="105" t="s">
        <v>45</v>
      </c>
      <c r="D254" s="105" t="s">
        <v>11</v>
      </c>
      <c r="E254">
        <v>110</v>
      </c>
      <c r="F254" s="1">
        <v>69013.710000000006</v>
      </c>
    </row>
    <row r="255" spans="1:6" hidden="1" x14ac:dyDescent="0.3">
      <c r="A255">
        <v>2022</v>
      </c>
      <c r="B255">
        <v>9</v>
      </c>
      <c r="C255" s="105" t="s">
        <v>45</v>
      </c>
      <c r="D255" s="105" t="s">
        <v>12</v>
      </c>
      <c r="E255">
        <v>129</v>
      </c>
      <c r="F255" s="1">
        <v>80829.67</v>
      </c>
    </row>
    <row r="256" spans="1:6" hidden="1" x14ac:dyDescent="0.3">
      <c r="A256">
        <v>2022</v>
      </c>
      <c r="B256">
        <v>9</v>
      </c>
      <c r="C256" s="105" t="s">
        <v>45</v>
      </c>
      <c r="D256" s="105" t="s">
        <v>13</v>
      </c>
      <c r="E256">
        <v>200</v>
      </c>
      <c r="F256" s="1">
        <v>138010.19</v>
      </c>
    </row>
    <row r="257" spans="1:6" hidden="1" x14ac:dyDescent="0.3">
      <c r="A257">
        <v>2022</v>
      </c>
      <c r="B257">
        <v>9</v>
      </c>
      <c r="C257" s="105" t="s">
        <v>45</v>
      </c>
      <c r="D257" s="105" t="s">
        <v>14</v>
      </c>
      <c r="E257">
        <v>64</v>
      </c>
      <c r="F257" s="1">
        <v>40213.86</v>
      </c>
    </row>
    <row r="258" spans="1:6" hidden="1" x14ac:dyDescent="0.3">
      <c r="A258">
        <v>2022</v>
      </c>
      <c r="B258">
        <v>9</v>
      </c>
      <c r="C258" s="105" t="s">
        <v>45</v>
      </c>
      <c r="D258" s="105" t="s">
        <v>15</v>
      </c>
      <c r="E258">
        <v>41</v>
      </c>
      <c r="F258" s="1">
        <v>27414.1</v>
      </c>
    </row>
    <row r="259" spans="1:6" hidden="1" x14ac:dyDescent="0.3">
      <c r="A259">
        <v>2022</v>
      </c>
      <c r="B259">
        <v>9</v>
      </c>
      <c r="C259" s="105" t="s">
        <v>45</v>
      </c>
      <c r="D259" s="105" t="s">
        <v>16</v>
      </c>
      <c r="E259">
        <v>19</v>
      </c>
      <c r="F259" s="1">
        <v>13798.19</v>
      </c>
    </row>
    <row r="260" spans="1:6" hidden="1" x14ac:dyDescent="0.3">
      <c r="A260">
        <v>2022</v>
      </c>
      <c r="B260">
        <v>9</v>
      </c>
      <c r="C260" s="105" t="s">
        <v>45</v>
      </c>
      <c r="D260" s="105" t="s">
        <v>17</v>
      </c>
      <c r="E260">
        <v>357</v>
      </c>
      <c r="F260" s="1">
        <v>240467.52</v>
      </c>
    </row>
    <row r="261" spans="1:6" hidden="1" x14ac:dyDescent="0.3">
      <c r="A261">
        <v>2022</v>
      </c>
      <c r="B261">
        <v>9</v>
      </c>
      <c r="C261" s="105" t="s">
        <v>45</v>
      </c>
      <c r="D261" s="105" t="s">
        <v>18</v>
      </c>
      <c r="E261">
        <v>177</v>
      </c>
      <c r="F261" s="1">
        <v>150559.66</v>
      </c>
    </row>
    <row r="262" spans="1:6" hidden="1" x14ac:dyDescent="0.3">
      <c r="A262">
        <v>2022</v>
      </c>
      <c r="B262">
        <v>9</v>
      </c>
      <c r="C262" s="105" t="s">
        <v>45</v>
      </c>
      <c r="D262" s="105" t="s">
        <v>19</v>
      </c>
      <c r="E262">
        <v>17</v>
      </c>
      <c r="F262" s="1">
        <v>14040.38</v>
      </c>
    </row>
    <row r="263" spans="1:6" hidden="1" x14ac:dyDescent="0.3">
      <c r="A263">
        <v>2022</v>
      </c>
      <c r="B263">
        <v>9</v>
      </c>
      <c r="C263" s="105" t="s">
        <v>45</v>
      </c>
      <c r="D263" s="105" t="s">
        <v>20</v>
      </c>
      <c r="E263">
        <v>96</v>
      </c>
      <c r="F263" s="1">
        <v>71408.490000000005</v>
      </c>
    </row>
    <row r="264" spans="1:6" hidden="1" x14ac:dyDescent="0.3">
      <c r="A264">
        <v>2022</v>
      </c>
      <c r="B264">
        <v>9</v>
      </c>
      <c r="C264" s="105" t="s">
        <v>45</v>
      </c>
      <c r="D264" s="105" t="s">
        <v>21</v>
      </c>
      <c r="E264">
        <v>166</v>
      </c>
      <c r="F264" s="1">
        <v>146760.99</v>
      </c>
    </row>
    <row r="265" spans="1:6" x14ac:dyDescent="0.3">
      <c r="A265">
        <v>2022</v>
      </c>
      <c r="B265">
        <v>9</v>
      </c>
      <c r="C265" s="105" t="s">
        <v>45</v>
      </c>
      <c r="D265" s="105" t="s">
        <v>22</v>
      </c>
      <c r="E265">
        <v>48</v>
      </c>
      <c r="F265" s="1">
        <v>33943.360000000001</v>
      </c>
    </row>
    <row r="266" spans="1:6" hidden="1" x14ac:dyDescent="0.3">
      <c r="A266">
        <v>2022</v>
      </c>
      <c r="B266">
        <v>9</v>
      </c>
      <c r="C266" s="105" t="s">
        <v>45</v>
      </c>
      <c r="D266" s="105" t="s">
        <v>23</v>
      </c>
      <c r="E266">
        <v>50</v>
      </c>
      <c r="F266" s="1">
        <v>47649.47</v>
      </c>
    </row>
    <row r="267" spans="1:6" hidden="1" x14ac:dyDescent="0.3">
      <c r="A267">
        <v>2022</v>
      </c>
      <c r="B267">
        <v>9</v>
      </c>
      <c r="C267" s="105" t="s">
        <v>45</v>
      </c>
      <c r="D267" s="105" t="s">
        <v>24</v>
      </c>
      <c r="E267">
        <v>61</v>
      </c>
      <c r="F267" s="1">
        <v>40521.919999999998</v>
      </c>
    </row>
    <row r="268" spans="1:6" hidden="1" x14ac:dyDescent="0.3">
      <c r="A268">
        <v>2022</v>
      </c>
      <c r="B268">
        <v>9</v>
      </c>
      <c r="C268" s="105" t="s">
        <v>45</v>
      </c>
      <c r="D268" s="105" t="s">
        <v>25</v>
      </c>
      <c r="E268">
        <v>113</v>
      </c>
      <c r="F268" s="1">
        <v>88245.19</v>
      </c>
    </row>
    <row r="269" spans="1:6" hidden="1" x14ac:dyDescent="0.3">
      <c r="A269">
        <v>2022</v>
      </c>
      <c r="B269">
        <v>9</v>
      </c>
      <c r="C269" s="105" t="s">
        <v>45</v>
      </c>
      <c r="D269" s="105" t="s">
        <v>26</v>
      </c>
      <c r="E269">
        <v>82</v>
      </c>
      <c r="F269" s="1">
        <v>53845.93</v>
      </c>
    </row>
    <row r="270" spans="1:6" hidden="1" x14ac:dyDescent="0.3">
      <c r="A270">
        <v>2022</v>
      </c>
      <c r="B270">
        <v>9</v>
      </c>
      <c r="C270" s="105" t="s">
        <v>45</v>
      </c>
      <c r="D270" s="105" t="s">
        <v>27</v>
      </c>
      <c r="E270">
        <v>70</v>
      </c>
      <c r="F270" s="1">
        <v>54941.08</v>
      </c>
    </row>
    <row r="271" spans="1:6" hidden="1" x14ac:dyDescent="0.3">
      <c r="A271">
        <v>2022</v>
      </c>
      <c r="B271">
        <v>9</v>
      </c>
      <c r="C271" s="105" t="s">
        <v>45</v>
      </c>
      <c r="D271" s="105" t="s">
        <v>28</v>
      </c>
      <c r="E271">
        <v>25</v>
      </c>
      <c r="F271" s="1">
        <v>17198.07</v>
      </c>
    </row>
    <row r="272" spans="1:6" hidden="1" x14ac:dyDescent="0.3">
      <c r="A272">
        <v>2022</v>
      </c>
      <c r="B272">
        <v>9</v>
      </c>
      <c r="C272" s="105" t="s">
        <v>45</v>
      </c>
      <c r="D272" s="105" t="s">
        <v>29</v>
      </c>
      <c r="E272">
        <v>132</v>
      </c>
      <c r="F272" s="1">
        <v>101690.34</v>
      </c>
    </row>
    <row r="273" spans="1:6" hidden="1" x14ac:dyDescent="0.3">
      <c r="A273">
        <v>2022</v>
      </c>
      <c r="B273">
        <v>9</v>
      </c>
      <c r="C273" s="105" t="s">
        <v>45</v>
      </c>
      <c r="D273" s="105" t="s">
        <v>30</v>
      </c>
      <c r="E273">
        <v>32</v>
      </c>
      <c r="F273" s="1">
        <v>24883.79</v>
      </c>
    </row>
    <row r="274" spans="1:6" hidden="1" x14ac:dyDescent="0.3">
      <c r="A274">
        <v>2022</v>
      </c>
      <c r="B274">
        <v>9</v>
      </c>
      <c r="C274" s="105" t="s">
        <v>45</v>
      </c>
      <c r="D274" s="105" t="s">
        <v>31</v>
      </c>
      <c r="E274">
        <v>234</v>
      </c>
      <c r="F274" s="1">
        <v>187738.87</v>
      </c>
    </row>
    <row r="275" spans="1:6" hidden="1" x14ac:dyDescent="0.3">
      <c r="A275">
        <v>2022</v>
      </c>
      <c r="B275">
        <v>9</v>
      </c>
      <c r="C275" s="105" t="s">
        <v>45</v>
      </c>
      <c r="D275" s="105" t="s">
        <v>32</v>
      </c>
      <c r="E275">
        <v>73</v>
      </c>
      <c r="F275" s="1">
        <v>56302.96</v>
      </c>
    </row>
    <row r="276" spans="1:6" hidden="1" x14ac:dyDescent="0.3">
      <c r="A276">
        <v>2022</v>
      </c>
      <c r="B276">
        <v>9</v>
      </c>
      <c r="C276" s="105" t="s">
        <v>45</v>
      </c>
      <c r="D276" s="105" t="s">
        <v>33</v>
      </c>
      <c r="E276">
        <v>279</v>
      </c>
      <c r="F276" s="1">
        <v>241034.99</v>
      </c>
    </row>
    <row r="277" spans="1:6" hidden="1" x14ac:dyDescent="0.3">
      <c r="A277">
        <v>2022</v>
      </c>
      <c r="B277">
        <v>9</v>
      </c>
      <c r="C277" s="105" t="s">
        <v>45</v>
      </c>
      <c r="D277" s="105" t="s">
        <v>34</v>
      </c>
      <c r="E277">
        <v>170</v>
      </c>
      <c r="F277" s="1">
        <v>125598.1</v>
      </c>
    </row>
    <row r="278" spans="1:6" hidden="1" x14ac:dyDescent="0.3">
      <c r="A278">
        <v>2022</v>
      </c>
      <c r="B278">
        <v>9</v>
      </c>
      <c r="C278" s="105" t="s">
        <v>45</v>
      </c>
      <c r="D278" s="105" t="s">
        <v>35</v>
      </c>
      <c r="E278">
        <v>100</v>
      </c>
      <c r="F278" s="1">
        <v>74782.97</v>
      </c>
    </row>
    <row r="279" spans="1:6" hidden="1" x14ac:dyDescent="0.3">
      <c r="A279">
        <v>2022</v>
      </c>
      <c r="B279">
        <v>9</v>
      </c>
      <c r="C279" s="105" t="s">
        <v>45</v>
      </c>
      <c r="D279" s="105" t="s">
        <v>36</v>
      </c>
      <c r="E279">
        <v>87</v>
      </c>
      <c r="F279" s="1">
        <v>68982.33</v>
      </c>
    </row>
    <row r="280" spans="1:6" hidden="1" x14ac:dyDescent="0.3">
      <c r="A280">
        <v>2022</v>
      </c>
      <c r="B280">
        <v>9</v>
      </c>
      <c r="C280" s="105" t="s">
        <v>45</v>
      </c>
      <c r="D280" s="105" t="s">
        <v>37</v>
      </c>
      <c r="E280">
        <v>123</v>
      </c>
      <c r="F280" s="1">
        <v>91574.16</v>
      </c>
    </row>
    <row r="281" spans="1:6" hidden="1" x14ac:dyDescent="0.3">
      <c r="A281">
        <v>2022</v>
      </c>
      <c r="B281">
        <v>10</v>
      </c>
      <c r="C281" s="105" t="s">
        <v>46</v>
      </c>
      <c r="D281" s="105" t="s">
        <v>7</v>
      </c>
      <c r="E281">
        <v>62</v>
      </c>
      <c r="F281" s="1">
        <v>46742.04</v>
      </c>
    </row>
    <row r="282" spans="1:6" hidden="1" x14ac:dyDescent="0.3">
      <c r="A282">
        <v>2022</v>
      </c>
      <c r="B282">
        <v>10</v>
      </c>
      <c r="C282" s="105" t="s">
        <v>46</v>
      </c>
      <c r="D282" s="105" t="s">
        <v>8</v>
      </c>
      <c r="E282">
        <v>36</v>
      </c>
      <c r="F282" s="1">
        <v>24265.78</v>
      </c>
    </row>
    <row r="283" spans="1:6" hidden="1" x14ac:dyDescent="0.3">
      <c r="A283">
        <v>2022</v>
      </c>
      <c r="B283">
        <v>10</v>
      </c>
      <c r="C283" s="105" t="s">
        <v>46</v>
      </c>
      <c r="D283" s="105" t="s">
        <v>9</v>
      </c>
      <c r="E283">
        <v>16</v>
      </c>
      <c r="F283" s="1">
        <v>13625.12</v>
      </c>
    </row>
    <row r="284" spans="1:6" hidden="1" x14ac:dyDescent="0.3">
      <c r="A284">
        <v>2022</v>
      </c>
      <c r="B284">
        <v>10</v>
      </c>
      <c r="C284" s="105" t="s">
        <v>46</v>
      </c>
      <c r="D284" s="105" t="s">
        <v>10</v>
      </c>
      <c r="E284">
        <v>96</v>
      </c>
      <c r="F284" s="1">
        <v>90381.84</v>
      </c>
    </row>
    <row r="285" spans="1:6" hidden="1" x14ac:dyDescent="0.3">
      <c r="A285">
        <v>2022</v>
      </c>
      <c r="B285">
        <v>10</v>
      </c>
      <c r="C285" s="105" t="s">
        <v>46</v>
      </c>
      <c r="D285" s="105" t="s">
        <v>11</v>
      </c>
      <c r="E285">
        <v>77</v>
      </c>
      <c r="F285" s="1">
        <v>63337.69</v>
      </c>
    </row>
    <row r="286" spans="1:6" hidden="1" x14ac:dyDescent="0.3">
      <c r="A286">
        <v>2022</v>
      </c>
      <c r="B286">
        <v>10</v>
      </c>
      <c r="C286" s="105" t="s">
        <v>46</v>
      </c>
      <c r="D286" s="105" t="s">
        <v>12</v>
      </c>
      <c r="E286">
        <v>146</v>
      </c>
      <c r="F286" s="1">
        <v>109256.17</v>
      </c>
    </row>
    <row r="287" spans="1:6" hidden="1" x14ac:dyDescent="0.3">
      <c r="A287">
        <v>2022</v>
      </c>
      <c r="B287">
        <v>10</v>
      </c>
      <c r="C287" s="105" t="s">
        <v>46</v>
      </c>
      <c r="D287" s="105" t="s">
        <v>13</v>
      </c>
      <c r="E287">
        <v>144</v>
      </c>
      <c r="F287" s="1">
        <v>103305.93</v>
      </c>
    </row>
    <row r="288" spans="1:6" hidden="1" x14ac:dyDescent="0.3">
      <c r="A288">
        <v>2022</v>
      </c>
      <c r="B288">
        <v>10</v>
      </c>
      <c r="C288" s="105" t="s">
        <v>46</v>
      </c>
      <c r="D288" s="105" t="s">
        <v>14</v>
      </c>
      <c r="E288">
        <v>46</v>
      </c>
      <c r="F288" s="1">
        <v>30079.91</v>
      </c>
    </row>
    <row r="289" spans="1:6" hidden="1" x14ac:dyDescent="0.3">
      <c r="A289">
        <v>2022</v>
      </c>
      <c r="B289">
        <v>10</v>
      </c>
      <c r="C289" s="105" t="s">
        <v>46</v>
      </c>
      <c r="D289" s="105" t="s">
        <v>15</v>
      </c>
      <c r="E289">
        <v>22</v>
      </c>
      <c r="F289" s="1">
        <v>15344.29</v>
      </c>
    </row>
    <row r="290" spans="1:6" hidden="1" x14ac:dyDescent="0.3">
      <c r="A290">
        <v>2022</v>
      </c>
      <c r="B290">
        <v>10</v>
      </c>
      <c r="C290" s="105" t="s">
        <v>46</v>
      </c>
      <c r="D290" s="105" t="s">
        <v>16</v>
      </c>
      <c r="E290">
        <v>47</v>
      </c>
      <c r="F290" s="1">
        <v>32069.97</v>
      </c>
    </row>
    <row r="291" spans="1:6" hidden="1" x14ac:dyDescent="0.3">
      <c r="A291">
        <v>2022</v>
      </c>
      <c r="B291">
        <v>10</v>
      </c>
      <c r="C291" s="105" t="s">
        <v>46</v>
      </c>
      <c r="D291" s="105" t="s">
        <v>17</v>
      </c>
      <c r="E291">
        <v>241</v>
      </c>
      <c r="F291" s="1">
        <v>181384.57</v>
      </c>
    </row>
    <row r="292" spans="1:6" hidden="1" x14ac:dyDescent="0.3">
      <c r="A292">
        <v>2022</v>
      </c>
      <c r="B292">
        <v>10</v>
      </c>
      <c r="C292" s="105" t="s">
        <v>46</v>
      </c>
      <c r="D292" s="105" t="s">
        <v>18</v>
      </c>
      <c r="E292">
        <v>161</v>
      </c>
      <c r="F292" s="1">
        <v>136088.21</v>
      </c>
    </row>
    <row r="293" spans="1:6" hidden="1" x14ac:dyDescent="0.3">
      <c r="A293">
        <v>2022</v>
      </c>
      <c r="B293">
        <v>10</v>
      </c>
      <c r="C293" s="105" t="s">
        <v>46</v>
      </c>
      <c r="D293" s="105" t="s">
        <v>19</v>
      </c>
      <c r="E293">
        <v>20</v>
      </c>
      <c r="F293" s="1">
        <v>15919.84</v>
      </c>
    </row>
    <row r="294" spans="1:6" hidden="1" x14ac:dyDescent="0.3">
      <c r="A294">
        <v>2022</v>
      </c>
      <c r="B294">
        <v>10</v>
      </c>
      <c r="C294" s="105" t="s">
        <v>46</v>
      </c>
      <c r="D294" s="105" t="s">
        <v>20</v>
      </c>
      <c r="E294">
        <v>92</v>
      </c>
      <c r="F294" s="1">
        <v>67863.820000000007</v>
      </c>
    </row>
    <row r="295" spans="1:6" hidden="1" x14ac:dyDescent="0.3">
      <c r="A295">
        <v>2022</v>
      </c>
      <c r="B295">
        <v>10</v>
      </c>
      <c r="C295" s="105" t="s">
        <v>46</v>
      </c>
      <c r="D295" s="105" t="s">
        <v>21</v>
      </c>
      <c r="E295">
        <v>133</v>
      </c>
      <c r="F295" s="1">
        <v>119842.79</v>
      </c>
    </row>
    <row r="296" spans="1:6" x14ac:dyDescent="0.3">
      <c r="A296">
        <v>2022</v>
      </c>
      <c r="B296">
        <v>10</v>
      </c>
      <c r="C296" s="105" t="s">
        <v>46</v>
      </c>
      <c r="D296" s="105" t="s">
        <v>22</v>
      </c>
      <c r="E296">
        <v>35</v>
      </c>
      <c r="F296" s="1">
        <v>26240.13</v>
      </c>
    </row>
    <row r="297" spans="1:6" hidden="1" x14ac:dyDescent="0.3">
      <c r="A297">
        <v>2022</v>
      </c>
      <c r="B297">
        <v>10</v>
      </c>
      <c r="C297" s="105" t="s">
        <v>46</v>
      </c>
      <c r="D297" s="105" t="s">
        <v>23</v>
      </c>
      <c r="E297">
        <v>42</v>
      </c>
      <c r="F297" s="1">
        <v>39469.879999999997</v>
      </c>
    </row>
    <row r="298" spans="1:6" hidden="1" x14ac:dyDescent="0.3">
      <c r="A298">
        <v>2022</v>
      </c>
      <c r="B298">
        <v>10</v>
      </c>
      <c r="C298" s="105" t="s">
        <v>46</v>
      </c>
      <c r="D298" s="105" t="s">
        <v>24</v>
      </c>
      <c r="E298">
        <v>39</v>
      </c>
      <c r="F298" s="1">
        <v>26392.29</v>
      </c>
    </row>
    <row r="299" spans="1:6" hidden="1" x14ac:dyDescent="0.3">
      <c r="A299">
        <v>2022</v>
      </c>
      <c r="B299">
        <v>10</v>
      </c>
      <c r="C299" s="105" t="s">
        <v>46</v>
      </c>
      <c r="D299" s="105" t="s">
        <v>25</v>
      </c>
      <c r="E299">
        <v>74</v>
      </c>
      <c r="F299" s="1">
        <v>68313.41</v>
      </c>
    </row>
    <row r="300" spans="1:6" hidden="1" x14ac:dyDescent="0.3">
      <c r="A300">
        <v>2022</v>
      </c>
      <c r="B300">
        <v>10</v>
      </c>
      <c r="C300" s="105" t="s">
        <v>46</v>
      </c>
      <c r="D300" s="105" t="s">
        <v>26</v>
      </c>
      <c r="E300">
        <v>46</v>
      </c>
      <c r="F300" s="1">
        <v>35360.42</v>
      </c>
    </row>
    <row r="301" spans="1:6" hidden="1" x14ac:dyDescent="0.3">
      <c r="A301">
        <v>2022</v>
      </c>
      <c r="B301">
        <v>10</v>
      </c>
      <c r="C301" s="105" t="s">
        <v>46</v>
      </c>
      <c r="D301" s="105" t="s">
        <v>27</v>
      </c>
      <c r="E301">
        <v>55</v>
      </c>
      <c r="F301" s="1">
        <v>47017.07</v>
      </c>
    </row>
    <row r="302" spans="1:6" hidden="1" x14ac:dyDescent="0.3">
      <c r="A302">
        <v>2022</v>
      </c>
      <c r="B302">
        <v>10</v>
      </c>
      <c r="C302" s="105" t="s">
        <v>46</v>
      </c>
      <c r="D302" s="105" t="s">
        <v>28</v>
      </c>
      <c r="E302">
        <v>18</v>
      </c>
      <c r="F302" s="1">
        <v>13418.94</v>
      </c>
    </row>
    <row r="303" spans="1:6" hidden="1" x14ac:dyDescent="0.3">
      <c r="A303">
        <v>2022</v>
      </c>
      <c r="B303">
        <v>10</v>
      </c>
      <c r="C303" s="105" t="s">
        <v>46</v>
      </c>
      <c r="D303" s="105" t="s">
        <v>29</v>
      </c>
      <c r="E303">
        <v>83</v>
      </c>
      <c r="F303" s="1">
        <v>68654.47</v>
      </c>
    </row>
    <row r="304" spans="1:6" hidden="1" x14ac:dyDescent="0.3">
      <c r="A304">
        <v>2022</v>
      </c>
      <c r="B304">
        <v>10</v>
      </c>
      <c r="C304" s="105" t="s">
        <v>46</v>
      </c>
      <c r="D304" s="105" t="s">
        <v>30</v>
      </c>
      <c r="E304">
        <v>22</v>
      </c>
      <c r="F304" s="1">
        <v>18689.53</v>
      </c>
    </row>
    <row r="305" spans="1:6" hidden="1" x14ac:dyDescent="0.3">
      <c r="A305">
        <v>2022</v>
      </c>
      <c r="B305">
        <v>10</v>
      </c>
      <c r="C305" s="105" t="s">
        <v>46</v>
      </c>
      <c r="D305" s="105" t="s">
        <v>31</v>
      </c>
      <c r="E305">
        <v>200</v>
      </c>
      <c r="F305" s="1">
        <v>173199.35999999999</v>
      </c>
    </row>
    <row r="306" spans="1:6" hidden="1" x14ac:dyDescent="0.3">
      <c r="A306">
        <v>2022</v>
      </c>
      <c r="B306">
        <v>10</v>
      </c>
      <c r="C306" s="105" t="s">
        <v>46</v>
      </c>
      <c r="D306" s="105" t="s">
        <v>32</v>
      </c>
      <c r="E306">
        <v>43</v>
      </c>
      <c r="F306" s="1">
        <v>36315.550000000003</v>
      </c>
    </row>
    <row r="307" spans="1:6" hidden="1" x14ac:dyDescent="0.3">
      <c r="A307">
        <v>2022</v>
      </c>
      <c r="B307">
        <v>10</v>
      </c>
      <c r="C307" s="105" t="s">
        <v>46</v>
      </c>
      <c r="D307" s="105" t="s">
        <v>33</v>
      </c>
      <c r="E307">
        <v>269</v>
      </c>
      <c r="F307" s="1">
        <v>242767.3</v>
      </c>
    </row>
    <row r="308" spans="1:6" hidden="1" x14ac:dyDescent="0.3">
      <c r="A308">
        <v>2022</v>
      </c>
      <c r="B308">
        <v>10</v>
      </c>
      <c r="C308" s="105" t="s">
        <v>46</v>
      </c>
      <c r="D308" s="105" t="s">
        <v>34</v>
      </c>
      <c r="E308">
        <v>118</v>
      </c>
      <c r="F308" s="1">
        <v>94970.74</v>
      </c>
    </row>
    <row r="309" spans="1:6" hidden="1" x14ac:dyDescent="0.3">
      <c r="A309">
        <v>2022</v>
      </c>
      <c r="B309">
        <v>10</v>
      </c>
      <c r="C309" s="105" t="s">
        <v>46</v>
      </c>
      <c r="D309" s="105" t="s">
        <v>35</v>
      </c>
      <c r="E309">
        <v>85</v>
      </c>
      <c r="F309" s="1">
        <v>72616.05</v>
      </c>
    </row>
    <row r="310" spans="1:6" hidden="1" x14ac:dyDescent="0.3">
      <c r="A310">
        <v>2022</v>
      </c>
      <c r="B310">
        <v>10</v>
      </c>
      <c r="C310" s="105" t="s">
        <v>46</v>
      </c>
      <c r="D310" s="105" t="s">
        <v>36</v>
      </c>
      <c r="E310">
        <v>88</v>
      </c>
      <c r="F310" s="1">
        <v>72006.19</v>
      </c>
    </row>
    <row r="311" spans="1:6" hidden="1" x14ac:dyDescent="0.3">
      <c r="A311">
        <v>2022</v>
      </c>
      <c r="B311">
        <v>10</v>
      </c>
      <c r="C311" s="105" t="s">
        <v>46</v>
      </c>
      <c r="D311" s="105" t="s">
        <v>37</v>
      </c>
      <c r="E311">
        <v>118</v>
      </c>
      <c r="F311" s="1">
        <v>93850.69</v>
      </c>
    </row>
    <row r="312" spans="1:6" hidden="1" x14ac:dyDescent="0.3">
      <c r="A312">
        <v>2022</v>
      </c>
      <c r="B312">
        <v>11</v>
      </c>
      <c r="C312" s="105" t="s">
        <v>47</v>
      </c>
      <c r="D312" s="105" t="s">
        <v>7</v>
      </c>
      <c r="E312">
        <v>36</v>
      </c>
      <c r="F312" s="1">
        <v>32816.660000000003</v>
      </c>
    </row>
    <row r="313" spans="1:6" hidden="1" x14ac:dyDescent="0.3">
      <c r="A313">
        <v>2022</v>
      </c>
      <c r="B313">
        <v>11</v>
      </c>
      <c r="C313" s="105" t="s">
        <v>47</v>
      </c>
      <c r="D313" s="105" t="s">
        <v>8</v>
      </c>
      <c r="E313">
        <v>50</v>
      </c>
      <c r="F313" s="1">
        <v>32932.74</v>
      </c>
    </row>
    <row r="314" spans="1:6" hidden="1" x14ac:dyDescent="0.3">
      <c r="A314">
        <v>2022</v>
      </c>
      <c r="B314">
        <v>11</v>
      </c>
      <c r="C314" s="105" t="s">
        <v>47</v>
      </c>
      <c r="D314" s="105" t="s">
        <v>9</v>
      </c>
      <c r="E314">
        <v>16</v>
      </c>
      <c r="F314" s="1">
        <v>12787.16</v>
      </c>
    </row>
    <row r="315" spans="1:6" hidden="1" x14ac:dyDescent="0.3">
      <c r="A315">
        <v>2022</v>
      </c>
      <c r="B315">
        <v>11</v>
      </c>
      <c r="C315" s="105" t="s">
        <v>47</v>
      </c>
      <c r="D315" s="105" t="s">
        <v>10</v>
      </c>
      <c r="E315">
        <v>72</v>
      </c>
      <c r="F315" s="1">
        <v>73002.69</v>
      </c>
    </row>
    <row r="316" spans="1:6" hidden="1" x14ac:dyDescent="0.3">
      <c r="A316">
        <v>2022</v>
      </c>
      <c r="B316">
        <v>11</v>
      </c>
      <c r="C316" s="105" t="s">
        <v>47</v>
      </c>
      <c r="D316" s="105" t="s">
        <v>11</v>
      </c>
      <c r="E316">
        <v>45</v>
      </c>
      <c r="F316" s="1">
        <v>39824.980000000003</v>
      </c>
    </row>
    <row r="317" spans="1:6" hidden="1" x14ac:dyDescent="0.3">
      <c r="A317">
        <v>2022</v>
      </c>
      <c r="B317">
        <v>11</v>
      </c>
      <c r="C317" s="105" t="s">
        <v>47</v>
      </c>
      <c r="D317" s="105" t="s">
        <v>12</v>
      </c>
      <c r="E317">
        <v>81</v>
      </c>
      <c r="F317" s="1">
        <v>67538.429999999993</v>
      </c>
    </row>
    <row r="318" spans="1:6" hidden="1" x14ac:dyDescent="0.3">
      <c r="A318">
        <v>2022</v>
      </c>
      <c r="B318">
        <v>11</v>
      </c>
      <c r="C318" s="105" t="s">
        <v>47</v>
      </c>
      <c r="D318" s="105" t="s">
        <v>13</v>
      </c>
      <c r="E318">
        <v>129</v>
      </c>
      <c r="F318" s="1">
        <v>103711.43</v>
      </c>
    </row>
    <row r="319" spans="1:6" hidden="1" x14ac:dyDescent="0.3">
      <c r="A319">
        <v>2022</v>
      </c>
      <c r="B319">
        <v>11</v>
      </c>
      <c r="C319" s="105" t="s">
        <v>47</v>
      </c>
      <c r="D319" s="105" t="s">
        <v>14</v>
      </c>
      <c r="E319">
        <v>39</v>
      </c>
      <c r="F319" s="1">
        <v>26595.8</v>
      </c>
    </row>
    <row r="320" spans="1:6" hidden="1" x14ac:dyDescent="0.3">
      <c r="A320">
        <v>2022</v>
      </c>
      <c r="B320">
        <v>11</v>
      </c>
      <c r="C320" s="105" t="s">
        <v>47</v>
      </c>
      <c r="D320" s="105" t="s">
        <v>15</v>
      </c>
      <c r="E320">
        <v>32</v>
      </c>
      <c r="F320" s="1">
        <v>25738.76</v>
      </c>
    </row>
    <row r="321" spans="1:6" hidden="1" x14ac:dyDescent="0.3">
      <c r="A321">
        <v>2022</v>
      </c>
      <c r="B321">
        <v>11</v>
      </c>
      <c r="C321" s="105" t="s">
        <v>47</v>
      </c>
      <c r="D321" s="105" t="s">
        <v>16</v>
      </c>
      <c r="E321">
        <v>24</v>
      </c>
      <c r="F321" s="1">
        <v>18931.650000000001</v>
      </c>
    </row>
    <row r="322" spans="1:6" hidden="1" x14ac:dyDescent="0.3">
      <c r="A322">
        <v>2022</v>
      </c>
      <c r="B322">
        <v>11</v>
      </c>
      <c r="C322" s="105" t="s">
        <v>47</v>
      </c>
      <c r="D322" s="105" t="s">
        <v>17</v>
      </c>
      <c r="E322">
        <v>121</v>
      </c>
      <c r="F322" s="1">
        <v>100285.92</v>
      </c>
    </row>
    <row r="323" spans="1:6" hidden="1" x14ac:dyDescent="0.3">
      <c r="A323">
        <v>2022</v>
      </c>
      <c r="B323">
        <v>11</v>
      </c>
      <c r="C323" s="105" t="s">
        <v>47</v>
      </c>
      <c r="D323" s="105" t="s">
        <v>18</v>
      </c>
      <c r="E323">
        <v>107</v>
      </c>
      <c r="F323" s="1">
        <v>100991.43</v>
      </c>
    </row>
    <row r="324" spans="1:6" hidden="1" x14ac:dyDescent="0.3">
      <c r="A324">
        <v>2022</v>
      </c>
      <c r="B324">
        <v>11</v>
      </c>
      <c r="C324" s="105" t="s">
        <v>47</v>
      </c>
      <c r="D324" s="105" t="s">
        <v>19</v>
      </c>
      <c r="E324">
        <v>20</v>
      </c>
      <c r="F324" s="1">
        <v>14694.41</v>
      </c>
    </row>
    <row r="325" spans="1:6" hidden="1" x14ac:dyDescent="0.3">
      <c r="A325">
        <v>2022</v>
      </c>
      <c r="B325">
        <v>11</v>
      </c>
      <c r="C325" s="105" t="s">
        <v>47</v>
      </c>
      <c r="D325" s="105" t="s">
        <v>20</v>
      </c>
      <c r="E325">
        <v>58</v>
      </c>
      <c r="F325" s="1">
        <v>45496.73</v>
      </c>
    </row>
    <row r="326" spans="1:6" hidden="1" x14ac:dyDescent="0.3">
      <c r="A326">
        <v>2022</v>
      </c>
      <c r="B326">
        <v>11</v>
      </c>
      <c r="C326" s="105" t="s">
        <v>47</v>
      </c>
      <c r="D326" s="105" t="s">
        <v>21</v>
      </c>
      <c r="E326">
        <v>102</v>
      </c>
      <c r="F326" s="1">
        <v>97151.94</v>
      </c>
    </row>
    <row r="327" spans="1:6" x14ac:dyDescent="0.3">
      <c r="A327">
        <v>2022</v>
      </c>
      <c r="B327">
        <v>11</v>
      </c>
      <c r="C327" s="105" t="s">
        <v>47</v>
      </c>
      <c r="D327" s="105" t="s">
        <v>22</v>
      </c>
      <c r="E327">
        <v>38</v>
      </c>
      <c r="F327" s="1">
        <v>25083.78</v>
      </c>
    </row>
    <row r="328" spans="1:6" hidden="1" x14ac:dyDescent="0.3">
      <c r="A328">
        <v>2022</v>
      </c>
      <c r="B328">
        <v>11</v>
      </c>
      <c r="C328" s="105" t="s">
        <v>47</v>
      </c>
      <c r="D328" s="105" t="s">
        <v>23</v>
      </c>
      <c r="E328">
        <v>20</v>
      </c>
      <c r="F328" s="1">
        <v>19780.3</v>
      </c>
    </row>
    <row r="329" spans="1:6" hidden="1" x14ac:dyDescent="0.3">
      <c r="A329">
        <v>2022</v>
      </c>
      <c r="B329">
        <v>11</v>
      </c>
      <c r="C329" s="105" t="s">
        <v>47</v>
      </c>
      <c r="D329" s="105" t="s">
        <v>24</v>
      </c>
      <c r="E329">
        <v>68</v>
      </c>
      <c r="F329" s="1">
        <v>53078.36</v>
      </c>
    </row>
    <row r="330" spans="1:6" hidden="1" x14ac:dyDescent="0.3">
      <c r="A330">
        <v>2022</v>
      </c>
      <c r="B330">
        <v>11</v>
      </c>
      <c r="C330" s="105" t="s">
        <v>47</v>
      </c>
      <c r="D330" s="105" t="s">
        <v>25</v>
      </c>
      <c r="E330">
        <v>71</v>
      </c>
      <c r="F330" s="1">
        <v>58747.07</v>
      </c>
    </row>
    <row r="331" spans="1:6" hidden="1" x14ac:dyDescent="0.3">
      <c r="A331">
        <v>2022</v>
      </c>
      <c r="B331">
        <v>11</v>
      </c>
      <c r="C331" s="105" t="s">
        <v>47</v>
      </c>
      <c r="D331" s="105" t="s">
        <v>26</v>
      </c>
      <c r="E331">
        <v>35</v>
      </c>
      <c r="F331" s="1">
        <v>30936.74</v>
      </c>
    </row>
    <row r="332" spans="1:6" hidden="1" x14ac:dyDescent="0.3">
      <c r="A332">
        <v>2022</v>
      </c>
      <c r="B332">
        <v>11</v>
      </c>
      <c r="C332" s="105" t="s">
        <v>47</v>
      </c>
      <c r="D332" s="105" t="s">
        <v>27</v>
      </c>
      <c r="E332">
        <v>42</v>
      </c>
      <c r="F332" s="1">
        <v>35891.410000000003</v>
      </c>
    </row>
    <row r="333" spans="1:6" hidden="1" x14ac:dyDescent="0.3">
      <c r="A333">
        <v>2022</v>
      </c>
      <c r="B333">
        <v>11</v>
      </c>
      <c r="C333" s="105" t="s">
        <v>47</v>
      </c>
      <c r="D333" s="105" t="s">
        <v>28</v>
      </c>
      <c r="E333">
        <v>12</v>
      </c>
      <c r="F333" s="1">
        <v>9936.3700000000008</v>
      </c>
    </row>
    <row r="334" spans="1:6" hidden="1" x14ac:dyDescent="0.3">
      <c r="A334">
        <v>2022</v>
      </c>
      <c r="B334">
        <v>11</v>
      </c>
      <c r="C334" s="105" t="s">
        <v>47</v>
      </c>
      <c r="D334" s="105" t="s">
        <v>29</v>
      </c>
      <c r="E334">
        <v>64</v>
      </c>
      <c r="F334" s="1">
        <v>55675.37</v>
      </c>
    </row>
    <row r="335" spans="1:6" hidden="1" x14ac:dyDescent="0.3">
      <c r="A335">
        <v>2022</v>
      </c>
      <c r="B335">
        <v>11</v>
      </c>
      <c r="C335" s="105" t="s">
        <v>47</v>
      </c>
      <c r="D335" s="105" t="s">
        <v>30</v>
      </c>
      <c r="E335">
        <v>25</v>
      </c>
      <c r="F335" s="1">
        <v>19369.97</v>
      </c>
    </row>
    <row r="336" spans="1:6" hidden="1" x14ac:dyDescent="0.3">
      <c r="A336">
        <v>2022</v>
      </c>
      <c r="B336">
        <v>11</v>
      </c>
      <c r="C336" s="105" t="s">
        <v>47</v>
      </c>
      <c r="D336" s="105" t="s">
        <v>31</v>
      </c>
      <c r="E336">
        <v>141</v>
      </c>
      <c r="F336" s="1">
        <v>118979.63</v>
      </c>
    </row>
    <row r="337" spans="1:6" hidden="1" x14ac:dyDescent="0.3">
      <c r="A337">
        <v>2022</v>
      </c>
      <c r="B337">
        <v>11</v>
      </c>
      <c r="C337" s="105" t="s">
        <v>47</v>
      </c>
      <c r="D337" s="105" t="s">
        <v>32</v>
      </c>
      <c r="E337">
        <v>25</v>
      </c>
      <c r="F337" s="1">
        <v>23568.87</v>
      </c>
    </row>
    <row r="338" spans="1:6" hidden="1" x14ac:dyDescent="0.3">
      <c r="A338">
        <v>2022</v>
      </c>
      <c r="B338">
        <v>11</v>
      </c>
      <c r="C338" s="105" t="s">
        <v>47</v>
      </c>
      <c r="D338" s="105" t="s">
        <v>33</v>
      </c>
      <c r="E338">
        <v>165</v>
      </c>
      <c r="F338" s="1">
        <v>153592.18</v>
      </c>
    </row>
    <row r="339" spans="1:6" hidden="1" x14ac:dyDescent="0.3">
      <c r="A339">
        <v>2022</v>
      </c>
      <c r="B339">
        <v>11</v>
      </c>
      <c r="C339" s="105" t="s">
        <v>47</v>
      </c>
      <c r="D339" s="105" t="s">
        <v>34</v>
      </c>
      <c r="E339">
        <v>73</v>
      </c>
      <c r="F339" s="1">
        <v>79168.91</v>
      </c>
    </row>
    <row r="340" spans="1:6" hidden="1" x14ac:dyDescent="0.3">
      <c r="A340">
        <v>2022</v>
      </c>
      <c r="B340">
        <v>11</v>
      </c>
      <c r="C340" s="105" t="s">
        <v>47</v>
      </c>
      <c r="D340" s="105" t="s">
        <v>35</v>
      </c>
      <c r="E340">
        <v>58</v>
      </c>
      <c r="F340" s="1">
        <v>47133.13</v>
      </c>
    </row>
    <row r="341" spans="1:6" hidden="1" x14ac:dyDescent="0.3">
      <c r="A341">
        <v>2022</v>
      </c>
      <c r="B341">
        <v>11</v>
      </c>
      <c r="C341" s="105" t="s">
        <v>47</v>
      </c>
      <c r="D341" s="105" t="s">
        <v>36</v>
      </c>
      <c r="E341">
        <v>65</v>
      </c>
      <c r="F341" s="1">
        <v>55650.44</v>
      </c>
    </row>
    <row r="342" spans="1:6" hidden="1" x14ac:dyDescent="0.3">
      <c r="A342">
        <v>2022</v>
      </c>
      <c r="B342">
        <v>11</v>
      </c>
      <c r="C342" s="105" t="s">
        <v>47</v>
      </c>
      <c r="D342" s="105" t="s">
        <v>37</v>
      </c>
      <c r="E342">
        <v>75</v>
      </c>
      <c r="F342" s="1">
        <v>64486.89</v>
      </c>
    </row>
    <row r="343" spans="1:6" hidden="1" x14ac:dyDescent="0.3">
      <c r="A343">
        <v>2022</v>
      </c>
      <c r="B343">
        <v>12</v>
      </c>
      <c r="C343" s="105" t="s">
        <v>48</v>
      </c>
      <c r="D343" s="105" t="s">
        <v>7</v>
      </c>
      <c r="E343">
        <v>12</v>
      </c>
      <c r="F343" s="1">
        <v>10769.82</v>
      </c>
    </row>
    <row r="344" spans="1:6" hidden="1" x14ac:dyDescent="0.3">
      <c r="A344">
        <v>2022</v>
      </c>
      <c r="B344">
        <v>12</v>
      </c>
      <c r="C344" s="105" t="s">
        <v>48</v>
      </c>
      <c r="D344" s="105" t="s">
        <v>8</v>
      </c>
      <c r="E344">
        <v>26</v>
      </c>
      <c r="F344" s="1">
        <v>22429.13</v>
      </c>
    </row>
    <row r="345" spans="1:6" hidden="1" x14ac:dyDescent="0.3">
      <c r="A345">
        <v>2022</v>
      </c>
      <c r="B345">
        <v>12</v>
      </c>
      <c r="C345" s="105" t="s">
        <v>48</v>
      </c>
      <c r="D345" s="105" t="s">
        <v>9</v>
      </c>
      <c r="E345">
        <v>6</v>
      </c>
      <c r="F345" s="1">
        <v>5589.47</v>
      </c>
    </row>
    <row r="346" spans="1:6" hidden="1" x14ac:dyDescent="0.3">
      <c r="A346">
        <v>2022</v>
      </c>
      <c r="B346">
        <v>12</v>
      </c>
      <c r="C346" s="105" t="s">
        <v>48</v>
      </c>
      <c r="D346" s="105" t="s">
        <v>10</v>
      </c>
      <c r="E346">
        <v>38</v>
      </c>
      <c r="F346" s="1">
        <v>38822.25</v>
      </c>
    </row>
    <row r="347" spans="1:6" hidden="1" x14ac:dyDescent="0.3">
      <c r="A347">
        <v>2022</v>
      </c>
      <c r="B347">
        <v>12</v>
      </c>
      <c r="C347" s="105" t="s">
        <v>48</v>
      </c>
      <c r="D347" s="105" t="s">
        <v>11</v>
      </c>
      <c r="E347">
        <v>25</v>
      </c>
      <c r="F347" s="1">
        <v>22361.599999999999</v>
      </c>
    </row>
    <row r="348" spans="1:6" hidden="1" x14ac:dyDescent="0.3">
      <c r="A348">
        <v>2022</v>
      </c>
      <c r="B348">
        <v>12</v>
      </c>
      <c r="C348" s="105" t="s">
        <v>48</v>
      </c>
      <c r="D348" s="105" t="s">
        <v>12</v>
      </c>
      <c r="E348">
        <v>33</v>
      </c>
      <c r="F348" s="1">
        <v>28196.07</v>
      </c>
    </row>
    <row r="349" spans="1:6" hidden="1" x14ac:dyDescent="0.3">
      <c r="A349">
        <v>2022</v>
      </c>
      <c r="B349">
        <v>12</v>
      </c>
      <c r="C349" s="105" t="s">
        <v>48</v>
      </c>
      <c r="D349" s="105" t="s">
        <v>13</v>
      </c>
      <c r="E349">
        <v>51</v>
      </c>
      <c r="F349" s="1">
        <v>41330.080000000002</v>
      </c>
    </row>
    <row r="350" spans="1:6" hidden="1" x14ac:dyDescent="0.3">
      <c r="A350">
        <v>2022</v>
      </c>
      <c r="B350">
        <v>12</v>
      </c>
      <c r="C350" s="105" t="s">
        <v>48</v>
      </c>
      <c r="D350" s="105" t="s">
        <v>14</v>
      </c>
      <c r="E350">
        <v>40</v>
      </c>
      <c r="F350" s="1">
        <v>26310.43</v>
      </c>
    </row>
    <row r="351" spans="1:6" hidden="1" x14ac:dyDescent="0.3">
      <c r="A351">
        <v>2022</v>
      </c>
      <c r="B351">
        <v>12</v>
      </c>
      <c r="C351" s="105" t="s">
        <v>48</v>
      </c>
      <c r="D351" s="105" t="s">
        <v>15</v>
      </c>
      <c r="E351">
        <v>13</v>
      </c>
      <c r="F351" s="1">
        <v>10731.2</v>
      </c>
    </row>
    <row r="352" spans="1:6" hidden="1" x14ac:dyDescent="0.3">
      <c r="A352">
        <v>2022</v>
      </c>
      <c r="B352">
        <v>12</v>
      </c>
      <c r="C352" s="105" t="s">
        <v>48</v>
      </c>
      <c r="D352" s="105" t="s">
        <v>16</v>
      </c>
      <c r="E352">
        <v>17</v>
      </c>
      <c r="F352" s="1">
        <v>15240.52</v>
      </c>
    </row>
    <row r="353" spans="1:6" hidden="1" x14ac:dyDescent="0.3">
      <c r="A353">
        <v>2022</v>
      </c>
      <c r="B353">
        <v>12</v>
      </c>
      <c r="C353" s="105" t="s">
        <v>48</v>
      </c>
      <c r="D353" s="105" t="s">
        <v>17</v>
      </c>
      <c r="E353">
        <v>49</v>
      </c>
      <c r="F353" s="1">
        <v>45432.78</v>
      </c>
    </row>
    <row r="354" spans="1:6" hidden="1" x14ac:dyDescent="0.3">
      <c r="A354">
        <v>2022</v>
      </c>
      <c r="B354">
        <v>12</v>
      </c>
      <c r="C354" s="105" t="s">
        <v>48</v>
      </c>
      <c r="D354" s="105" t="s">
        <v>18</v>
      </c>
      <c r="E354">
        <v>69</v>
      </c>
      <c r="F354" s="1">
        <v>65274.64</v>
      </c>
    </row>
    <row r="355" spans="1:6" hidden="1" x14ac:dyDescent="0.3">
      <c r="A355">
        <v>2022</v>
      </c>
      <c r="B355">
        <v>12</v>
      </c>
      <c r="C355" s="105" t="s">
        <v>48</v>
      </c>
      <c r="D355" s="105" t="s">
        <v>19</v>
      </c>
      <c r="E355">
        <v>16</v>
      </c>
      <c r="F355" s="1">
        <v>10129.27</v>
      </c>
    </row>
    <row r="356" spans="1:6" hidden="1" x14ac:dyDescent="0.3">
      <c r="A356">
        <v>2022</v>
      </c>
      <c r="B356">
        <v>12</v>
      </c>
      <c r="C356" s="105" t="s">
        <v>48</v>
      </c>
      <c r="D356" s="105" t="s">
        <v>20</v>
      </c>
      <c r="E356">
        <v>33</v>
      </c>
      <c r="F356" s="1">
        <v>28822.87</v>
      </c>
    </row>
    <row r="357" spans="1:6" hidden="1" x14ac:dyDescent="0.3">
      <c r="A357">
        <v>2022</v>
      </c>
      <c r="B357">
        <v>12</v>
      </c>
      <c r="C357" s="105" t="s">
        <v>48</v>
      </c>
      <c r="D357" s="105" t="s">
        <v>21</v>
      </c>
      <c r="E357">
        <v>59</v>
      </c>
      <c r="F357" s="1">
        <v>62070.51</v>
      </c>
    </row>
    <row r="358" spans="1:6" x14ac:dyDescent="0.3">
      <c r="A358">
        <v>2022</v>
      </c>
      <c r="B358">
        <v>12</v>
      </c>
      <c r="C358" s="105" t="s">
        <v>48</v>
      </c>
      <c r="D358" s="105" t="s">
        <v>22</v>
      </c>
      <c r="E358">
        <v>17</v>
      </c>
      <c r="F358" s="1">
        <v>11429.82</v>
      </c>
    </row>
    <row r="359" spans="1:6" hidden="1" x14ac:dyDescent="0.3">
      <c r="A359">
        <v>2022</v>
      </c>
      <c r="B359">
        <v>12</v>
      </c>
      <c r="C359" s="105" t="s">
        <v>48</v>
      </c>
      <c r="D359" s="105" t="s">
        <v>23</v>
      </c>
      <c r="E359">
        <v>6</v>
      </c>
      <c r="F359" s="1">
        <v>7450.36</v>
      </c>
    </row>
    <row r="360" spans="1:6" hidden="1" x14ac:dyDescent="0.3">
      <c r="A360">
        <v>2022</v>
      </c>
      <c r="B360">
        <v>12</v>
      </c>
      <c r="C360" s="105" t="s">
        <v>48</v>
      </c>
      <c r="D360" s="105" t="s">
        <v>24</v>
      </c>
      <c r="E360">
        <v>40</v>
      </c>
      <c r="F360" s="1">
        <v>29196.53</v>
      </c>
    </row>
    <row r="361" spans="1:6" hidden="1" x14ac:dyDescent="0.3">
      <c r="A361">
        <v>2022</v>
      </c>
      <c r="B361">
        <v>12</v>
      </c>
      <c r="C361" s="105" t="s">
        <v>48</v>
      </c>
      <c r="D361" s="105" t="s">
        <v>25</v>
      </c>
      <c r="E361">
        <v>40</v>
      </c>
      <c r="F361" s="1">
        <v>37250.74</v>
      </c>
    </row>
    <row r="362" spans="1:6" hidden="1" x14ac:dyDescent="0.3">
      <c r="A362">
        <v>2022</v>
      </c>
      <c r="B362">
        <v>12</v>
      </c>
      <c r="C362" s="105" t="s">
        <v>48</v>
      </c>
      <c r="D362" s="105" t="s">
        <v>26</v>
      </c>
      <c r="E362">
        <v>16</v>
      </c>
      <c r="F362" s="1">
        <v>15542.75</v>
      </c>
    </row>
    <row r="363" spans="1:6" hidden="1" x14ac:dyDescent="0.3">
      <c r="A363">
        <v>2022</v>
      </c>
      <c r="B363">
        <v>12</v>
      </c>
      <c r="C363" s="105" t="s">
        <v>48</v>
      </c>
      <c r="D363" s="105" t="s">
        <v>27</v>
      </c>
      <c r="E363">
        <v>25</v>
      </c>
      <c r="F363" s="1">
        <v>20157.189999999999</v>
      </c>
    </row>
    <row r="364" spans="1:6" hidden="1" x14ac:dyDescent="0.3">
      <c r="A364">
        <v>2022</v>
      </c>
      <c r="B364">
        <v>12</v>
      </c>
      <c r="C364" s="105" t="s">
        <v>48</v>
      </c>
      <c r="D364" s="105" t="s">
        <v>28</v>
      </c>
      <c r="E364">
        <v>5</v>
      </c>
      <c r="F364" s="1">
        <v>4118.24</v>
      </c>
    </row>
    <row r="365" spans="1:6" hidden="1" x14ac:dyDescent="0.3">
      <c r="A365">
        <v>2022</v>
      </c>
      <c r="B365">
        <v>12</v>
      </c>
      <c r="C365" s="105" t="s">
        <v>48</v>
      </c>
      <c r="D365" s="105" t="s">
        <v>29</v>
      </c>
      <c r="E365">
        <v>36</v>
      </c>
      <c r="F365" s="1">
        <v>36977.71</v>
      </c>
    </row>
    <row r="366" spans="1:6" hidden="1" x14ac:dyDescent="0.3">
      <c r="A366">
        <v>2022</v>
      </c>
      <c r="B366">
        <v>12</v>
      </c>
      <c r="C366" s="105" t="s">
        <v>48</v>
      </c>
      <c r="D366" s="105" t="s">
        <v>30</v>
      </c>
      <c r="E366">
        <v>19</v>
      </c>
      <c r="F366" s="1">
        <v>12981.07</v>
      </c>
    </row>
    <row r="367" spans="1:6" hidden="1" x14ac:dyDescent="0.3">
      <c r="A367">
        <v>2022</v>
      </c>
      <c r="B367">
        <v>12</v>
      </c>
      <c r="C367" s="105" t="s">
        <v>48</v>
      </c>
      <c r="D367" s="105" t="s">
        <v>31</v>
      </c>
      <c r="E367">
        <v>78</v>
      </c>
      <c r="F367" s="1">
        <v>71750.490000000005</v>
      </c>
    </row>
    <row r="368" spans="1:6" hidden="1" x14ac:dyDescent="0.3">
      <c r="A368">
        <v>2022</v>
      </c>
      <c r="B368">
        <v>12</v>
      </c>
      <c r="C368" s="105" t="s">
        <v>48</v>
      </c>
      <c r="D368" s="105" t="s">
        <v>32</v>
      </c>
      <c r="E368">
        <v>5</v>
      </c>
      <c r="F368" s="1">
        <v>5189.26</v>
      </c>
    </row>
    <row r="369" spans="1:6" hidden="1" x14ac:dyDescent="0.3">
      <c r="A369">
        <v>2022</v>
      </c>
      <c r="B369">
        <v>12</v>
      </c>
      <c r="C369" s="105" t="s">
        <v>48</v>
      </c>
      <c r="D369" s="105" t="s">
        <v>33</v>
      </c>
      <c r="E369">
        <v>99</v>
      </c>
      <c r="F369" s="1">
        <v>92246.11</v>
      </c>
    </row>
    <row r="370" spans="1:6" hidden="1" x14ac:dyDescent="0.3">
      <c r="A370">
        <v>2022</v>
      </c>
      <c r="B370">
        <v>12</v>
      </c>
      <c r="C370" s="105" t="s">
        <v>48</v>
      </c>
      <c r="D370" s="105" t="s">
        <v>34</v>
      </c>
      <c r="E370">
        <v>41</v>
      </c>
      <c r="F370" s="1">
        <v>38206.660000000003</v>
      </c>
    </row>
    <row r="371" spans="1:6" hidden="1" x14ac:dyDescent="0.3">
      <c r="A371">
        <v>2022</v>
      </c>
      <c r="B371">
        <v>12</v>
      </c>
      <c r="C371" s="105" t="s">
        <v>48</v>
      </c>
      <c r="D371" s="105" t="s">
        <v>35</v>
      </c>
      <c r="E371">
        <v>29</v>
      </c>
      <c r="F371" s="1">
        <v>26298.07</v>
      </c>
    </row>
    <row r="372" spans="1:6" hidden="1" x14ac:dyDescent="0.3">
      <c r="A372">
        <v>2022</v>
      </c>
      <c r="B372">
        <v>12</v>
      </c>
      <c r="C372" s="105" t="s">
        <v>48</v>
      </c>
      <c r="D372" s="105" t="s">
        <v>36</v>
      </c>
      <c r="E372">
        <v>34</v>
      </c>
      <c r="F372" s="1">
        <v>30275.24</v>
      </c>
    </row>
    <row r="373" spans="1:6" hidden="1" x14ac:dyDescent="0.3">
      <c r="A373">
        <v>2022</v>
      </c>
      <c r="B373">
        <v>12</v>
      </c>
      <c r="C373" s="105" t="s">
        <v>48</v>
      </c>
      <c r="D373" s="105" t="s">
        <v>37</v>
      </c>
      <c r="E373">
        <v>30</v>
      </c>
      <c r="F373" s="1">
        <v>27682.67</v>
      </c>
    </row>
    <row r="374" spans="1:6" hidden="1" x14ac:dyDescent="0.3">
      <c r="A374">
        <v>2023</v>
      </c>
      <c r="B374">
        <v>1</v>
      </c>
      <c r="C374" s="105" t="s">
        <v>6</v>
      </c>
      <c r="D374" s="105" t="s">
        <v>7</v>
      </c>
      <c r="E374">
        <v>12</v>
      </c>
      <c r="F374" s="1">
        <v>11583.78</v>
      </c>
    </row>
    <row r="375" spans="1:6" hidden="1" x14ac:dyDescent="0.3">
      <c r="A375">
        <v>2023</v>
      </c>
      <c r="B375">
        <v>1</v>
      </c>
      <c r="C375" s="105" t="s">
        <v>6</v>
      </c>
      <c r="D375" s="105" t="s">
        <v>8</v>
      </c>
      <c r="E375">
        <v>29</v>
      </c>
      <c r="F375" s="1">
        <v>18809.22</v>
      </c>
    </row>
    <row r="376" spans="1:6" hidden="1" x14ac:dyDescent="0.3">
      <c r="A376">
        <v>2023</v>
      </c>
      <c r="B376">
        <v>1</v>
      </c>
      <c r="C376" s="105" t="s">
        <v>6</v>
      </c>
      <c r="D376" s="105" t="s">
        <v>9</v>
      </c>
      <c r="E376">
        <v>6</v>
      </c>
      <c r="F376" s="1">
        <v>5340.57</v>
      </c>
    </row>
    <row r="377" spans="1:6" hidden="1" x14ac:dyDescent="0.3">
      <c r="A377">
        <v>2023</v>
      </c>
      <c r="B377">
        <v>1</v>
      </c>
      <c r="C377" s="105" t="s">
        <v>6</v>
      </c>
      <c r="D377" s="105" t="s">
        <v>10</v>
      </c>
      <c r="E377">
        <v>41</v>
      </c>
      <c r="F377" s="1">
        <v>44027.92</v>
      </c>
    </row>
    <row r="378" spans="1:6" hidden="1" x14ac:dyDescent="0.3">
      <c r="A378">
        <v>2023</v>
      </c>
      <c r="B378">
        <v>1</v>
      </c>
      <c r="C378" s="105" t="s">
        <v>6</v>
      </c>
      <c r="D378" s="105" t="s">
        <v>11</v>
      </c>
      <c r="E378">
        <v>35</v>
      </c>
      <c r="F378" s="1">
        <v>30162.14</v>
      </c>
    </row>
    <row r="379" spans="1:6" hidden="1" x14ac:dyDescent="0.3">
      <c r="A379">
        <v>2023</v>
      </c>
      <c r="B379">
        <v>1</v>
      </c>
      <c r="C379" s="105" t="s">
        <v>6</v>
      </c>
      <c r="D379" s="105" t="s">
        <v>12</v>
      </c>
      <c r="E379">
        <v>30</v>
      </c>
      <c r="F379" s="1">
        <v>24605.51</v>
      </c>
    </row>
    <row r="380" spans="1:6" hidden="1" x14ac:dyDescent="0.3">
      <c r="A380">
        <v>2023</v>
      </c>
      <c r="B380">
        <v>1</v>
      </c>
      <c r="C380" s="105" t="s">
        <v>6</v>
      </c>
      <c r="D380" s="105" t="s">
        <v>13</v>
      </c>
      <c r="E380">
        <v>28</v>
      </c>
      <c r="F380" s="1">
        <v>23553.51</v>
      </c>
    </row>
    <row r="381" spans="1:6" hidden="1" x14ac:dyDescent="0.3">
      <c r="A381">
        <v>2023</v>
      </c>
      <c r="B381">
        <v>1</v>
      </c>
      <c r="C381" s="105" t="s">
        <v>6</v>
      </c>
      <c r="D381" s="105" t="s">
        <v>14</v>
      </c>
      <c r="E381">
        <v>41</v>
      </c>
      <c r="F381" s="1">
        <v>27335.46</v>
      </c>
    </row>
    <row r="382" spans="1:6" hidden="1" x14ac:dyDescent="0.3">
      <c r="A382">
        <v>2023</v>
      </c>
      <c r="B382">
        <v>1</v>
      </c>
      <c r="C382" s="105" t="s">
        <v>6</v>
      </c>
      <c r="D382" s="105" t="s">
        <v>15</v>
      </c>
      <c r="E382">
        <v>20</v>
      </c>
      <c r="F382" s="1">
        <v>15090.72</v>
      </c>
    </row>
    <row r="383" spans="1:6" hidden="1" x14ac:dyDescent="0.3">
      <c r="A383">
        <v>2023</v>
      </c>
      <c r="B383">
        <v>1</v>
      </c>
      <c r="C383" s="105" t="s">
        <v>6</v>
      </c>
      <c r="D383" s="105" t="s">
        <v>16</v>
      </c>
      <c r="E383">
        <v>13</v>
      </c>
      <c r="F383" s="1">
        <v>10922.02</v>
      </c>
    </row>
    <row r="384" spans="1:6" hidden="1" x14ac:dyDescent="0.3">
      <c r="A384">
        <v>2023</v>
      </c>
      <c r="B384">
        <v>1</v>
      </c>
      <c r="C384" s="105" t="s">
        <v>6</v>
      </c>
      <c r="D384" s="105" t="s">
        <v>17</v>
      </c>
      <c r="E384">
        <v>43</v>
      </c>
      <c r="F384" s="1">
        <v>34142.86</v>
      </c>
    </row>
    <row r="385" spans="1:6" hidden="1" x14ac:dyDescent="0.3">
      <c r="A385">
        <v>2023</v>
      </c>
      <c r="B385">
        <v>1</v>
      </c>
      <c r="C385" s="105" t="s">
        <v>6</v>
      </c>
      <c r="D385" s="105" t="s">
        <v>18</v>
      </c>
      <c r="E385">
        <v>57</v>
      </c>
      <c r="F385" s="1">
        <v>56139.99</v>
      </c>
    </row>
    <row r="386" spans="1:6" hidden="1" x14ac:dyDescent="0.3">
      <c r="A386">
        <v>2023</v>
      </c>
      <c r="B386">
        <v>1</v>
      </c>
      <c r="C386" s="105" t="s">
        <v>6</v>
      </c>
      <c r="D386" s="105" t="s">
        <v>19</v>
      </c>
      <c r="E386">
        <v>13</v>
      </c>
      <c r="F386" s="1">
        <v>9529.1</v>
      </c>
    </row>
    <row r="387" spans="1:6" hidden="1" x14ac:dyDescent="0.3">
      <c r="A387">
        <v>2023</v>
      </c>
      <c r="B387">
        <v>1</v>
      </c>
      <c r="C387" s="105" t="s">
        <v>6</v>
      </c>
      <c r="D387" s="105" t="s">
        <v>20</v>
      </c>
      <c r="E387">
        <v>34</v>
      </c>
      <c r="F387" s="1">
        <v>26085.59</v>
      </c>
    </row>
    <row r="388" spans="1:6" hidden="1" x14ac:dyDescent="0.3">
      <c r="A388">
        <v>2023</v>
      </c>
      <c r="B388">
        <v>1</v>
      </c>
      <c r="C388" s="105" t="s">
        <v>6</v>
      </c>
      <c r="D388" s="105" t="s">
        <v>21</v>
      </c>
      <c r="E388">
        <v>58</v>
      </c>
      <c r="F388" s="1">
        <v>56335.48</v>
      </c>
    </row>
    <row r="389" spans="1:6" x14ac:dyDescent="0.3">
      <c r="A389">
        <v>2023</v>
      </c>
      <c r="B389">
        <v>1</v>
      </c>
      <c r="C389" s="105" t="s">
        <v>6</v>
      </c>
      <c r="D389" s="105" t="s">
        <v>22</v>
      </c>
      <c r="E389">
        <v>18</v>
      </c>
      <c r="F389" s="1">
        <v>12118.5</v>
      </c>
    </row>
    <row r="390" spans="1:6" hidden="1" x14ac:dyDescent="0.3">
      <c r="A390">
        <v>2023</v>
      </c>
      <c r="B390">
        <v>1</v>
      </c>
      <c r="C390" s="105" t="s">
        <v>6</v>
      </c>
      <c r="D390" s="105" t="s">
        <v>23</v>
      </c>
      <c r="E390">
        <v>9</v>
      </c>
      <c r="F390" s="1">
        <v>8994.6299999999992</v>
      </c>
    </row>
    <row r="391" spans="1:6" hidden="1" x14ac:dyDescent="0.3">
      <c r="A391">
        <v>2023</v>
      </c>
      <c r="B391">
        <v>1</v>
      </c>
      <c r="C391" s="105" t="s">
        <v>6</v>
      </c>
      <c r="D391" s="105" t="s">
        <v>24</v>
      </c>
      <c r="E391">
        <v>35</v>
      </c>
      <c r="F391" s="1">
        <v>27386.18</v>
      </c>
    </row>
    <row r="392" spans="1:6" hidden="1" x14ac:dyDescent="0.3">
      <c r="A392">
        <v>2023</v>
      </c>
      <c r="B392">
        <v>1</v>
      </c>
      <c r="C392" s="105" t="s">
        <v>6</v>
      </c>
      <c r="D392" s="105" t="s">
        <v>25</v>
      </c>
      <c r="E392">
        <v>49</v>
      </c>
      <c r="F392" s="1">
        <v>45552.08</v>
      </c>
    </row>
    <row r="393" spans="1:6" hidden="1" x14ac:dyDescent="0.3">
      <c r="A393">
        <v>2023</v>
      </c>
      <c r="B393">
        <v>1</v>
      </c>
      <c r="C393" s="105" t="s">
        <v>6</v>
      </c>
      <c r="D393" s="105" t="s">
        <v>26</v>
      </c>
      <c r="E393">
        <v>16</v>
      </c>
      <c r="F393" s="1">
        <v>15358.19</v>
      </c>
    </row>
    <row r="394" spans="1:6" hidden="1" x14ac:dyDescent="0.3">
      <c r="A394">
        <v>2023</v>
      </c>
      <c r="B394">
        <v>1</v>
      </c>
      <c r="C394" s="105" t="s">
        <v>6</v>
      </c>
      <c r="D394" s="105" t="s">
        <v>27</v>
      </c>
      <c r="E394">
        <v>28</v>
      </c>
      <c r="F394" s="1">
        <v>23845.85</v>
      </c>
    </row>
    <row r="395" spans="1:6" hidden="1" x14ac:dyDescent="0.3">
      <c r="A395">
        <v>2023</v>
      </c>
      <c r="B395">
        <v>1</v>
      </c>
      <c r="C395" s="105" t="s">
        <v>6</v>
      </c>
      <c r="D395" s="105" t="s">
        <v>28</v>
      </c>
      <c r="E395">
        <v>8</v>
      </c>
      <c r="F395" s="1">
        <v>5485.29</v>
      </c>
    </row>
    <row r="396" spans="1:6" hidden="1" x14ac:dyDescent="0.3">
      <c r="A396">
        <v>2023</v>
      </c>
      <c r="B396">
        <v>1</v>
      </c>
      <c r="C396" s="105" t="s">
        <v>6</v>
      </c>
      <c r="D396" s="105" t="s">
        <v>29</v>
      </c>
      <c r="E396">
        <v>37</v>
      </c>
      <c r="F396" s="1">
        <v>36496.39</v>
      </c>
    </row>
    <row r="397" spans="1:6" hidden="1" x14ac:dyDescent="0.3">
      <c r="A397">
        <v>2023</v>
      </c>
      <c r="B397">
        <v>1</v>
      </c>
      <c r="C397" s="105" t="s">
        <v>6</v>
      </c>
      <c r="D397" s="105" t="s">
        <v>30</v>
      </c>
      <c r="E397">
        <v>19</v>
      </c>
      <c r="F397" s="1">
        <v>14327.67</v>
      </c>
    </row>
    <row r="398" spans="1:6" hidden="1" x14ac:dyDescent="0.3">
      <c r="A398">
        <v>2023</v>
      </c>
      <c r="B398">
        <v>1</v>
      </c>
      <c r="C398" s="105" t="s">
        <v>6</v>
      </c>
      <c r="D398" s="105" t="s">
        <v>31</v>
      </c>
      <c r="E398">
        <v>63</v>
      </c>
      <c r="F398" s="1">
        <v>56286.07</v>
      </c>
    </row>
    <row r="399" spans="1:6" hidden="1" x14ac:dyDescent="0.3">
      <c r="A399">
        <v>2023</v>
      </c>
      <c r="B399">
        <v>1</v>
      </c>
      <c r="C399" s="105" t="s">
        <v>6</v>
      </c>
      <c r="D399" s="105" t="s">
        <v>32</v>
      </c>
      <c r="E399">
        <v>17</v>
      </c>
      <c r="F399" s="1">
        <v>17009.259999999998</v>
      </c>
    </row>
    <row r="400" spans="1:6" hidden="1" x14ac:dyDescent="0.3">
      <c r="A400">
        <v>2023</v>
      </c>
      <c r="B400">
        <v>1</v>
      </c>
      <c r="C400" s="105" t="s">
        <v>6</v>
      </c>
      <c r="D400" s="105" t="s">
        <v>33</v>
      </c>
      <c r="E400">
        <v>96</v>
      </c>
      <c r="F400" s="1">
        <v>93626.79</v>
      </c>
    </row>
    <row r="401" spans="1:6" hidden="1" x14ac:dyDescent="0.3">
      <c r="A401">
        <v>2023</v>
      </c>
      <c r="B401">
        <v>1</v>
      </c>
      <c r="C401" s="105" t="s">
        <v>6</v>
      </c>
      <c r="D401" s="105" t="s">
        <v>34</v>
      </c>
      <c r="E401">
        <v>38</v>
      </c>
      <c r="F401" s="1">
        <v>36188.49</v>
      </c>
    </row>
    <row r="402" spans="1:6" hidden="1" x14ac:dyDescent="0.3">
      <c r="A402">
        <v>2023</v>
      </c>
      <c r="B402">
        <v>1</v>
      </c>
      <c r="C402" s="105" t="s">
        <v>6</v>
      </c>
      <c r="D402" s="105" t="s">
        <v>35</v>
      </c>
      <c r="E402">
        <v>32</v>
      </c>
      <c r="F402" s="1">
        <v>25863.52</v>
      </c>
    </row>
    <row r="403" spans="1:6" hidden="1" x14ac:dyDescent="0.3">
      <c r="A403">
        <v>2023</v>
      </c>
      <c r="B403">
        <v>1</v>
      </c>
      <c r="C403" s="105" t="s">
        <v>6</v>
      </c>
      <c r="D403" s="105" t="s">
        <v>36</v>
      </c>
      <c r="E403">
        <v>30</v>
      </c>
      <c r="F403" s="1">
        <v>23087.86</v>
      </c>
    </row>
    <row r="404" spans="1:6" hidden="1" x14ac:dyDescent="0.3">
      <c r="A404">
        <v>2023</v>
      </c>
      <c r="B404">
        <v>1</v>
      </c>
      <c r="C404" s="105" t="s">
        <v>6</v>
      </c>
      <c r="D404" s="105" t="s">
        <v>37</v>
      </c>
      <c r="E404">
        <v>44</v>
      </c>
      <c r="F404" s="1">
        <v>44001.85</v>
      </c>
    </row>
    <row r="405" spans="1:6" hidden="1" x14ac:dyDescent="0.3">
      <c r="A405">
        <v>2023</v>
      </c>
      <c r="B405">
        <v>2</v>
      </c>
      <c r="C405" s="105" t="s">
        <v>38</v>
      </c>
      <c r="D405" s="105" t="s">
        <v>7</v>
      </c>
      <c r="E405">
        <v>13</v>
      </c>
      <c r="F405" s="1">
        <v>12924.48</v>
      </c>
    </row>
    <row r="406" spans="1:6" hidden="1" x14ac:dyDescent="0.3">
      <c r="A406">
        <v>2023</v>
      </c>
      <c r="B406">
        <v>2</v>
      </c>
      <c r="C406" s="105" t="s">
        <v>38</v>
      </c>
      <c r="D406" s="105" t="s">
        <v>8</v>
      </c>
      <c r="E406">
        <v>44</v>
      </c>
      <c r="F406" s="1">
        <v>32906.35</v>
      </c>
    </row>
    <row r="407" spans="1:6" hidden="1" x14ac:dyDescent="0.3">
      <c r="A407">
        <v>2023</v>
      </c>
      <c r="B407">
        <v>2</v>
      </c>
      <c r="C407" s="105" t="s">
        <v>38</v>
      </c>
      <c r="D407" s="105" t="s">
        <v>9</v>
      </c>
      <c r="E407">
        <v>10</v>
      </c>
      <c r="F407" s="1">
        <v>7658.05</v>
      </c>
    </row>
    <row r="408" spans="1:6" hidden="1" x14ac:dyDescent="0.3">
      <c r="A408">
        <v>2023</v>
      </c>
      <c r="B408">
        <v>2</v>
      </c>
      <c r="C408" s="105" t="s">
        <v>38</v>
      </c>
      <c r="D408" s="105" t="s">
        <v>10</v>
      </c>
      <c r="E408">
        <v>41</v>
      </c>
      <c r="F408" s="1">
        <v>43028.28</v>
      </c>
    </row>
    <row r="409" spans="1:6" hidden="1" x14ac:dyDescent="0.3">
      <c r="A409">
        <v>2023</v>
      </c>
      <c r="B409">
        <v>2</v>
      </c>
      <c r="C409" s="105" t="s">
        <v>38</v>
      </c>
      <c r="D409" s="105" t="s">
        <v>11</v>
      </c>
      <c r="E409">
        <v>27</v>
      </c>
      <c r="F409" s="1">
        <v>26435.71</v>
      </c>
    </row>
    <row r="410" spans="1:6" hidden="1" x14ac:dyDescent="0.3">
      <c r="A410">
        <v>2023</v>
      </c>
      <c r="B410">
        <v>2</v>
      </c>
      <c r="C410" s="105" t="s">
        <v>38</v>
      </c>
      <c r="D410" s="105" t="s">
        <v>12</v>
      </c>
      <c r="E410">
        <v>30</v>
      </c>
      <c r="F410" s="1">
        <v>25093.61</v>
      </c>
    </row>
    <row r="411" spans="1:6" hidden="1" x14ac:dyDescent="0.3">
      <c r="A411">
        <v>2023</v>
      </c>
      <c r="B411">
        <v>2</v>
      </c>
      <c r="C411" s="105" t="s">
        <v>38</v>
      </c>
      <c r="D411" s="105" t="s">
        <v>13</v>
      </c>
      <c r="E411">
        <v>21</v>
      </c>
      <c r="F411" s="1">
        <v>17644.37</v>
      </c>
    </row>
    <row r="412" spans="1:6" hidden="1" x14ac:dyDescent="0.3">
      <c r="A412">
        <v>2023</v>
      </c>
      <c r="B412">
        <v>2</v>
      </c>
      <c r="C412" s="105" t="s">
        <v>38</v>
      </c>
      <c r="D412" s="105" t="s">
        <v>14</v>
      </c>
      <c r="E412">
        <v>38</v>
      </c>
      <c r="F412" s="1">
        <v>28997.54</v>
      </c>
    </row>
    <row r="413" spans="1:6" hidden="1" x14ac:dyDescent="0.3">
      <c r="A413">
        <v>2023</v>
      </c>
      <c r="B413">
        <v>2</v>
      </c>
      <c r="C413" s="105" t="s">
        <v>38</v>
      </c>
      <c r="D413" s="105" t="s">
        <v>15</v>
      </c>
      <c r="E413">
        <v>23</v>
      </c>
      <c r="F413" s="1">
        <v>16653.71</v>
      </c>
    </row>
    <row r="414" spans="1:6" hidden="1" x14ac:dyDescent="0.3">
      <c r="A414">
        <v>2023</v>
      </c>
      <c r="B414">
        <v>2</v>
      </c>
      <c r="C414" s="105" t="s">
        <v>38</v>
      </c>
      <c r="D414" s="105" t="s">
        <v>16</v>
      </c>
      <c r="E414">
        <v>26</v>
      </c>
      <c r="F414" s="1">
        <v>20978.62</v>
      </c>
    </row>
    <row r="415" spans="1:6" hidden="1" x14ac:dyDescent="0.3">
      <c r="A415">
        <v>2023</v>
      </c>
      <c r="B415">
        <v>2</v>
      </c>
      <c r="C415" s="105" t="s">
        <v>38</v>
      </c>
      <c r="D415" s="105" t="s">
        <v>17</v>
      </c>
      <c r="E415">
        <v>63</v>
      </c>
      <c r="F415" s="1">
        <v>52199.72</v>
      </c>
    </row>
    <row r="416" spans="1:6" hidden="1" x14ac:dyDescent="0.3">
      <c r="A416">
        <v>2023</v>
      </c>
      <c r="B416">
        <v>2</v>
      </c>
      <c r="C416" s="105" t="s">
        <v>38</v>
      </c>
      <c r="D416" s="105" t="s">
        <v>18</v>
      </c>
      <c r="E416">
        <v>66</v>
      </c>
      <c r="F416" s="1">
        <v>60878.879999999997</v>
      </c>
    </row>
    <row r="417" spans="1:6" hidden="1" x14ac:dyDescent="0.3">
      <c r="A417">
        <v>2023</v>
      </c>
      <c r="B417">
        <v>2</v>
      </c>
      <c r="C417" s="105" t="s">
        <v>38</v>
      </c>
      <c r="D417" s="105" t="s">
        <v>19</v>
      </c>
      <c r="E417">
        <v>21</v>
      </c>
      <c r="F417" s="1">
        <v>16760.47</v>
      </c>
    </row>
    <row r="418" spans="1:6" hidden="1" x14ac:dyDescent="0.3">
      <c r="A418">
        <v>2023</v>
      </c>
      <c r="B418">
        <v>2</v>
      </c>
      <c r="C418" s="105" t="s">
        <v>38</v>
      </c>
      <c r="D418" s="105" t="s">
        <v>20</v>
      </c>
      <c r="E418">
        <v>45</v>
      </c>
      <c r="F418" s="1">
        <v>37753.1</v>
      </c>
    </row>
    <row r="419" spans="1:6" hidden="1" x14ac:dyDescent="0.3">
      <c r="A419">
        <v>2023</v>
      </c>
      <c r="B419">
        <v>2</v>
      </c>
      <c r="C419" s="105" t="s">
        <v>38</v>
      </c>
      <c r="D419" s="105" t="s">
        <v>21</v>
      </c>
      <c r="E419">
        <v>50</v>
      </c>
      <c r="F419" s="1">
        <v>52286.87</v>
      </c>
    </row>
    <row r="420" spans="1:6" x14ac:dyDescent="0.3">
      <c r="A420">
        <v>2023</v>
      </c>
      <c r="B420">
        <v>2</v>
      </c>
      <c r="C420" s="105" t="s">
        <v>38</v>
      </c>
      <c r="D420" s="105" t="s">
        <v>22</v>
      </c>
      <c r="E420">
        <v>27</v>
      </c>
      <c r="F420" s="1">
        <v>23779.17</v>
      </c>
    </row>
    <row r="421" spans="1:6" hidden="1" x14ac:dyDescent="0.3">
      <c r="A421">
        <v>2023</v>
      </c>
      <c r="B421">
        <v>2</v>
      </c>
      <c r="C421" s="105" t="s">
        <v>38</v>
      </c>
      <c r="D421" s="105" t="s">
        <v>23</v>
      </c>
      <c r="E421">
        <v>8</v>
      </c>
      <c r="F421" s="1">
        <v>8954.1</v>
      </c>
    </row>
    <row r="422" spans="1:6" hidden="1" x14ac:dyDescent="0.3">
      <c r="A422">
        <v>2023</v>
      </c>
      <c r="B422">
        <v>2</v>
      </c>
      <c r="C422" s="105" t="s">
        <v>38</v>
      </c>
      <c r="D422" s="105" t="s">
        <v>24</v>
      </c>
      <c r="E422">
        <v>51</v>
      </c>
      <c r="F422" s="1">
        <v>38845.370000000003</v>
      </c>
    </row>
    <row r="423" spans="1:6" hidden="1" x14ac:dyDescent="0.3">
      <c r="A423">
        <v>2023</v>
      </c>
      <c r="B423">
        <v>2</v>
      </c>
      <c r="C423" s="105" t="s">
        <v>38</v>
      </c>
      <c r="D423" s="105" t="s">
        <v>25</v>
      </c>
      <c r="E423">
        <v>49</v>
      </c>
      <c r="F423" s="1">
        <v>46589.03</v>
      </c>
    </row>
    <row r="424" spans="1:6" hidden="1" x14ac:dyDescent="0.3">
      <c r="A424">
        <v>2023</v>
      </c>
      <c r="B424">
        <v>2</v>
      </c>
      <c r="C424" s="105" t="s">
        <v>38</v>
      </c>
      <c r="D424" s="105" t="s">
        <v>26</v>
      </c>
      <c r="E424">
        <v>19</v>
      </c>
      <c r="F424" s="1">
        <v>16894.03</v>
      </c>
    </row>
    <row r="425" spans="1:6" hidden="1" x14ac:dyDescent="0.3">
      <c r="A425">
        <v>2023</v>
      </c>
      <c r="B425">
        <v>2</v>
      </c>
      <c r="C425" s="105" t="s">
        <v>38</v>
      </c>
      <c r="D425" s="105" t="s">
        <v>27</v>
      </c>
      <c r="E425">
        <v>39</v>
      </c>
      <c r="F425" s="1">
        <v>33963.120000000003</v>
      </c>
    </row>
    <row r="426" spans="1:6" hidden="1" x14ac:dyDescent="0.3">
      <c r="A426">
        <v>2023</v>
      </c>
      <c r="B426">
        <v>2</v>
      </c>
      <c r="C426" s="105" t="s">
        <v>38</v>
      </c>
      <c r="D426" s="105" t="s">
        <v>28</v>
      </c>
      <c r="E426">
        <v>17</v>
      </c>
      <c r="F426" s="1">
        <v>14032.57</v>
      </c>
    </row>
    <row r="427" spans="1:6" hidden="1" x14ac:dyDescent="0.3">
      <c r="A427">
        <v>2023</v>
      </c>
      <c r="B427">
        <v>2</v>
      </c>
      <c r="C427" s="105" t="s">
        <v>38</v>
      </c>
      <c r="D427" s="105" t="s">
        <v>29</v>
      </c>
      <c r="E427">
        <v>40</v>
      </c>
      <c r="F427" s="1">
        <v>35806.97</v>
      </c>
    </row>
    <row r="428" spans="1:6" hidden="1" x14ac:dyDescent="0.3">
      <c r="A428">
        <v>2023</v>
      </c>
      <c r="B428">
        <v>2</v>
      </c>
      <c r="C428" s="105" t="s">
        <v>38</v>
      </c>
      <c r="D428" s="105" t="s">
        <v>30</v>
      </c>
      <c r="E428">
        <v>46</v>
      </c>
      <c r="F428" s="1">
        <v>34464.15</v>
      </c>
    </row>
    <row r="429" spans="1:6" hidden="1" x14ac:dyDescent="0.3">
      <c r="A429">
        <v>2023</v>
      </c>
      <c r="B429">
        <v>2</v>
      </c>
      <c r="C429" s="105" t="s">
        <v>38</v>
      </c>
      <c r="D429" s="105" t="s">
        <v>31</v>
      </c>
      <c r="E429">
        <v>63</v>
      </c>
      <c r="F429" s="1">
        <v>53346.97</v>
      </c>
    </row>
    <row r="430" spans="1:6" hidden="1" x14ac:dyDescent="0.3">
      <c r="A430">
        <v>2023</v>
      </c>
      <c r="B430">
        <v>2</v>
      </c>
      <c r="C430" s="105" t="s">
        <v>38</v>
      </c>
      <c r="D430" s="105" t="s">
        <v>32</v>
      </c>
      <c r="E430">
        <v>31</v>
      </c>
      <c r="F430" s="1">
        <v>27470.44</v>
      </c>
    </row>
    <row r="431" spans="1:6" hidden="1" x14ac:dyDescent="0.3">
      <c r="A431">
        <v>2023</v>
      </c>
      <c r="B431">
        <v>2</v>
      </c>
      <c r="C431" s="105" t="s">
        <v>38</v>
      </c>
      <c r="D431" s="105" t="s">
        <v>33</v>
      </c>
      <c r="E431">
        <v>119</v>
      </c>
      <c r="F431" s="1">
        <v>117054.29</v>
      </c>
    </row>
    <row r="432" spans="1:6" hidden="1" x14ac:dyDescent="0.3">
      <c r="A432">
        <v>2023</v>
      </c>
      <c r="B432">
        <v>2</v>
      </c>
      <c r="C432" s="105" t="s">
        <v>38</v>
      </c>
      <c r="D432" s="105" t="s">
        <v>34</v>
      </c>
      <c r="E432">
        <v>50</v>
      </c>
      <c r="F432" s="1">
        <v>43778.78</v>
      </c>
    </row>
    <row r="433" spans="1:6" hidden="1" x14ac:dyDescent="0.3">
      <c r="A433">
        <v>2023</v>
      </c>
      <c r="B433">
        <v>2</v>
      </c>
      <c r="C433" s="105" t="s">
        <v>38</v>
      </c>
      <c r="D433" s="105" t="s">
        <v>35</v>
      </c>
      <c r="E433">
        <v>28</v>
      </c>
      <c r="F433" s="1">
        <v>23485.43</v>
      </c>
    </row>
    <row r="434" spans="1:6" hidden="1" x14ac:dyDescent="0.3">
      <c r="A434">
        <v>2023</v>
      </c>
      <c r="B434">
        <v>2</v>
      </c>
      <c r="C434" s="105" t="s">
        <v>38</v>
      </c>
      <c r="D434" s="105" t="s">
        <v>36</v>
      </c>
      <c r="E434">
        <v>41</v>
      </c>
      <c r="F434" s="1">
        <v>33609.65</v>
      </c>
    </row>
    <row r="435" spans="1:6" hidden="1" x14ac:dyDescent="0.3">
      <c r="A435">
        <v>2023</v>
      </c>
      <c r="B435">
        <v>2</v>
      </c>
      <c r="C435" s="105" t="s">
        <v>38</v>
      </c>
      <c r="D435" s="105" t="s">
        <v>37</v>
      </c>
      <c r="E435">
        <v>32</v>
      </c>
      <c r="F435" s="1">
        <v>30472.6</v>
      </c>
    </row>
    <row r="436" spans="1:6" hidden="1" x14ac:dyDescent="0.3">
      <c r="A436">
        <v>2023</v>
      </c>
      <c r="B436">
        <v>3</v>
      </c>
      <c r="C436" s="105" t="s">
        <v>39</v>
      </c>
      <c r="D436" s="105" t="s">
        <v>7</v>
      </c>
      <c r="E436">
        <v>19</v>
      </c>
      <c r="F436" s="1">
        <v>16800.37</v>
      </c>
    </row>
    <row r="437" spans="1:6" hidden="1" x14ac:dyDescent="0.3">
      <c r="A437">
        <v>2023</v>
      </c>
      <c r="B437">
        <v>3</v>
      </c>
      <c r="C437" s="105" t="s">
        <v>39</v>
      </c>
      <c r="D437" s="105" t="s">
        <v>8</v>
      </c>
      <c r="E437">
        <v>54</v>
      </c>
      <c r="F437" s="1">
        <v>39203</v>
      </c>
    </row>
    <row r="438" spans="1:6" hidden="1" x14ac:dyDescent="0.3">
      <c r="A438">
        <v>2023</v>
      </c>
      <c r="B438">
        <v>3</v>
      </c>
      <c r="C438" s="105" t="s">
        <v>39</v>
      </c>
      <c r="D438" s="105" t="s">
        <v>9</v>
      </c>
      <c r="E438">
        <v>14</v>
      </c>
      <c r="F438" s="1">
        <v>10514.71</v>
      </c>
    </row>
    <row r="439" spans="1:6" hidden="1" x14ac:dyDescent="0.3">
      <c r="A439">
        <v>2023</v>
      </c>
      <c r="B439">
        <v>3</v>
      </c>
      <c r="C439" s="105" t="s">
        <v>39</v>
      </c>
      <c r="D439" s="105" t="s">
        <v>10</v>
      </c>
      <c r="E439">
        <v>38</v>
      </c>
      <c r="F439" s="1">
        <v>36782.980000000003</v>
      </c>
    </row>
    <row r="440" spans="1:6" hidden="1" x14ac:dyDescent="0.3">
      <c r="A440">
        <v>2023</v>
      </c>
      <c r="B440">
        <v>3</v>
      </c>
      <c r="C440" s="105" t="s">
        <v>39</v>
      </c>
      <c r="D440" s="105" t="s">
        <v>11</v>
      </c>
      <c r="E440">
        <v>36</v>
      </c>
      <c r="F440" s="1">
        <v>28937.17</v>
      </c>
    </row>
    <row r="441" spans="1:6" hidden="1" x14ac:dyDescent="0.3">
      <c r="A441">
        <v>2023</v>
      </c>
      <c r="B441">
        <v>3</v>
      </c>
      <c r="C441" s="105" t="s">
        <v>39</v>
      </c>
      <c r="D441" s="105" t="s">
        <v>12</v>
      </c>
      <c r="E441">
        <v>42</v>
      </c>
      <c r="F441" s="1">
        <v>31184.95</v>
      </c>
    </row>
    <row r="442" spans="1:6" hidden="1" x14ac:dyDescent="0.3">
      <c r="A442">
        <v>2023</v>
      </c>
      <c r="B442">
        <v>3</v>
      </c>
      <c r="C442" s="105" t="s">
        <v>39</v>
      </c>
      <c r="D442" s="105" t="s">
        <v>13</v>
      </c>
      <c r="E442">
        <v>33</v>
      </c>
      <c r="F442" s="1">
        <v>26856.27</v>
      </c>
    </row>
    <row r="443" spans="1:6" hidden="1" x14ac:dyDescent="0.3">
      <c r="A443">
        <v>2023</v>
      </c>
      <c r="B443">
        <v>3</v>
      </c>
      <c r="C443" s="105" t="s">
        <v>39</v>
      </c>
      <c r="D443" s="105" t="s">
        <v>14</v>
      </c>
      <c r="E443">
        <v>62</v>
      </c>
      <c r="F443" s="1">
        <v>43925.64</v>
      </c>
    </row>
    <row r="444" spans="1:6" hidden="1" x14ac:dyDescent="0.3">
      <c r="A444">
        <v>2023</v>
      </c>
      <c r="B444">
        <v>3</v>
      </c>
      <c r="C444" s="105" t="s">
        <v>39</v>
      </c>
      <c r="D444" s="105" t="s">
        <v>15</v>
      </c>
      <c r="E444">
        <v>14</v>
      </c>
      <c r="F444" s="1">
        <v>10539.45</v>
      </c>
    </row>
    <row r="445" spans="1:6" hidden="1" x14ac:dyDescent="0.3">
      <c r="A445">
        <v>2023</v>
      </c>
      <c r="B445">
        <v>3</v>
      </c>
      <c r="C445" s="105" t="s">
        <v>39</v>
      </c>
      <c r="D445" s="105" t="s">
        <v>16</v>
      </c>
      <c r="E445">
        <v>17</v>
      </c>
      <c r="F445" s="1">
        <v>13472.37</v>
      </c>
    </row>
    <row r="446" spans="1:6" hidden="1" x14ac:dyDescent="0.3">
      <c r="A446">
        <v>2023</v>
      </c>
      <c r="B446">
        <v>3</v>
      </c>
      <c r="C446" s="105" t="s">
        <v>39</v>
      </c>
      <c r="D446" s="105" t="s">
        <v>17</v>
      </c>
      <c r="E446">
        <v>98</v>
      </c>
      <c r="F446" s="1">
        <v>80931.199999999997</v>
      </c>
    </row>
    <row r="447" spans="1:6" hidden="1" x14ac:dyDescent="0.3">
      <c r="A447">
        <v>2023</v>
      </c>
      <c r="B447">
        <v>3</v>
      </c>
      <c r="C447" s="105" t="s">
        <v>39</v>
      </c>
      <c r="D447" s="105" t="s">
        <v>18</v>
      </c>
      <c r="E447">
        <v>64</v>
      </c>
      <c r="F447" s="1">
        <v>55249.36</v>
      </c>
    </row>
    <row r="448" spans="1:6" hidden="1" x14ac:dyDescent="0.3">
      <c r="A448">
        <v>2023</v>
      </c>
      <c r="B448">
        <v>3</v>
      </c>
      <c r="C448" s="105" t="s">
        <v>39</v>
      </c>
      <c r="D448" s="105" t="s">
        <v>19</v>
      </c>
      <c r="E448">
        <v>22</v>
      </c>
      <c r="F448" s="1">
        <v>14844.87</v>
      </c>
    </row>
    <row r="449" spans="1:6" hidden="1" x14ac:dyDescent="0.3">
      <c r="A449">
        <v>2023</v>
      </c>
      <c r="B449">
        <v>3</v>
      </c>
      <c r="C449" s="105" t="s">
        <v>39</v>
      </c>
      <c r="D449" s="105" t="s">
        <v>20</v>
      </c>
      <c r="E449">
        <v>76</v>
      </c>
      <c r="F449" s="1">
        <v>71018.73</v>
      </c>
    </row>
    <row r="450" spans="1:6" hidden="1" x14ac:dyDescent="0.3">
      <c r="A450">
        <v>2023</v>
      </c>
      <c r="B450">
        <v>3</v>
      </c>
      <c r="C450" s="105" t="s">
        <v>39</v>
      </c>
      <c r="D450" s="105" t="s">
        <v>21</v>
      </c>
      <c r="E450">
        <v>77</v>
      </c>
      <c r="F450" s="1">
        <v>73203.03</v>
      </c>
    </row>
    <row r="451" spans="1:6" x14ac:dyDescent="0.3">
      <c r="A451">
        <v>2023</v>
      </c>
      <c r="B451">
        <v>3</v>
      </c>
      <c r="C451" s="105" t="s">
        <v>39</v>
      </c>
      <c r="D451" s="105" t="s">
        <v>22</v>
      </c>
      <c r="E451">
        <v>39</v>
      </c>
      <c r="F451" s="1">
        <v>26289.39</v>
      </c>
    </row>
    <row r="452" spans="1:6" hidden="1" x14ac:dyDescent="0.3">
      <c r="A452">
        <v>2023</v>
      </c>
      <c r="B452">
        <v>3</v>
      </c>
      <c r="C452" s="105" t="s">
        <v>39</v>
      </c>
      <c r="D452" s="105" t="s">
        <v>23</v>
      </c>
      <c r="E452">
        <v>13</v>
      </c>
      <c r="F452" s="1">
        <v>13206</v>
      </c>
    </row>
    <row r="453" spans="1:6" hidden="1" x14ac:dyDescent="0.3">
      <c r="A453">
        <v>2023</v>
      </c>
      <c r="B453">
        <v>3</v>
      </c>
      <c r="C453" s="105" t="s">
        <v>39</v>
      </c>
      <c r="D453" s="105" t="s">
        <v>24</v>
      </c>
      <c r="E453">
        <v>88</v>
      </c>
      <c r="F453" s="1">
        <v>64841.87</v>
      </c>
    </row>
    <row r="454" spans="1:6" hidden="1" x14ac:dyDescent="0.3">
      <c r="A454">
        <v>2023</v>
      </c>
      <c r="B454">
        <v>3</v>
      </c>
      <c r="C454" s="105" t="s">
        <v>39</v>
      </c>
      <c r="D454" s="105" t="s">
        <v>25</v>
      </c>
      <c r="E454">
        <v>89</v>
      </c>
      <c r="F454" s="1">
        <v>78008.800000000003</v>
      </c>
    </row>
    <row r="455" spans="1:6" hidden="1" x14ac:dyDescent="0.3">
      <c r="A455">
        <v>2023</v>
      </c>
      <c r="B455">
        <v>3</v>
      </c>
      <c r="C455" s="105" t="s">
        <v>39</v>
      </c>
      <c r="D455" s="105" t="s">
        <v>26</v>
      </c>
      <c r="E455">
        <v>35</v>
      </c>
      <c r="F455" s="1">
        <v>30733.84</v>
      </c>
    </row>
    <row r="456" spans="1:6" hidden="1" x14ac:dyDescent="0.3">
      <c r="A456">
        <v>2023</v>
      </c>
      <c r="B456">
        <v>3</v>
      </c>
      <c r="C456" s="105" t="s">
        <v>39</v>
      </c>
      <c r="D456" s="105" t="s">
        <v>27</v>
      </c>
      <c r="E456">
        <v>66</v>
      </c>
      <c r="F456" s="1">
        <v>55314.77</v>
      </c>
    </row>
    <row r="457" spans="1:6" hidden="1" x14ac:dyDescent="0.3">
      <c r="A457">
        <v>2023</v>
      </c>
      <c r="B457">
        <v>3</v>
      </c>
      <c r="C457" s="105" t="s">
        <v>39</v>
      </c>
      <c r="D457" s="105" t="s">
        <v>28</v>
      </c>
      <c r="E457">
        <v>26</v>
      </c>
      <c r="F457" s="1">
        <v>19131.12</v>
      </c>
    </row>
    <row r="458" spans="1:6" hidden="1" x14ac:dyDescent="0.3">
      <c r="A458">
        <v>2023</v>
      </c>
      <c r="B458">
        <v>3</v>
      </c>
      <c r="C458" s="105" t="s">
        <v>39</v>
      </c>
      <c r="D458" s="105" t="s">
        <v>29</v>
      </c>
      <c r="E458">
        <v>77</v>
      </c>
      <c r="F458" s="1">
        <v>65567.7</v>
      </c>
    </row>
    <row r="459" spans="1:6" hidden="1" x14ac:dyDescent="0.3">
      <c r="A459">
        <v>2023</v>
      </c>
      <c r="B459">
        <v>3</v>
      </c>
      <c r="C459" s="105" t="s">
        <v>39</v>
      </c>
      <c r="D459" s="105" t="s">
        <v>30</v>
      </c>
      <c r="E459">
        <v>38</v>
      </c>
      <c r="F459" s="1">
        <v>25148.49</v>
      </c>
    </row>
    <row r="460" spans="1:6" hidden="1" x14ac:dyDescent="0.3">
      <c r="A460">
        <v>2023</v>
      </c>
      <c r="B460">
        <v>3</v>
      </c>
      <c r="C460" s="105" t="s">
        <v>39</v>
      </c>
      <c r="D460" s="105" t="s">
        <v>31</v>
      </c>
      <c r="E460">
        <v>127</v>
      </c>
      <c r="F460" s="1">
        <v>112643.93</v>
      </c>
    </row>
    <row r="461" spans="1:6" hidden="1" x14ac:dyDescent="0.3">
      <c r="A461">
        <v>2023</v>
      </c>
      <c r="B461">
        <v>3</v>
      </c>
      <c r="C461" s="105" t="s">
        <v>39</v>
      </c>
      <c r="D461" s="105" t="s">
        <v>32</v>
      </c>
      <c r="E461">
        <v>30</v>
      </c>
      <c r="F461" s="1">
        <v>26053.35</v>
      </c>
    </row>
    <row r="462" spans="1:6" hidden="1" x14ac:dyDescent="0.3">
      <c r="A462">
        <v>2023</v>
      </c>
      <c r="B462">
        <v>3</v>
      </c>
      <c r="C462" s="105" t="s">
        <v>39</v>
      </c>
      <c r="D462" s="105" t="s">
        <v>33</v>
      </c>
      <c r="E462">
        <v>136</v>
      </c>
      <c r="F462" s="1">
        <v>127324.65</v>
      </c>
    </row>
    <row r="463" spans="1:6" hidden="1" x14ac:dyDescent="0.3">
      <c r="A463">
        <v>2023</v>
      </c>
      <c r="B463">
        <v>3</v>
      </c>
      <c r="C463" s="105" t="s">
        <v>39</v>
      </c>
      <c r="D463" s="105" t="s">
        <v>34</v>
      </c>
      <c r="E463">
        <v>59</v>
      </c>
      <c r="F463" s="1">
        <v>51242.559999999998</v>
      </c>
    </row>
    <row r="464" spans="1:6" hidden="1" x14ac:dyDescent="0.3">
      <c r="A464">
        <v>2023</v>
      </c>
      <c r="B464">
        <v>3</v>
      </c>
      <c r="C464" s="105" t="s">
        <v>39</v>
      </c>
      <c r="D464" s="105" t="s">
        <v>35</v>
      </c>
      <c r="E464">
        <v>48</v>
      </c>
      <c r="F464" s="1">
        <v>40379.18</v>
      </c>
    </row>
    <row r="465" spans="1:6" hidden="1" x14ac:dyDescent="0.3">
      <c r="A465">
        <v>2023</v>
      </c>
      <c r="B465">
        <v>3</v>
      </c>
      <c r="C465" s="105" t="s">
        <v>39</v>
      </c>
      <c r="D465" s="105" t="s">
        <v>36</v>
      </c>
      <c r="E465">
        <v>71</v>
      </c>
      <c r="F465" s="1">
        <v>61955.57</v>
      </c>
    </row>
    <row r="466" spans="1:6" hidden="1" x14ac:dyDescent="0.3">
      <c r="A466">
        <v>2023</v>
      </c>
      <c r="B466">
        <v>3</v>
      </c>
      <c r="C466" s="105" t="s">
        <v>39</v>
      </c>
      <c r="D466" s="105" t="s">
        <v>37</v>
      </c>
      <c r="E466">
        <v>33</v>
      </c>
      <c r="F466" s="1">
        <v>29414.42</v>
      </c>
    </row>
    <row r="467" spans="1:6" hidden="1" x14ac:dyDescent="0.3">
      <c r="A467">
        <v>2023</v>
      </c>
      <c r="B467">
        <v>4</v>
      </c>
      <c r="C467" s="105" t="s">
        <v>40</v>
      </c>
      <c r="D467" s="105" t="s">
        <v>7</v>
      </c>
      <c r="E467">
        <v>47</v>
      </c>
      <c r="F467" s="1">
        <v>42376.2</v>
      </c>
    </row>
    <row r="468" spans="1:6" hidden="1" x14ac:dyDescent="0.3">
      <c r="A468">
        <v>2023</v>
      </c>
      <c r="B468">
        <v>4</v>
      </c>
      <c r="C468" s="105" t="s">
        <v>40</v>
      </c>
      <c r="D468" s="105" t="s">
        <v>8</v>
      </c>
      <c r="E468">
        <v>45</v>
      </c>
      <c r="F468" s="1">
        <v>35891.5</v>
      </c>
    </row>
    <row r="469" spans="1:6" hidden="1" x14ac:dyDescent="0.3">
      <c r="A469">
        <v>2023</v>
      </c>
      <c r="B469">
        <v>4</v>
      </c>
      <c r="C469" s="105" t="s">
        <v>40</v>
      </c>
      <c r="D469" s="105" t="s">
        <v>9</v>
      </c>
      <c r="E469">
        <v>16</v>
      </c>
      <c r="F469" s="1">
        <v>12812.91</v>
      </c>
    </row>
    <row r="470" spans="1:6" hidden="1" x14ac:dyDescent="0.3">
      <c r="A470">
        <v>2023</v>
      </c>
      <c r="B470">
        <v>4</v>
      </c>
      <c r="C470" s="105" t="s">
        <v>40</v>
      </c>
      <c r="D470" s="105" t="s">
        <v>10</v>
      </c>
      <c r="E470">
        <v>108</v>
      </c>
      <c r="F470" s="1">
        <v>108659.01</v>
      </c>
    </row>
    <row r="471" spans="1:6" hidden="1" x14ac:dyDescent="0.3">
      <c r="A471">
        <v>2023</v>
      </c>
      <c r="B471">
        <v>4</v>
      </c>
      <c r="C471" s="105" t="s">
        <v>40</v>
      </c>
      <c r="D471" s="105" t="s">
        <v>11</v>
      </c>
      <c r="E471">
        <v>93</v>
      </c>
      <c r="F471" s="1">
        <v>76836.23</v>
      </c>
    </row>
    <row r="472" spans="1:6" hidden="1" x14ac:dyDescent="0.3">
      <c r="A472">
        <v>2023</v>
      </c>
      <c r="B472">
        <v>4</v>
      </c>
      <c r="C472" s="105" t="s">
        <v>40</v>
      </c>
      <c r="D472" s="105" t="s">
        <v>12</v>
      </c>
      <c r="E472">
        <v>57</v>
      </c>
      <c r="F472" s="1">
        <v>38020.879999999997</v>
      </c>
    </row>
    <row r="473" spans="1:6" hidden="1" x14ac:dyDescent="0.3">
      <c r="A473">
        <v>2023</v>
      </c>
      <c r="B473">
        <v>4</v>
      </c>
      <c r="C473" s="105" t="s">
        <v>40</v>
      </c>
      <c r="D473" s="105" t="s">
        <v>13</v>
      </c>
      <c r="E473">
        <v>91</v>
      </c>
      <c r="F473" s="1">
        <v>63825.24</v>
      </c>
    </row>
    <row r="474" spans="1:6" hidden="1" x14ac:dyDescent="0.3">
      <c r="A474">
        <v>2023</v>
      </c>
      <c r="B474">
        <v>4</v>
      </c>
      <c r="C474" s="105" t="s">
        <v>40</v>
      </c>
      <c r="D474" s="105" t="s">
        <v>14</v>
      </c>
      <c r="E474">
        <v>60</v>
      </c>
      <c r="F474" s="1">
        <v>41552.21</v>
      </c>
    </row>
    <row r="475" spans="1:6" hidden="1" x14ac:dyDescent="0.3">
      <c r="A475">
        <v>2023</v>
      </c>
      <c r="B475">
        <v>4</v>
      </c>
      <c r="C475" s="105" t="s">
        <v>40</v>
      </c>
      <c r="D475" s="105" t="s">
        <v>15</v>
      </c>
      <c r="E475">
        <v>22</v>
      </c>
      <c r="F475" s="1">
        <v>16258.31</v>
      </c>
    </row>
    <row r="476" spans="1:6" hidden="1" x14ac:dyDescent="0.3">
      <c r="A476">
        <v>2023</v>
      </c>
      <c r="B476">
        <v>4</v>
      </c>
      <c r="C476" s="105" t="s">
        <v>40</v>
      </c>
      <c r="D476" s="105" t="s">
        <v>16</v>
      </c>
      <c r="E476">
        <v>54</v>
      </c>
      <c r="F476" s="1">
        <v>43236.41</v>
      </c>
    </row>
    <row r="477" spans="1:6" hidden="1" x14ac:dyDescent="0.3">
      <c r="A477">
        <v>2023</v>
      </c>
      <c r="B477">
        <v>4</v>
      </c>
      <c r="C477" s="105" t="s">
        <v>40</v>
      </c>
      <c r="D477" s="105" t="s">
        <v>17</v>
      </c>
      <c r="E477">
        <v>251</v>
      </c>
      <c r="F477" s="1">
        <v>200589.22</v>
      </c>
    </row>
    <row r="478" spans="1:6" hidden="1" x14ac:dyDescent="0.3">
      <c r="A478">
        <v>2023</v>
      </c>
      <c r="B478">
        <v>4</v>
      </c>
      <c r="C478" s="105" t="s">
        <v>40</v>
      </c>
      <c r="D478" s="105" t="s">
        <v>18</v>
      </c>
      <c r="E478">
        <v>157</v>
      </c>
      <c r="F478" s="1">
        <v>135956.12</v>
      </c>
    </row>
    <row r="479" spans="1:6" hidden="1" x14ac:dyDescent="0.3">
      <c r="A479">
        <v>2023</v>
      </c>
      <c r="B479">
        <v>4</v>
      </c>
      <c r="C479" s="105" t="s">
        <v>40</v>
      </c>
      <c r="D479" s="105" t="s">
        <v>19</v>
      </c>
      <c r="E479">
        <v>17</v>
      </c>
      <c r="F479" s="1">
        <v>11294.27</v>
      </c>
    </row>
    <row r="480" spans="1:6" hidden="1" x14ac:dyDescent="0.3">
      <c r="A480">
        <v>2023</v>
      </c>
      <c r="B480">
        <v>4</v>
      </c>
      <c r="C480" s="105" t="s">
        <v>40</v>
      </c>
      <c r="D480" s="105" t="s">
        <v>20</v>
      </c>
      <c r="E480">
        <v>91</v>
      </c>
      <c r="F480" s="1">
        <v>70616.59</v>
      </c>
    </row>
    <row r="481" spans="1:6" hidden="1" x14ac:dyDescent="0.3">
      <c r="A481">
        <v>2023</v>
      </c>
      <c r="B481">
        <v>4</v>
      </c>
      <c r="C481" s="105" t="s">
        <v>40</v>
      </c>
      <c r="D481" s="105" t="s">
        <v>21</v>
      </c>
      <c r="E481">
        <v>127</v>
      </c>
      <c r="F481" s="1">
        <v>116690.83</v>
      </c>
    </row>
    <row r="482" spans="1:6" x14ac:dyDescent="0.3">
      <c r="A482">
        <v>2023</v>
      </c>
      <c r="B482">
        <v>4</v>
      </c>
      <c r="C482" s="105" t="s">
        <v>40</v>
      </c>
      <c r="D482" s="105" t="s">
        <v>22</v>
      </c>
      <c r="E482">
        <v>61</v>
      </c>
      <c r="F482" s="1">
        <v>45306.89</v>
      </c>
    </row>
    <row r="483" spans="1:6" hidden="1" x14ac:dyDescent="0.3">
      <c r="A483">
        <v>2023</v>
      </c>
      <c r="B483">
        <v>4</v>
      </c>
      <c r="C483" s="105" t="s">
        <v>40</v>
      </c>
      <c r="D483" s="105" t="s">
        <v>23</v>
      </c>
      <c r="E483">
        <v>27</v>
      </c>
      <c r="F483" s="1">
        <v>24301.040000000001</v>
      </c>
    </row>
    <row r="484" spans="1:6" hidden="1" x14ac:dyDescent="0.3">
      <c r="A484">
        <v>2023</v>
      </c>
      <c r="B484">
        <v>4</v>
      </c>
      <c r="C484" s="105" t="s">
        <v>40</v>
      </c>
      <c r="D484" s="105" t="s">
        <v>24</v>
      </c>
      <c r="E484">
        <v>56</v>
      </c>
      <c r="F484" s="1">
        <v>39093.449999999997</v>
      </c>
    </row>
    <row r="485" spans="1:6" hidden="1" x14ac:dyDescent="0.3">
      <c r="A485">
        <v>2023</v>
      </c>
      <c r="B485">
        <v>4</v>
      </c>
      <c r="C485" s="105" t="s">
        <v>40</v>
      </c>
      <c r="D485" s="105" t="s">
        <v>25</v>
      </c>
      <c r="E485">
        <v>123</v>
      </c>
      <c r="F485" s="1">
        <v>100734.8</v>
      </c>
    </row>
    <row r="486" spans="1:6" hidden="1" x14ac:dyDescent="0.3">
      <c r="A486">
        <v>2023</v>
      </c>
      <c r="B486">
        <v>4</v>
      </c>
      <c r="C486" s="105" t="s">
        <v>40</v>
      </c>
      <c r="D486" s="105" t="s">
        <v>26</v>
      </c>
      <c r="E486">
        <v>78</v>
      </c>
      <c r="F486" s="1">
        <v>69780.7</v>
      </c>
    </row>
    <row r="487" spans="1:6" hidden="1" x14ac:dyDescent="0.3">
      <c r="A487">
        <v>2023</v>
      </c>
      <c r="B487">
        <v>4</v>
      </c>
      <c r="C487" s="105" t="s">
        <v>40</v>
      </c>
      <c r="D487" s="105" t="s">
        <v>27</v>
      </c>
      <c r="E487">
        <v>81</v>
      </c>
      <c r="F487" s="1">
        <v>63889.66</v>
      </c>
    </row>
    <row r="488" spans="1:6" hidden="1" x14ac:dyDescent="0.3">
      <c r="A488">
        <v>2023</v>
      </c>
      <c r="B488">
        <v>4</v>
      </c>
      <c r="C488" s="105" t="s">
        <v>40</v>
      </c>
      <c r="D488" s="105" t="s">
        <v>28</v>
      </c>
      <c r="E488">
        <v>20</v>
      </c>
      <c r="F488" s="1">
        <v>16061.25</v>
      </c>
    </row>
    <row r="489" spans="1:6" hidden="1" x14ac:dyDescent="0.3">
      <c r="A489">
        <v>2023</v>
      </c>
      <c r="B489">
        <v>4</v>
      </c>
      <c r="C489" s="105" t="s">
        <v>40</v>
      </c>
      <c r="D489" s="105" t="s">
        <v>29</v>
      </c>
      <c r="E489">
        <v>116</v>
      </c>
      <c r="F489" s="1">
        <v>94834.38</v>
      </c>
    </row>
    <row r="490" spans="1:6" hidden="1" x14ac:dyDescent="0.3">
      <c r="A490">
        <v>2023</v>
      </c>
      <c r="B490">
        <v>4</v>
      </c>
      <c r="C490" s="105" t="s">
        <v>40</v>
      </c>
      <c r="D490" s="105" t="s">
        <v>30</v>
      </c>
      <c r="E490">
        <v>38</v>
      </c>
      <c r="F490" s="1">
        <v>24901.57</v>
      </c>
    </row>
    <row r="491" spans="1:6" hidden="1" x14ac:dyDescent="0.3">
      <c r="A491">
        <v>2023</v>
      </c>
      <c r="B491">
        <v>4</v>
      </c>
      <c r="C491" s="105" t="s">
        <v>40</v>
      </c>
      <c r="D491" s="105" t="s">
        <v>31</v>
      </c>
      <c r="E491">
        <v>214</v>
      </c>
      <c r="F491" s="1">
        <v>198551.05</v>
      </c>
    </row>
    <row r="492" spans="1:6" hidden="1" x14ac:dyDescent="0.3">
      <c r="A492">
        <v>2023</v>
      </c>
      <c r="B492">
        <v>4</v>
      </c>
      <c r="C492" s="105" t="s">
        <v>40</v>
      </c>
      <c r="D492" s="105" t="s">
        <v>32</v>
      </c>
      <c r="E492">
        <v>72</v>
      </c>
      <c r="F492" s="1">
        <v>63362.47</v>
      </c>
    </row>
    <row r="493" spans="1:6" hidden="1" x14ac:dyDescent="0.3">
      <c r="A493">
        <v>2023</v>
      </c>
      <c r="B493">
        <v>4</v>
      </c>
      <c r="C493" s="105" t="s">
        <v>40</v>
      </c>
      <c r="D493" s="105" t="s">
        <v>33</v>
      </c>
      <c r="E493">
        <v>177</v>
      </c>
      <c r="F493" s="1">
        <v>160493.26999999999</v>
      </c>
    </row>
    <row r="494" spans="1:6" hidden="1" x14ac:dyDescent="0.3">
      <c r="A494">
        <v>2023</v>
      </c>
      <c r="B494">
        <v>4</v>
      </c>
      <c r="C494" s="105" t="s">
        <v>40</v>
      </c>
      <c r="D494" s="105" t="s">
        <v>34</v>
      </c>
      <c r="E494">
        <v>142</v>
      </c>
      <c r="F494" s="1">
        <v>117522.92</v>
      </c>
    </row>
    <row r="495" spans="1:6" hidden="1" x14ac:dyDescent="0.3">
      <c r="A495">
        <v>2023</v>
      </c>
      <c r="B495">
        <v>4</v>
      </c>
      <c r="C495" s="105" t="s">
        <v>40</v>
      </c>
      <c r="D495" s="105" t="s">
        <v>35</v>
      </c>
      <c r="E495">
        <v>103</v>
      </c>
      <c r="F495" s="1">
        <v>83689.429999999993</v>
      </c>
    </row>
    <row r="496" spans="1:6" hidden="1" x14ac:dyDescent="0.3">
      <c r="A496">
        <v>2023</v>
      </c>
      <c r="B496">
        <v>4</v>
      </c>
      <c r="C496" s="105" t="s">
        <v>40</v>
      </c>
      <c r="D496" s="105" t="s">
        <v>36</v>
      </c>
      <c r="E496">
        <v>69</v>
      </c>
      <c r="F496" s="1">
        <v>54251.53</v>
      </c>
    </row>
    <row r="497" spans="1:6" hidden="1" x14ac:dyDescent="0.3">
      <c r="A497">
        <v>2023</v>
      </c>
      <c r="B497">
        <v>4</v>
      </c>
      <c r="C497" s="105" t="s">
        <v>40</v>
      </c>
      <c r="D497" s="105" t="s">
        <v>37</v>
      </c>
      <c r="E497">
        <v>104</v>
      </c>
      <c r="F497" s="1">
        <v>93782</v>
      </c>
    </row>
    <row r="498" spans="1:6" hidden="1" x14ac:dyDescent="0.3">
      <c r="A498">
        <v>2023</v>
      </c>
      <c r="B498">
        <v>5</v>
      </c>
      <c r="C498" s="105" t="s">
        <v>41</v>
      </c>
      <c r="D498" s="105" t="s">
        <v>7</v>
      </c>
      <c r="E498">
        <v>55</v>
      </c>
      <c r="F498" s="1">
        <v>48798.21</v>
      </c>
    </row>
    <row r="499" spans="1:6" hidden="1" x14ac:dyDescent="0.3">
      <c r="A499">
        <v>2023</v>
      </c>
      <c r="B499">
        <v>5</v>
      </c>
      <c r="C499" s="105" t="s">
        <v>41</v>
      </c>
      <c r="D499" s="105" t="s">
        <v>8</v>
      </c>
      <c r="E499">
        <v>83</v>
      </c>
      <c r="F499" s="1">
        <v>64374.54</v>
      </c>
    </row>
    <row r="500" spans="1:6" hidden="1" x14ac:dyDescent="0.3">
      <c r="A500">
        <v>2023</v>
      </c>
      <c r="B500">
        <v>5</v>
      </c>
      <c r="C500" s="105" t="s">
        <v>41</v>
      </c>
      <c r="D500" s="105" t="s">
        <v>9</v>
      </c>
      <c r="E500">
        <v>32</v>
      </c>
      <c r="F500" s="1">
        <v>20715.03</v>
      </c>
    </row>
    <row r="501" spans="1:6" hidden="1" x14ac:dyDescent="0.3">
      <c r="A501">
        <v>2023</v>
      </c>
      <c r="B501">
        <v>5</v>
      </c>
      <c r="C501" s="105" t="s">
        <v>41</v>
      </c>
      <c r="D501" s="105" t="s">
        <v>10</v>
      </c>
      <c r="E501">
        <v>90</v>
      </c>
      <c r="F501" s="1">
        <v>84568.35</v>
      </c>
    </row>
    <row r="502" spans="1:6" hidden="1" x14ac:dyDescent="0.3">
      <c r="A502">
        <v>2023</v>
      </c>
      <c r="B502">
        <v>5</v>
      </c>
      <c r="C502" s="105" t="s">
        <v>41</v>
      </c>
      <c r="D502" s="105" t="s">
        <v>11</v>
      </c>
      <c r="E502">
        <v>105</v>
      </c>
      <c r="F502" s="1">
        <v>78336.100000000006</v>
      </c>
    </row>
    <row r="503" spans="1:6" hidden="1" x14ac:dyDescent="0.3">
      <c r="A503">
        <v>2023</v>
      </c>
      <c r="B503">
        <v>5</v>
      </c>
      <c r="C503" s="105" t="s">
        <v>41</v>
      </c>
      <c r="D503" s="105" t="s">
        <v>12</v>
      </c>
      <c r="E503">
        <v>97</v>
      </c>
      <c r="F503" s="1">
        <v>63866.69</v>
      </c>
    </row>
    <row r="504" spans="1:6" hidden="1" x14ac:dyDescent="0.3">
      <c r="A504">
        <v>2023</v>
      </c>
      <c r="B504">
        <v>5</v>
      </c>
      <c r="C504" s="105" t="s">
        <v>41</v>
      </c>
      <c r="D504" s="105" t="s">
        <v>13</v>
      </c>
      <c r="E504">
        <v>131</v>
      </c>
      <c r="F504" s="1">
        <v>91431.12</v>
      </c>
    </row>
    <row r="505" spans="1:6" hidden="1" x14ac:dyDescent="0.3">
      <c r="A505">
        <v>2023</v>
      </c>
      <c r="B505">
        <v>5</v>
      </c>
      <c r="C505" s="105" t="s">
        <v>41</v>
      </c>
      <c r="D505" s="105" t="s">
        <v>14</v>
      </c>
      <c r="E505">
        <v>66</v>
      </c>
      <c r="F505" s="1">
        <v>44498.1</v>
      </c>
    </row>
    <row r="506" spans="1:6" hidden="1" x14ac:dyDescent="0.3">
      <c r="A506">
        <v>2023</v>
      </c>
      <c r="B506">
        <v>5</v>
      </c>
      <c r="C506" s="105" t="s">
        <v>41</v>
      </c>
      <c r="D506" s="105" t="s">
        <v>15</v>
      </c>
      <c r="E506">
        <v>39</v>
      </c>
      <c r="F506" s="1">
        <v>29677.62</v>
      </c>
    </row>
    <row r="507" spans="1:6" hidden="1" x14ac:dyDescent="0.3">
      <c r="A507">
        <v>2023</v>
      </c>
      <c r="B507">
        <v>5</v>
      </c>
      <c r="C507" s="105" t="s">
        <v>41</v>
      </c>
      <c r="D507" s="105" t="s">
        <v>16</v>
      </c>
      <c r="E507">
        <v>40</v>
      </c>
      <c r="F507" s="1">
        <v>35153.39</v>
      </c>
    </row>
    <row r="508" spans="1:6" hidden="1" x14ac:dyDescent="0.3">
      <c r="A508">
        <v>2023</v>
      </c>
      <c r="B508">
        <v>5</v>
      </c>
      <c r="C508" s="105" t="s">
        <v>41</v>
      </c>
      <c r="D508" s="105" t="s">
        <v>17</v>
      </c>
      <c r="E508">
        <v>184</v>
      </c>
      <c r="F508" s="1">
        <v>154212.74</v>
      </c>
    </row>
    <row r="509" spans="1:6" hidden="1" x14ac:dyDescent="0.3">
      <c r="A509">
        <v>2023</v>
      </c>
      <c r="B509">
        <v>5</v>
      </c>
      <c r="C509" s="105" t="s">
        <v>41</v>
      </c>
      <c r="D509" s="105" t="s">
        <v>18</v>
      </c>
      <c r="E509">
        <v>200</v>
      </c>
      <c r="F509" s="1">
        <v>177443.56</v>
      </c>
    </row>
    <row r="510" spans="1:6" hidden="1" x14ac:dyDescent="0.3">
      <c r="A510">
        <v>2023</v>
      </c>
      <c r="B510">
        <v>5</v>
      </c>
      <c r="C510" s="105" t="s">
        <v>41</v>
      </c>
      <c r="D510" s="105" t="s">
        <v>19</v>
      </c>
      <c r="E510">
        <v>47</v>
      </c>
      <c r="F510" s="1">
        <v>34269.79</v>
      </c>
    </row>
    <row r="511" spans="1:6" hidden="1" x14ac:dyDescent="0.3">
      <c r="A511">
        <v>2023</v>
      </c>
      <c r="B511">
        <v>5</v>
      </c>
      <c r="C511" s="105" t="s">
        <v>41</v>
      </c>
      <c r="D511" s="105" t="s">
        <v>20</v>
      </c>
      <c r="E511">
        <v>103</v>
      </c>
      <c r="F511" s="1">
        <v>74131.25</v>
      </c>
    </row>
    <row r="512" spans="1:6" hidden="1" x14ac:dyDescent="0.3">
      <c r="A512">
        <v>2023</v>
      </c>
      <c r="B512">
        <v>5</v>
      </c>
      <c r="C512" s="105" t="s">
        <v>41</v>
      </c>
      <c r="D512" s="105" t="s">
        <v>21</v>
      </c>
      <c r="E512">
        <v>176</v>
      </c>
      <c r="F512" s="1">
        <v>160716.6</v>
      </c>
    </row>
    <row r="513" spans="1:6" x14ac:dyDescent="0.3">
      <c r="A513">
        <v>2023</v>
      </c>
      <c r="B513">
        <v>5</v>
      </c>
      <c r="C513" s="105" t="s">
        <v>41</v>
      </c>
      <c r="D513" s="105" t="s">
        <v>22</v>
      </c>
      <c r="E513">
        <v>72</v>
      </c>
      <c r="F513" s="1">
        <v>49704.44</v>
      </c>
    </row>
    <row r="514" spans="1:6" hidden="1" x14ac:dyDescent="0.3">
      <c r="A514">
        <v>2023</v>
      </c>
      <c r="B514">
        <v>5</v>
      </c>
      <c r="C514" s="105" t="s">
        <v>41</v>
      </c>
      <c r="D514" s="105" t="s">
        <v>23</v>
      </c>
      <c r="E514">
        <v>59</v>
      </c>
      <c r="F514" s="1">
        <v>58012.24</v>
      </c>
    </row>
    <row r="515" spans="1:6" hidden="1" x14ac:dyDescent="0.3">
      <c r="A515">
        <v>2023</v>
      </c>
      <c r="B515">
        <v>5</v>
      </c>
      <c r="C515" s="105" t="s">
        <v>41</v>
      </c>
      <c r="D515" s="105" t="s">
        <v>24</v>
      </c>
      <c r="E515">
        <v>83</v>
      </c>
      <c r="F515" s="1">
        <v>55241.79</v>
      </c>
    </row>
    <row r="516" spans="1:6" hidden="1" x14ac:dyDescent="0.3">
      <c r="A516">
        <v>2023</v>
      </c>
      <c r="B516">
        <v>5</v>
      </c>
      <c r="C516" s="105" t="s">
        <v>41</v>
      </c>
      <c r="D516" s="105" t="s">
        <v>25</v>
      </c>
      <c r="E516">
        <v>153</v>
      </c>
      <c r="F516" s="1">
        <v>128488.53</v>
      </c>
    </row>
    <row r="517" spans="1:6" hidden="1" x14ac:dyDescent="0.3">
      <c r="A517">
        <v>2023</v>
      </c>
      <c r="B517">
        <v>5</v>
      </c>
      <c r="C517" s="105" t="s">
        <v>41</v>
      </c>
      <c r="D517" s="105" t="s">
        <v>26</v>
      </c>
      <c r="E517">
        <v>65</v>
      </c>
      <c r="F517" s="1">
        <v>51797.63</v>
      </c>
    </row>
    <row r="518" spans="1:6" hidden="1" x14ac:dyDescent="0.3">
      <c r="A518">
        <v>2023</v>
      </c>
      <c r="B518">
        <v>5</v>
      </c>
      <c r="C518" s="105" t="s">
        <v>41</v>
      </c>
      <c r="D518" s="105" t="s">
        <v>27</v>
      </c>
      <c r="E518">
        <v>51</v>
      </c>
      <c r="F518" s="1">
        <v>41116.410000000003</v>
      </c>
    </row>
    <row r="519" spans="1:6" hidden="1" x14ac:dyDescent="0.3">
      <c r="A519">
        <v>2023</v>
      </c>
      <c r="B519">
        <v>5</v>
      </c>
      <c r="C519" s="105" t="s">
        <v>41</v>
      </c>
      <c r="D519" s="105" t="s">
        <v>28</v>
      </c>
      <c r="E519">
        <v>34</v>
      </c>
      <c r="F519" s="1">
        <v>25615.8</v>
      </c>
    </row>
    <row r="520" spans="1:6" hidden="1" x14ac:dyDescent="0.3">
      <c r="A520">
        <v>2023</v>
      </c>
      <c r="B520">
        <v>5</v>
      </c>
      <c r="C520" s="105" t="s">
        <v>41</v>
      </c>
      <c r="D520" s="105" t="s">
        <v>29</v>
      </c>
      <c r="E520">
        <v>93</v>
      </c>
      <c r="F520" s="1">
        <v>74978.62</v>
      </c>
    </row>
    <row r="521" spans="1:6" hidden="1" x14ac:dyDescent="0.3">
      <c r="A521">
        <v>2023</v>
      </c>
      <c r="B521">
        <v>5</v>
      </c>
      <c r="C521" s="105" t="s">
        <v>41</v>
      </c>
      <c r="D521" s="105" t="s">
        <v>30</v>
      </c>
      <c r="E521">
        <v>49</v>
      </c>
      <c r="F521" s="1">
        <v>36179.230000000003</v>
      </c>
    </row>
    <row r="522" spans="1:6" hidden="1" x14ac:dyDescent="0.3">
      <c r="A522">
        <v>2023</v>
      </c>
      <c r="B522">
        <v>5</v>
      </c>
      <c r="C522" s="105" t="s">
        <v>41</v>
      </c>
      <c r="D522" s="105" t="s">
        <v>31</v>
      </c>
      <c r="E522">
        <v>232</v>
      </c>
      <c r="F522" s="1">
        <v>202991.83</v>
      </c>
    </row>
    <row r="523" spans="1:6" hidden="1" x14ac:dyDescent="0.3">
      <c r="A523">
        <v>2023</v>
      </c>
      <c r="B523">
        <v>5</v>
      </c>
      <c r="C523" s="105" t="s">
        <v>41</v>
      </c>
      <c r="D523" s="105" t="s">
        <v>32</v>
      </c>
      <c r="E523">
        <v>94</v>
      </c>
      <c r="F523" s="1">
        <v>77827.83</v>
      </c>
    </row>
    <row r="524" spans="1:6" hidden="1" x14ac:dyDescent="0.3">
      <c r="A524">
        <v>2023</v>
      </c>
      <c r="B524">
        <v>5</v>
      </c>
      <c r="C524" s="105" t="s">
        <v>41</v>
      </c>
      <c r="D524" s="105" t="s">
        <v>33</v>
      </c>
      <c r="E524">
        <v>215</v>
      </c>
      <c r="F524" s="1">
        <v>192873.78</v>
      </c>
    </row>
    <row r="525" spans="1:6" hidden="1" x14ac:dyDescent="0.3">
      <c r="A525">
        <v>2023</v>
      </c>
      <c r="B525">
        <v>5</v>
      </c>
      <c r="C525" s="105" t="s">
        <v>41</v>
      </c>
      <c r="D525" s="105" t="s">
        <v>34</v>
      </c>
      <c r="E525">
        <v>127</v>
      </c>
      <c r="F525" s="1">
        <v>100170.48</v>
      </c>
    </row>
    <row r="526" spans="1:6" hidden="1" x14ac:dyDescent="0.3">
      <c r="A526">
        <v>2023</v>
      </c>
      <c r="B526">
        <v>5</v>
      </c>
      <c r="C526" s="105" t="s">
        <v>41</v>
      </c>
      <c r="D526" s="105" t="s">
        <v>35</v>
      </c>
      <c r="E526">
        <v>80</v>
      </c>
      <c r="F526" s="1">
        <v>65149.91</v>
      </c>
    </row>
    <row r="527" spans="1:6" hidden="1" x14ac:dyDescent="0.3">
      <c r="A527">
        <v>2023</v>
      </c>
      <c r="B527">
        <v>5</v>
      </c>
      <c r="C527" s="105" t="s">
        <v>41</v>
      </c>
      <c r="D527" s="105" t="s">
        <v>36</v>
      </c>
      <c r="E527">
        <v>67</v>
      </c>
      <c r="F527" s="1">
        <v>55255.03</v>
      </c>
    </row>
    <row r="528" spans="1:6" hidden="1" x14ac:dyDescent="0.3">
      <c r="A528">
        <v>2023</v>
      </c>
      <c r="B528">
        <v>5</v>
      </c>
      <c r="C528" s="105" t="s">
        <v>41</v>
      </c>
      <c r="D528" s="105" t="s">
        <v>37</v>
      </c>
      <c r="E528">
        <v>90</v>
      </c>
      <c r="F528" s="1">
        <v>74591.38</v>
      </c>
    </row>
    <row r="529" spans="1:6" hidden="1" x14ac:dyDescent="0.3">
      <c r="A529">
        <v>2023</v>
      </c>
      <c r="B529">
        <v>6</v>
      </c>
      <c r="C529" s="105" t="s">
        <v>42</v>
      </c>
      <c r="D529" s="105" t="s">
        <v>7</v>
      </c>
      <c r="E529">
        <v>35</v>
      </c>
      <c r="F529" s="1">
        <v>30859.119999999999</v>
      </c>
    </row>
    <row r="530" spans="1:6" hidden="1" x14ac:dyDescent="0.3">
      <c r="A530">
        <v>2023</v>
      </c>
      <c r="B530">
        <v>6</v>
      </c>
      <c r="C530" s="105" t="s">
        <v>42</v>
      </c>
      <c r="D530" s="105" t="s">
        <v>8</v>
      </c>
      <c r="E530">
        <v>56</v>
      </c>
      <c r="F530" s="1">
        <v>42815.53</v>
      </c>
    </row>
    <row r="531" spans="1:6" hidden="1" x14ac:dyDescent="0.3">
      <c r="A531">
        <v>2023</v>
      </c>
      <c r="B531">
        <v>6</v>
      </c>
      <c r="C531" s="105" t="s">
        <v>42</v>
      </c>
      <c r="D531" s="105" t="s">
        <v>9</v>
      </c>
      <c r="E531">
        <v>19</v>
      </c>
      <c r="F531" s="1">
        <v>12071.62</v>
      </c>
    </row>
    <row r="532" spans="1:6" hidden="1" x14ac:dyDescent="0.3">
      <c r="A532">
        <v>2023</v>
      </c>
      <c r="B532">
        <v>6</v>
      </c>
      <c r="C532" s="105" t="s">
        <v>42</v>
      </c>
      <c r="D532" s="105" t="s">
        <v>10</v>
      </c>
      <c r="E532">
        <v>128</v>
      </c>
      <c r="F532" s="1">
        <v>120630.83</v>
      </c>
    </row>
    <row r="533" spans="1:6" hidden="1" x14ac:dyDescent="0.3">
      <c r="A533">
        <v>2023</v>
      </c>
      <c r="B533">
        <v>6</v>
      </c>
      <c r="C533" s="105" t="s">
        <v>42</v>
      </c>
      <c r="D533" s="105" t="s">
        <v>11</v>
      </c>
      <c r="E533">
        <v>91</v>
      </c>
      <c r="F533" s="1">
        <v>70259.44</v>
      </c>
    </row>
    <row r="534" spans="1:6" hidden="1" x14ac:dyDescent="0.3">
      <c r="A534">
        <v>2023</v>
      </c>
      <c r="B534">
        <v>6</v>
      </c>
      <c r="C534" s="105" t="s">
        <v>42</v>
      </c>
      <c r="D534" s="105" t="s">
        <v>12</v>
      </c>
      <c r="E534">
        <v>77</v>
      </c>
      <c r="F534" s="1">
        <v>57159.11</v>
      </c>
    </row>
    <row r="535" spans="1:6" hidden="1" x14ac:dyDescent="0.3">
      <c r="A535">
        <v>2023</v>
      </c>
      <c r="B535">
        <v>6</v>
      </c>
      <c r="C535" s="105" t="s">
        <v>42</v>
      </c>
      <c r="D535" s="105" t="s">
        <v>13</v>
      </c>
      <c r="E535">
        <v>80</v>
      </c>
      <c r="F535" s="1">
        <v>54338.84</v>
      </c>
    </row>
    <row r="536" spans="1:6" hidden="1" x14ac:dyDescent="0.3">
      <c r="A536">
        <v>2023</v>
      </c>
      <c r="B536">
        <v>6</v>
      </c>
      <c r="C536" s="105" t="s">
        <v>42</v>
      </c>
      <c r="D536" s="105" t="s">
        <v>14</v>
      </c>
      <c r="E536">
        <v>58</v>
      </c>
      <c r="F536" s="1">
        <v>43152.61</v>
      </c>
    </row>
    <row r="537" spans="1:6" hidden="1" x14ac:dyDescent="0.3">
      <c r="A537">
        <v>2023</v>
      </c>
      <c r="B537">
        <v>6</v>
      </c>
      <c r="C537" s="105" t="s">
        <v>42</v>
      </c>
      <c r="D537" s="105" t="s">
        <v>15</v>
      </c>
      <c r="E537">
        <v>33</v>
      </c>
      <c r="F537" s="1">
        <v>23853.599999999999</v>
      </c>
    </row>
    <row r="538" spans="1:6" hidden="1" x14ac:dyDescent="0.3">
      <c r="A538">
        <v>2023</v>
      </c>
      <c r="B538">
        <v>6</v>
      </c>
      <c r="C538" s="105" t="s">
        <v>42</v>
      </c>
      <c r="D538" s="105" t="s">
        <v>16</v>
      </c>
      <c r="E538">
        <v>60</v>
      </c>
      <c r="F538" s="1">
        <v>43073.97</v>
      </c>
    </row>
    <row r="539" spans="1:6" hidden="1" x14ac:dyDescent="0.3">
      <c r="A539">
        <v>2023</v>
      </c>
      <c r="B539">
        <v>6</v>
      </c>
      <c r="C539" s="105" t="s">
        <v>42</v>
      </c>
      <c r="D539" s="105" t="s">
        <v>17</v>
      </c>
      <c r="E539">
        <v>136</v>
      </c>
      <c r="F539" s="1">
        <v>108912.61</v>
      </c>
    </row>
    <row r="540" spans="1:6" hidden="1" x14ac:dyDescent="0.3">
      <c r="A540">
        <v>2023</v>
      </c>
      <c r="B540">
        <v>6</v>
      </c>
      <c r="C540" s="105" t="s">
        <v>42</v>
      </c>
      <c r="D540" s="105" t="s">
        <v>18</v>
      </c>
      <c r="E540">
        <v>175</v>
      </c>
      <c r="F540" s="1">
        <v>154513.57999999999</v>
      </c>
    </row>
    <row r="541" spans="1:6" hidden="1" x14ac:dyDescent="0.3">
      <c r="A541">
        <v>2023</v>
      </c>
      <c r="B541">
        <v>6</v>
      </c>
      <c r="C541" s="105" t="s">
        <v>42</v>
      </c>
      <c r="D541" s="105" t="s">
        <v>19</v>
      </c>
      <c r="E541">
        <v>33</v>
      </c>
      <c r="F541" s="1">
        <v>23547.68</v>
      </c>
    </row>
    <row r="542" spans="1:6" hidden="1" x14ac:dyDescent="0.3">
      <c r="A542">
        <v>2023</v>
      </c>
      <c r="B542">
        <v>6</v>
      </c>
      <c r="C542" s="105" t="s">
        <v>42</v>
      </c>
      <c r="D542" s="105" t="s">
        <v>20</v>
      </c>
      <c r="E542">
        <v>91</v>
      </c>
      <c r="F542" s="1">
        <v>73661.72</v>
      </c>
    </row>
    <row r="543" spans="1:6" hidden="1" x14ac:dyDescent="0.3">
      <c r="A543">
        <v>2023</v>
      </c>
      <c r="B543">
        <v>6</v>
      </c>
      <c r="C543" s="105" t="s">
        <v>42</v>
      </c>
      <c r="D543" s="105" t="s">
        <v>21</v>
      </c>
      <c r="E543">
        <v>154</v>
      </c>
      <c r="F543" s="1">
        <v>138797.97</v>
      </c>
    </row>
    <row r="544" spans="1:6" x14ac:dyDescent="0.3">
      <c r="A544">
        <v>2023</v>
      </c>
      <c r="B544">
        <v>6</v>
      </c>
      <c r="C544" s="105" t="s">
        <v>42</v>
      </c>
      <c r="D544" s="105" t="s">
        <v>22</v>
      </c>
      <c r="E544">
        <v>86</v>
      </c>
      <c r="F544" s="1">
        <v>61825.9</v>
      </c>
    </row>
    <row r="545" spans="1:6" hidden="1" x14ac:dyDescent="0.3">
      <c r="A545">
        <v>2023</v>
      </c>
      <c r="B545">
        <v>6</v>
      </c>
      <c r="C545" s="105" t="s">
        <v>42</v>
      </c>
      <c r="D545" s="105" t="s">
        <v>23</v>
      </c>
      <c r="E545">
        <v>66</v>
      </c>
      <c r="F545" s="1">
        <v>63654.03</v>
      </c>
    </row>
    <row r="546" spans="1:6" hidden="1" x14ac:dyDescent="0.3">
      <c r="A546">
        <v>2023</v>
      </c>
      <c r="B546">
        <v>6</v>
      </c>
      <c r="C546" s="105" t="s">
        <v>42</v>
      </c>
      <c r="D546" s="105" t="s">
        <v>24</v>
      </c>
      <c r="E546">
        <v>92</v>
      </c>
      <c r="F546" s="1">
        <v>63640.1</v>
      </c>
    </row>
    <row r="547" spans="1:6" hidden="1" x14ac:dyDescent="0.3">
      <c r="A547">
        <v>2023</v>
      </c>
      <c r="B547">
        <v>6</v>
      </c>
      <c r="C547" s="105" t="s">
        <v>42</v>
      </c>
      <c r="D547" s="105" t="s">
        <v>25</v>
      </c>
      <c r="E547">
        <v>220</v>
      </c>
      <c r="F547" s="1">
        <v>183597.2</v>
      </c>
    </row>
    <row r="548" spans="1:6" hidden="1" x14ac:dyDescent="0.3">
      <c r="A548">
        <v>2023</v>
      </c>
      <c r="B548">
        <v>6</v>
      </c>
      <c r="C548" s="105" t="s">
        <v>42</v>
      </c>
      <c r="D548" s="105" t="s">
        <v>26</v>
      </c>
      <c r="E548">
        <v>52</v>
      </c>
      <c r="F548" s="1">
        <v>42461.99</v>
      </c>
    </row>
    <row r="549" spans="1:6" hidden="1" x14ac:dyDescent="0.3">
      <c r="A549">
        <v>2023</v>
      </c>
      <c r="B549">
        <v>6</v>
      </c>
      <c r="C549" s="105" t="s">
        <v>42</v>
      </c>
      <c r="D549" s="105" t="s">
        <v>27</v>
      </c>
      <c r="E549">
        <v>86</v>
      </c>
      <c r="F549" s="1">
        <v>68527.87</v>
      </c>
    </row>
    <row r="550" spans="1:6" hidden="1" x14ac:dyDescent="0.3">
      <c r="A550">
        <v>2023</v>
      </c>
      <c r="B550">
        <v>6</v>
      </c>
      <c r="C550" s="105" t="s">
        <v>42</v>
      </c>
      <c r="D550" s="105" t="s">
        <v>28</v>
      </c>
      <c r="E550">
        <v>24</v>
      </c>
      <c r="F550" s="1">
        <v>17737.28</v>
      </c>
    </row>
    <row r="551" spans="1:6" hidden="1" x14ac:dyDescent="0.3">
      <c r="A551">
        <v>2023</v>
      </c>
      <c r="B551">
        <v>6</v>
      </c>
      <c r="C551" s="105" t="s">
        <v>42</v>
      </c>
      <c r="D551" s="105" t="s">
        <v>29</v>
      </c>
      <c r="E551">
        <v>89</v>
      </c>
      <c r="F551" s="1">
        <v>69056.58</v>
      </c>
    </row>
    <row r="552" spans="1:6" hidden="1" x14ac:dyDescent="0.3">
      <c r="A552">
        <v>2023</v>
      </c>
      <c r="B552">
        <v>6</v>
      </c>
      <c r="C552" s="105" t="s">
        <v>42</v>
      </c>
      <c r="D552" s="105" t="s">
        <v>30</v>
      </c>
      <c r="E552">
        <v>42</v>
      </c>
      <c r="F552" s="1">
        <v>32119.19</v>
      </c>
    </row>
    <row r="553" spans="1:6" hidden="1" x14ac:dyDescent="0.3">
      <c r="A553">
        <v>2023</v>
      </c>
      <c r="B553">
        <v>6</v>
      </c>
      <c r="C553" s="105" t="s">
        <v>42</v>
      </c>
      <c r="D553" s="105" t="s">
        <v>31</v>
      </c>
      <c r="E553">
        <v>263</v>
      </c>
      <c r="F553" s="1">
        <v>214046.27</v>
      </c>
    </row>
    <row r="554" spans="1:6" hidden="1" x14ac:dyDescent="0.3">
      <c r="A554">
        <v>2023</v>
      </c>
      <c r="B554">
        <v>6</v>
      </c>
      <c r="C554" s="105" t="s">
        <v>42</v>
      </c>
      <c r="D554" s="105" t="s">
        <v>32</v>
      </c>
      <c r="E554">
        <v>70</v>
      </c>
      <c r="F554" s="1">
        <v>59788</v>
      </c>
    </row>
    <row r="555" spans="1:6" hidden="1" x14ac:dyDescent="0.3">
      <c r="A555">
        <v>2023</v>
      </c>
      <c r="B555">
        <v>6</v>
      </c>
      <c r="C555" s="105" t="s">
        <v>42</v>
      </c>
      <c r="D555" s="105" t="s">
        <v>33</v>
      </c>
      <c r="E555">
        <v>258</v>
      </c>
      <c r="F555" s="1">
        <v>221903.65</v>
      </c>
    </row>
    <row r="556" spans="1:6" hidden="1" x14ac:dyDescent="0.3">
      <c r="A556">
        <v>2023</v>
      </c>
      <c r="B556">
        <v>6</v>
      </c>
      <c r="C556" s="105" t="s">
        <v>42</v>
      </c>
      <c r="D556" s="105" t="s">
        <v>34</v>
      </c>
      <c r="E556">
        <v>108</v>
      </c>
      <c r="F556" s="1">
        <v>87078.89</v>
      </c>
    </row>
    <row r="557" spans="1:6" hidden="1" x14ac:dyDescent="0.3">
      <c r="A557">
        <v>2023</v>
      </c>
      <c r="B557">
        <v>6</v>
      </c>
      <c r="C557" s="105" t="s">
        <v>42</v>
      </c>
      <c r="D557" s="105" t="s">
        <v>35</v>
      </c>
      <c r="E557">
        <v>75</v>
      </c>
      <c r="F557" s="1">
        <v>57531.53</v>
      </c>
    </row>
    <row r="558" spans="1:6" hidden="1" x14ac:dyDescent="0.3">
      <c r="A558">
        <v>2023</v>
      </c>
      <c r="B558">
        <v>6</v>
      </c>
      <c r="C558" s="105" t="s">
        <v>42</v>
      </c>
      <c r="D558" s="105" t="s">
        <v>36</v>
      </c>
      <c r="E558">
        <v>94</v>
      </c>
      <c r="F558" s="1">
        <v>73278.539999999994</v>
      </c>
    </row>
    <row r="559" spans="1:6" hidden="1" x14ac:dyDescent="0.3">
      <c r="A559">
        <v>2023</v>
      </c>
      <c r="B559">
        <v>6</v>
      </c>
      <c r="C559" s="105" t="s">
        <v>42</v>
      </c>
      <c r="D559" s="105" t="s">
        <v>37</v>
      </c>
      <c r="E559">
        <v>83</v>
      </c>
      <c r="F559" s="1">
        <v>64874.28</v>
      </c>
    </row>
    <row r="560" spans="1:6" hidden="1" x14ac:dyDescent="0.3">
      <c r="A560">
        <v>2023</v>
      </c>
      <c r="B560">
        <v>7</v>
      </c>
      <c r="C560" s="105" t="s">
        <v>43</v>
      </c>
      <c r="D560" s="105" t="s">
        <v>7</v>
      </c>
      <c r="E560">
        <v>117</v>
      </c>
      <c r="F560" s="1">
        <v>76260.850000000006</v>
      </c>
    </row>
    <row r="561" spans="1:6" hidden="1" x14ac:dyDescent="0.3">
      <c r="A561">
        <v>2023</v>
      </c>
      <c r="B561">
        <v>7</v>
      </c>
      <c r="C561" s="105" t="s">
        <v>43</v>
      </c>
      <c r="D561" s="105" t="s">
        <v>8</v>
      </c>
      <c r="E561">
        <v>57</v>
      </c>
      <c r="F561" s="1">
        <v>41047.07</v>
      </c>
    </row>
    <row r="562" spans="1:6" hidden="1" x14ac:dyDescent="0.3">
      <c r="A562">
        <v>2023</v>
      </c>
      <c r="B562">
        <v>7</v>
      </c>
      <c r="C562" s="105" t="s">
        <v>43</v>
      </c>
      <c r="D562" s="105" t="s">
        <v>9</v>
      </c>
      <c r="E562">
        <v>33</v>
      </c>
      <c r="F562" s="1">
        <v>24447.88</v>
      </c>
    </row>
    <row r="563" spans="1:6" hidden="1" x14ac:dyDescent="0.3">
      <c r="A563">
        <v>2023</v>
      </c>
      <c r="B563">
        <v>7</v>
      </c>
      <c r="C563" s="105" t="s">
        <v>43</v>
      </c>
      <c r="D563" s="105" t="s">
        <v>10</v>
      </c>
      <c r="E563">
        <v>225</v>
      </c>
      <c r="F563" s="1">
        <v>186624.46</v>
      </c>
    </row>
    <row r="564" spans="1:6" hidden="1" x14ac:dyDescent="0.3">
      <c r="A564">
        <v>2023</v>
      </c>
      <c r="B564">
        <v>7</v>
      </c>
      <c r="C564" s="105" t="s">
        <v>43</v>
      </c>
      <c r="D564" s="105" t="s">
        <v>11</v>
      </c>
      <c r="E564">
        <v>101</v>
      </c>
      <c r="F564" s="1">
        <v>70855.86</v>
      </c>
    </row>
    <row r="565" spans="1:6" hidden="1" x14ac:dyDescent="0.3">
      <c r="A565">
        <v>2023</v>
      </c>
      <c r="B565">
        <v>7</v>
      </c>
      <c r="C565" s="105" t="s">
        <v>43</v>
      </c>
      <c r="D565" s="105" t="s">
        <v>12</v>
      </c>
      <c r="E565">
        <v>147</v>
      </c>
      <c r="F565" s="1">
        <v>90376.33</v>
      </c>
    </row>
    <row r="566" spans="1:6" hidden="1" x14ac:dyDescent="0.3">
      <c r="A566">
        <v>2023</v>
      </c>
      <c r="B566">
        <v>7</v>
      </c>
      <c r="C566" s="105" t="s">
        <v>43</v>
      </c>
      <c r="D566" s="105" t="s">
        <v>13</v>
      </c>
      <c r="E566">
        <v>201</v>
      </c>
      <c r="F566" s="1">
        <v>130212.14</v>
      </c>
    </row>
    <row r="567" spans="1:6" hidden="1" x14ac:dyDescent="0.3">
      <c r="A567">
        <v>2023</v>
      </c>
      <c r="B567">
        <v>7</v>
      </c>
      <c r="C567" s="105" t="s">
        <v>43</v>
      </c>
      <c r="D567" s="105" t="s">
        <v>14</v>
      </c>
      <c r="E567">
        <v>67</v>
      </c>
      <c r="F567" s="1">
        <v>47497.99</v>
      </c>
    </row>
    <row r="568" spans="1:6" hidden="1" x14ac:dyDescent="0.3">
      <c r="A568">
        <v>2023</v>
      </c>
      <c r="B568">
        <v>7</v>
      </c>
      <c r="C568" s="105" t="s">
        <v>43</v>
      </c>
      <c r="D568" s="105" t="s">
        <v>15</v>
      </c>
      <c r="E568">
        <v>54</v>
      </c>
      <c r="F568" s="1">
        <v>43912.08</v>
      </c>
    </row>
    <row r="569" spans="1:6" hidden="1" x14ac:dyDescent="0.3">
      <c r="A569">
        <v>2023</v>
      </c>
      <c r="B569">
        <v>7</v>
      </c>
      <c r="C569" s="105" t="s">
        <v>43</v>
      </c>
      <c r="D569" s="105" t="s">
        <v>16</v>
      </c>
      <c r="E569">
        <v>125</v>
      </c>
      <c r="F569" s="1">
        <v>78692.850000000006</v>
      </c>
    </row>
    <row r="570" spans="1:6" hidden="1" x14ac:dyDescent="0.3">
      <c r="A570">
        <v>2023</v>
      </c>
      <c r="B570">
        <v>7</v>
      </c>
      <c r="C570" s="105" t="s">
        <v>43</v>
      </c>
      <c r="D570" s="105" t="s">
        <v>17</v>
      </c>
      <c r="E570">
        <v>305</v>
      </c>
      <c r="F570" s="1">
        <v>223897.25</v>
      </c>
    </row>
    <row r="571" spans="1:6" hidden="1" x14ac:dyDescent="0.3">
      <c r="A571">
        <v>2023</v>
      </c>
      <c r="B571">
        <v>7</v>
      </c>
      <c r="C571" s="105" t="s">
        <v>43</v>
      </c>
      <c r="D571" s="105" t="s">
        <v>18</v>
      </c>
      <c r="E571">
        <v>388</v>
      </c>
      <c r="F571" s="1">
        <v>281599.96999999997</v>
      </c>
    </row>
    <row r="572" spans="1:6" hidden="1" x14ac:dyDescent="0.3">
      <c r="A572">
        <v>2023</v>
      </c>
      <c r="B572">
        <v>7</v>
      </c>
      <c r="C572" s="105" t="s">
        <v>43</v>
      </c>
      <c r="D572" s="105" t="s">
        <v>19</v>
      </c>
      <c r="E572">
        <v>43</v>
      </c>
      <c r="F572" s="1">
        <v>29189.62</v>
      </c>
    </row>
    <row r="573" spans="1:6" hidden="1" x14ac:dyDescent="0.3">
      <c r="A573">
        <v>2023</v>
      </c>
      <c r="B573">
        <v>7</v>
      </c>
      <c r="C573" s="105" t="s">
        <v>43</v>
      </c>
      <c r="D573" s="105" t="s">
        <v>20</v>
      </c>
      <c r="E573">
        <v>80</v>
      </c>
      <c r="F573" s="1">
        <v>64947.77</v>
      </c>
    </row>
    <row r="574" spans="1:6" hidden="1" x14ac:dyDescent="0.3">
      <c r="A574">
        <v>2023</v>
      </c>
      <c r="B574">
        <v>7</v>
      </c>
      <c r="C574" s="105" t="s">
        <v>43</v>
      </c>
      <c r="D574" s="105" t="s">
        <v>21</v>
      </c>
      <c r="E574">
        <v>447</v>
      </c>
      <c r="F574" s="1">
        <v>344608.05</v>
      </c>
    </row>
    <row r="575" spans="1:6" x14ac:dyDescent="0.3">
      <c r="A575">
        <v>2023</v>
      </c>
      <c r="B575">
        <v>7</v>
      </c>
      <c r="C575" s="105" t="s">
        <v>43</v>
      </c>
      <c r="D575" s="105" t="s">
        <v>22</v>
      </c>
      <c r="E575">
        <v>75</v>
      </c>
      <c r="F575" s="1">
        <v>54394.07</v>
      </c>
    </row>
    <row r="576" spans="1:6" hidden="1" x14ac:dyDescent="0.3">
      <c r="A576">
        <v>2023</v>
      </c>
      <c r="B576">
        <v>7</v>
      </c>
      <c r="C576" s="105" t="s">
        <v>43</v>
      </c>
      <c r="D576" s="105" t="s">
        <v>23</v>
      </c>
      <c r="E576">
        <v>108</v>
      </c>
      <c r="F576" s="1">
        <v>89971.54</v>
      </c>
    </row>
    <row r="577" spans="1:6" hidden="1" x14ac:dyDescent="0.3">
      <c r="A577">
        <v>2023</v>
      </c>
      <c r="B577">
        <v>7</v>
      </c>
      <c r="C577" s="105" t="s">
        <v>43</v>
      </c>
      <c r="D577" s="105" t="s">
        <v>24</v>
      </c>
      <c r="E577">
        <v>72</v>
      </c>
      <c r="F577" s="1">
        <v>51384.12</v>
      </c>
    </row>
    <row r="578" spans="1:6" hidden="1" x14ac:dyDescent="0.3">
      <c r="A578">
        <v>2023</v>
      </c>
      <c r="B578">
        <v>7</v>
      </c>
      <c r="C578" s="105" t="s">
        <v>43</v>
      </c>
      <c r="D578" s="105" t="s">
        <v>25</v>
      </c>
      <c r="E578">
        <v>195</v>
      </c>
      <c r="F578" s="1">
        <v>152634.62</v>
      </c>
    </row>
    <row r="579" spans="1:6" hidden="1" x14ac:dyDescent="0.3">
      <c r="A579">
        <v>2023</v>
      </c>
      <c r="B579">
        <v>7</v>
      </c>
      <c r="C579" s="105" t="s">
        <v>43</v>
      </c>
      <c r="D579" s="105" t="s">
        <v>26</v>
      </c>
      <c r="E579">
        <v>89</v>
      </c>
      <c r="F579" s="1">
        <v>60111.58</v>
      </c>
    </row>
    <row r="580" spans="1:6" hidden="1" x14ac:dyDescent="0.3">
      <c r="A580">
        <v>2023</v>
      </c>
      <c r="B580">
        <v>7</v>
      </c>
      <c r="C580" s="105" t="s">
        <v>43</v>
      </c>
      <c r="D580" s="105" t="s">
        <v>27</v>
      </c>
      <c r="E580">
        <v>97</v>
      </c>
      <c r="F580" s="1">
        <v>78834.070000000007</v>
      </c>
    </row>
    <row r="581" spans="1:6" hidden="1" x14ac:dyDescent="0.3">
      <c r="A581">
        <v>2023</v>
      </c>
      <c r="B581">
        <v>7</v>
      </c>
      <c r="C581" s="105" t="s">
        <v>43</v>
      </c>
      <c r="D581" s="105" t="s">
        <v>28</v>
      </c>
      <c r="E581">
        <v>21</v>
      </c>
      <c r="F581" s="1">
        <v>15252.12</v>
      </c>
    </row>
    <row r="582" spans="1:6" hidden="1" x14ac:dyDescent="0.3">
      <c r="A582">
        <v>2023</v>
      </c>
      <c r="B582">
        <v>7</v>
      </c>
      <c r="C582" s="105" t="s">
        <v>43</v>
      </c>
      <c r="D582" s="105" t="s">
        <v>29</v>
      </c>
      <c r="E582">
        <v>150</v>
      </c>
      <c r="F582" s="1">
        <v>108446.49</v>
      </c>
    </row>
    <row r="583" spans="1:6" hidden="1" x14ac:dyDescent="0.3">
      <c r="A583">
        <v>2023</v>
      </c>
      <c r="B583">
        <v>7</v>
      </c>
      <c r="C583" s="105" t="s">
        <v>43</v>
      </c>
      <c r="D583" s="105" t="s">
        <v>30</v>
      </c>
      <c r="E583">
        <v>45</v>
      </c>
      <c r="F583" s="1">
        <v>29637.02</v>
      </c>
    </row>
    <row r="584" spans="1:6" hidden="1" x14ac:dyDescent="0.3">
      <c r="A584">
        <v>2023</v>
      </c>
      <c r="B584">
        <v>7</v>
      </c>
      <c r="C584" s="105" t="s">
        <v>43</v>
      </c>
      <c r="D584" s="105" t="s">
        <v>31</v>
      </c>
      <c r="E584">
        <v>494</v>
      </c>
      <c r="F584" s="1">
        <v>365723.54</v>
      </c>
    </row>
    <row r="585" spans="1:6" hidden="1" x14ac:dyDescent="0.3">
      <c r="A585">
        <v>2023</v>
      </c>
      <c r="B585">
        <v>7</v>
      </c>
      <c r="C585" s="105" t="s">
        <v>43</v>
      </c>
      <c r="D585" s="105" t="s">
        <v>32</v>
      </c>
      <c r="E585">
        <v>112</v>
      </c>
      <c r="F585" s="1">
        <v>80684.960000000006</v>
      </c>
    </row>
    <row r="586" spans="1:6" hidden="1" x14ac:dyDescent="0.3">
      <c r="A586">
        <v>2023</v>
      </c>
      <c r="B586">
        <v>7</v>
      </c>
      <c r="C586" s="105" t="s">
        <v>43</v>
      </c>
      <c r="D586" s="105" t="s">
        <v>33</v>
      </c>
      <c r="E586">
        <v>426</v>
      </c>
      <c r="F586" s="1">
        <v>329729.78999999998</v>
      </c>
    </row>
    <row r="587" spans="1:6" hidden="1" x14ac:dyDescent="0.3">
      <c r="A587">
        <v>2023</v>
      </c>
      <c r="B587">
        <v>7</v>
      </c>
      <c r="C587" s="105" t="s">
        <v>43</v>
      </c>
      <c r="D587" s="105" t="s">
        <v>34</v>
      </c>
      <c r="E587">
        <v>151</v>
      </c>
      <c r="F587" s="1">
        <v>113290.31</v>
      </c>
    </row>
    <row r="588" spans="1:6" hidden="1" x14ac:dyDescent="0.3">
      <c r="A588">
        <v>2023</v>
      </c>
      <c r="B588">
        <v>7</v>
      </c>
      <c r="C588" s="105" t="s">
        <v>43</v>
      </c>
      <c r="D588" s="105" t="s">
        <v>35</v>
      </c>
      <c r="E588">
        <v>125</v>
      </c>
      <c r="F588" s="1">
        <v>95141.11</v>
      </c>
    </row>
    <row r="589" spans="1:6" hidden="1" x14ac:dyDescent="0.3">
      <c r="A589">
        <v>2023</v>
      </c>
      <c r="B589">
        <v>7</v>
      </c>
      <c r="C589" s="105" t="s">
        <v>43</v>
      </c>
      <c r="D589" s="105" t="s">
        <v>36</v>
      </c>
      <c r="E589">
        <v>108</v>
      </c>
      <c r="F589" s="1">
        <v>81192.009999999995</v>
      </c>
    </row>
    <row r="590" spans="1:6" hidden="1" x14ac:dyDescent="0.3">
      <c r="A590">
        <v>2023</v>
      </c>
      <c r="B590">
        <v>7</v>
      </c>
      <c r="C590" s="105" t="s">
        <v>43</v>
      </c>
      <c r="D590" s="105" t="s">
        <v>37</v>
      </c>
      <c r="E590">
        <v>241</v>
      </c>
      <c r="F590" s="1">
        <v>177986.77</v>
      </c>
    </row>
    <row r="591" spans="1:6" hidden="1" x14ac:dyDescent="0.3">
      <c r="A591">
        <v>2023</v>
      </c>
      <c r="B591">
        <v>8</v>
      </c>
      <c r="C591" s="105" t="s">
        <v>44</v>
      </c>
      <c r="D591" s="105" t="s">
        <v>7</v>
      </c>
      <c r="E591">
        <v>162</v>
      </c>
      <c r="F591" s="1">
        <v>121124.34</v>
      </c>
    </row>
    <row r="592" spans="1:6" hidden="1" x14ac:dyDescent="0.3">
      <c r="A592">
        <v>2023</v>
      </c>
      <c r="B592">
        <v>8</v>
      </c>
      <c r="C592" s="105" t="s">
        <v>44</v>
      </c>
      <c r="D592" s="105" t="s">
        <v>8</v>
      </c>
      <c r="E592">
        <v>62</v>
      </c>
      <c r="F592" s="1">
        <v>44490.15</v>
      </c>
    </row>
    <row r="593" spans="1:6" hidden="1" x14ac:dyDescent="0.3">
      <c r="A593">
        <v>2023</v>
      </c>
      <c r="B593">
        <v>8</v>
      </c>
      <c r="C593" s="105" t="s">
        <v>44</v>
      </c>
      <c r="D593" s="105" t="s">
        <v>9</v>
      </c>
      <c r="E593">
        <v>22</v>
      </c>
      <c r="F593" s="1">
        <v>15333.45</v>
      </c>
    </row>
    <row r="594" spans="1:6" hidden="1" x14ac:dyDescent="0.3">
      <c r="A594">
        <v>2023</v>
      </c>
      <c r="B594">
        <v>8</v>
      </c>
      <c r="C594" s="105" t="s">
        <v>44</v>
      </c>
      <c r="D594" s="105" t="s">
        <v>10</v>
      </c>
      <c r="E594">
        <v>279</v>
      </c>
      <c r="F594" s="1">
        <v>220643.64</v>
      </c>
    </row>
    <row r="595" spans="1:6" hidden="1" x14ac:dyDescent="0.3">
      <c r="A595">
        <v>2023</v>
      </c>
      <c r="B595">
        <v>8</v>
      </c>
      <c r="C595" s="105" t="s">
        <v>44</v>
      </c>
      <c r="D595" s="105" t="s">
        <v>11</v>
      </c>
      <c r="E595">
        <v>217</v>
      </c>
      <c r="F595" s="1">
        <v>147440.74</v>
      </c>
    </row>
    <row r="596" spans="1:6" hidden="1" x14ac:dyDescent="0.3">
      <c r="A596">
        <v>2023</v>
      </c>
      <c r="B596">
        <v>8</v>
      </c>
      <c r="C596" s="105" t="s">
        <v>44</v>
      </c>
      <c r="D596" s="105" t="s">
        <v>12</v>
      </c>
      <c r="E596">
        <v>174</v>
      </c>
      <c r="F596" s="1">
        <v>105021.1</v>
      </c>
    </row>
    <row r="597" spans="1:6" hidden="1" x14ac:dyDescent="0.3">
      <c r="A597">
        <v>2023</v>
      </c>
      <c r="B597">
        <v>8</v>
      </c>
      <c r="C597" s="105" t="s">
        <v>44</v>
      </c>
      <c r="D597" s="105" t="s">
        <v>13</v>
      </c>
      <c r="E597">
        <v>284</v>
      </c>
      <c r="F597" s="1">
        <v>170608.8</v>
      </c>
    </row>
    <row r="598" spans="1:6" hidden="1" x14ac:dyDescent="0.3">
      <c r="A598">
        <v>2023</v>
      </c>
      <c r="B598">
        <v>8</v>
      </c>
      <c r="C598" s="105" t="s">
        <v>44</v>
      </c>
      <c r="D598" s="105" t="s">
        <v>14</v>
      </c>
      <c r="E598">
        <v>58</v>
      </c>
      <c r="F598" s="1">
        <v>40495.86</v>
      </c>
    </row>
    <row r="599" spans="1:6" hidden="1" x14ac:dyDescent="0.3">
      <c r="A599">
        <v>2023</v>
      </c>
      <c r="B599">
        <v>8</v>
      </c>
      <c r="C599" s="105" t="s">
        <v>44</v>
      </c>
      <c r="D599" s="105" t="s">
        <v>15</v>
      </c>
      <c r="E599">
        <v>31</v>
      </c>
      <c r="F599" s="1">
        <v>22015.22</v>
      </c>
    </row>
    <row r="600" spans="1:6" hidden="1" x14ac:dyDescent="0.3">
      <c r="A600">
        <v>2023</v>
      </c>
      <c r="B600">
        <v>8</v>
      </c>
      <c r="C600" s="105" t="s">
        <v>44</v>
      </c>
      <c r="D600" s="105" t="s">
        <v>16</v>
      </c>
      <c r="E600">
        <v>74</v>
      </c>
      <c r="F600" s="1">
        <v>45360.18</v>
      </c>
    </row>
    <row r="601" spans="1:6" hidden="1" x14ac:dyDescent="0.3">
      <c r="A601">
        <v>2023</v>
      </c>
      <c r="B601">
        <v>8</v>
      </c>
      <c r="C601" s="105" t="s">
        <v>44</v>
      </c>
      <c r="D601" s="105" t="s">
        <v>17</v>
      </c>
      <c r="E601">
        <v>402</v>
      </c>
      <c r="F601" s="1">
        <v>273390.38</v>
      </c>
    </row>
    <row r="602" spans="1:6" hidden="1" x14ac:dyDescent="0.3">
      <c r="A602">
        <v>2023</v>
      </c>
      <c r="B602">
        <v>8</v>
      </c>
      <c r="C602" s="105" t="s">
        <v>44</v>
      </c>
      <c r="D602" s="105" t="s">
        <v>18</v>
      </c>
      <c r="E602">
        <v>379</v>
      </c>
      <c r="F602" s="1">
        <v>264216.11</v>
      </c>
    </row>
    <row r="603" spans="1:6" hidden="1" x14ac:dyDescent="0.3">
      <c r="A603">
        <v>2023</v>
      </c>
      <c r="B603">
        <v>8</v>
      </c>
      <c r="C603" s="105" t="s">
        <v>44</v>
      </c>
      <c r="D603" s="105" t="s">
        <v>19</v>
      </c>
      <c r="E603">
        <v>38</v>
      </c>
      <c r="F603" s="1">
        <v>27942.36</v>
      </c>
    </row>
    <row r="604" spans="1:6" hidden="1" x14ac:dyDescent="0.3">
      <c r="A604">
        <v>2023</v>
      </c>
      <c r="B604">
        <v>8</v>
      </c>
      <c r="C604" s="105" t="s">
        <v>44</v>
      </c>
      <c r="D604" s="105" t="s">
        <v>20</v>
      </c>
      <c r="E604">
        <v>92</v>
      </c>
      <c r="F604" s="1">
        <v>72906.559999999998</v>
      </c>
    </row>
    <row r="605" spans="1:6" hidden="1" x14ac:dyDescent="0.3">
      <c r="A605">
        <v>2023</v>
      </c>
      <c r="B605">
        <v>8</v>
      </c>
      <c r="C605" s="105" t="s">
        <v>44</v>
      </c>
      <c r="D605" s="105" t="s">
        <v>21</v>
      </c>
      <c r="E605">
        <v>421</v>
      </c>
      <c r="F605" s="1">
        <v>321455.25</v>
      </c>
    </row>
    <row r="606" spans="1:6" x14ac:dyDescent="0.3">
      <c r="A606">
        <v>2023</v>
      </c>
      <c r="B606">
        <v>8</v>
      </c>
      <c r="C606" s="105" t="s">
        <v>44</v>
      </c>
      <c r="D606" s="105" t="s">
        <v>22</v>
      </c>
      <c r="E606">
        <v>90</v>
      </c>
      <c r="F606" s="1">
        <v>65659.7</v>
      </c>
    </row>
    <row r="607" spans="1:6" hidden="1" x14ac:dyDescent="0.3">
      <c r="A607">
        <v>2023</v>
      </c>
      <c r="B607">
        <v>8</v>
      </c>
      <c r="C607" s="105" t="s">
        <v>44</v>
      </c>
      <c r="D607" s="105" t="s">
        <v>23</v>
      </c>
      <c r="E607">
        <v>111</v>
      </c>
      <c r="F607" s="1">
        <v>83820.81</v>
      </c>
    </row>
    <row r="608" spans="1:6" hidden="1" x14ac:dyDescent="0.3">
      <c r="A608">
        <v>2023</v>
      </c>
      <c r="B608">
        <v>8</v>
      </c>
      <c r="C608" s="105" t="s">
        <v>44</v>
      </c>
      <c r="D608" s="105" t="s">
        <v>24</v>
      </c>
      <c r="E608">
        <v>56</v>
      </c>
      <c r="F608" s="1">
        <v>40926.21</v>
      </c>
    </row>
    <row r="609" spans="1:6" hidden="1" x14ac:dyDescent="0.3">
      <c r="A609">
        <v>2023</v>
      </c>
      <c r="B609">
        <v>8</v>
      </c>
      <c r="C609" s="105" t="s">
        <v>44</v>
      </c>
      <c r="D609" s="105" t="s">
        <v>25</v>
      </c>
      <c r="E609">
        <v>146</v>
      </c>
      <c r="F609" s="1">
        <v>126862.95</v>
      </c>
    </row>
    <row r="610" spans="1:6" hidden="1" x14ac:dyDescent="0.3">
      <c r="A610">
        <v>2023</v>
      </c>
      <c r="B610">
        <v>8</v>
      </c>
      <c r="C610" s="105" t="s">
        <v>44</v>
      </c>
      <c r="D610" s="105" t="s">
        <v>26</v>
      </c>
      <c r="E610">
        <v>133</v>
      </c>
      <c r="F610" s="1">
        <v>96331.82</v>
      </c>
    </row>
    <row r="611" spans="1:6" hidden="1" x14ac:dyDescent="0.3">
      <c r="A611">
        <v>2023</v>
      </c>
      <c r="B611">
        <v>8</v>
      </c>
      <c r="C611" s="105" t="s">
        <v>44</v>
      </c>
      <c r="D611" s="105" t="s">
        <v>27</v>
      </c>
      <c r="E611">
        <v>88</v>
      </c>
      <c r="F611" s="1">
        <v>66132.61</v>
      </c>
    </row>
    <row r="612" spans="1:6" hidden="1" x14ac:dyDescent="0.3">
      <c r="A612">
        <v>2023</v>
      </c>
      <c r="B612">
        <v>8</v>
      </c>
      <c r="C612" s="105" t="s">
        <v>44</v>
      </c>
      <c r="D612" s="105" t="s">
        <v>28</v>
      </c>
      <c r="E612">
        <v>22</v>
      </c>
      <c r="F612" s="1">
        <v>15429.01</v>
      </c>
    </row>
    <row r="613" spans="1:6" hidden="1" x14ac:dyDescent="0.3">
      <c r="A613">
        <v>2023</v>
      </c>
      <c r="B613">
        <v>8</v>
      </c>
      <c r="C613" s="105" t="s">
        <v>44</v>
      </c>
      <c r="D613" s="105" t="s">
        <v>29</v>
      </c>
      <c r="E613">
        <v>241</v>
      </c>
      <c r="F613" s="1">
        <v>178781.21</v>
      </c>
    </row>
    <row r="614" spans="1:6" hidden="1" x14ac:dyDescent="0.3">
      <c r="A614">
        <v>2023</v>
      </c>
      <c r="B614">
        <v>8</v>
      </c>
      <c r="C614" s="105" t="s">
        <v>44</v>
      </c>
      <c r="D614" s="105" t="s">
        <v>30</v>
      </c>
      <c r="E614">
        <v>24</v>
      </c>
      <c r="F614" s="1">
        <v>18850.650000000001</v>
      </c>
    </row>
    <row r="615" spans="1:6" hidden="1" x14ac:dyDescent="0.3">
      <c r="A615">
        <v>2023</v>
      </c>
      <c r="B615">
        <v>8</v>
      </c>
      <c r="C615" s="105" t="s">
        <v>44</v>
      </c>
      <c r="D615" s="105" t="s">
        <v>31</v>
      </c>
      <c r="E615">
        <v>411</v>
      </c>
      <c r="F615" s="1">
        <v>291996.79999999999</v>
      </c>
    </row>
    <row r="616" spans="1:6" hidden="1" x14ac:dyDescent="0.3">
      <c r="A616">
        <v>2023</v>
      </c>
      <c r="B616">
        <v>8</v>
      </c>
      <c r="C616" s="105" t="s">
        <v>44</v>
      </c>
      <c r="D616" s="105" t="s">
        <v>32</v>
      </c>
      <c r="E616">
        <v>303</v>
      </c>
      <c r="F616" s="1">
        <v>217052.19</v>
      </c>
    </row>
    <row r="617" spans="1:6" hidden="1" x14ac:dyDescent="0.3">
      <c r="A617">
        <v>2023</v>
      </c>
      <c r="B617">
        <v>8</v>
      </c>
      <c r="C617" s="105" t="s">
        <v>44</v>
      </c>
      <c r="D617" s="105" t="s">
        <v>33</v>
      </c>
      <c r="E617">
        <v>474</v>
      </c>
      <c r="F617" s="1">
        <v>353315.26</v>
      </c>
    </row>
    <row r="618" spans="1:6" hidden="1" x14ac:dyDescent="0.3">
      <c r="A618">
        <v>2023</v>
      </c>
      <c r="B618">
        <v>8</v>
      </c>
      <c r="C618" s="105" t="s">
        <v>44</v>
      </c>
      <c r="D618" s="105" t="s">
        <v>34</v>
      </c>
      <c r="E618">
        <v>334</v>
      </c>
      <c r="F618" s="1">
        <v>244436.25</v>
      </c>
    </row>
    <row r="619" spans="1:6" hidden="1" x14ac:dyDescent="0.3">
      <c r="A619">
        <v>2023</v>
      </c>
      <c r="B619">
        <v>8</v>
      </c>
      <c r="C619" s="105" t="s">
        <v>44</v>
      </c>
      <c r="D619" s="105" t="s">
        <v>49</v>
      </c>
      <c r="E619">
        <v>1</v>
      </c>
      <c r="F619" s="1">
        <v>735</v>
      </c>
    </row>
    <row r="620" spans="1:6" hidden="1" x14ac:dyDescent="0.3">
      <c r="A620">
        <v>2023</v>
      </c>
      <c r="B620">
        <v>8</v>
      </c>
      <c r="C620" s="105" t="s">
        <v>44</v>
      </c>
      <c r="D620" s="105" t="s">
        <v>35</v>
      </c>
      <c r="E620">
        <v>227</v>
      </c>
      <c r="F620" s="1">
        <v>179565.34</v>
      </c>
    </row>
    <row r="621" spans="1:6" hidden="1" x14ac:dyDescent="0.3">
      <c r="A621">
        <v>2023</v>
      </c>
      <c r="B621">
        <v>8</v>
      </c>
      <c r="C621" s="105" t="s">
        <v>44</v>
      </c>
      <c r="D621" s="105" t="s">
        <v>36</v>
      </c>
      <c r="E621">
        <v>87</v>
      </c>
      <c r="F621" s="1">
        <v>70023.149999999994</v>
      </c>
    </row>
    <row r="622" spans="1:6" hidden="1" x14ac:dyDescent="0.3">
      <c r="A622">
        <v>2023</v>
      </c>
      <c r="B622">
        <v>8</v>
      </c>
      <c r="C622" s="105" t="s">
        <v>44</v>
      </c>
      <c r="D622" s="105" t="s">
        <v>37</v>
      </c>
      <c r="E622">
        <v>291</v>
      </c>
      <c r="F622" s="1">
        <v>220776.62</v>
      </c>
    </row>
    <row r="623" spans="1:6" hidden="1" x14ac:dyDescent="0.3">
      <c r="A623">
        <v>2023</v>
      </c>
      <c r="B623">
        <v>9</v>
      </c>
      <c r="C623" s="105" t="s">
        <v>45</v>
      </c>
      <c r="D623" s="105" t="s">
        <v>7</v>
      </c>
      <c r="E623">
        <v>80</v>
      </c>
      <c r="F623" s="1">
        <v>66347.289999999994</v>
      </c>
    </row>
    <row r="624" spans="1:6" hidden="1" x14ac:dyDescent="0.3">
      <c r="A624">
        <v>2023</v>
      </c>
      <c r="B624">
        <v>9</v>
      </c>
      <c r="C624" s="105" t="s">
        <v>45</v>
      </c>
      <c r="D624" s="105" t="s">
        <v>8</v>
      </c>
      <c r="E624">
        <v>52</v>
      </c>
      <c r="F624" s="1">
        <v>39419.910000000003</v>
      </c>
    </row>
    <row r="625" spans="1:6" hidden="1" x14ac:dyDescent="0.3">
      <c r="A625">
        <v>2023</v>
      </c>
      <c r="B625">
        <v>9</v>
      </c>
      <c r="C625" s="105" t="s">
        <v>45</v>
      </c>
      <c r="D625" s="105" t="s">
        <v>9</v>
      </c>
      <c r="E625">
        <v>23</v>
      </c>
      <c r="F625" s="1">
        <v>15537.91</v>
      </c>
    </row>
    <row r="626" spans="1:6" hidden="1" x14ac:dyDescent="0.3">
      <c r="A626">
        <v>2023</v>
      </c>
      <c r="B626">
        <v>9</v>
      </c>
      <c r="C626" s="105" t="s">
        <v>45</v>
      </c>
      <c r="D626" s="105" t="s">
        <v>10</v>
      </c>
      <c r="E626">
        <v>178</v>
      </c>
      <c r="F626" s="1">
        <v>144579.41</v>
      </c>
    </row>
    <row r="627" spans="1:6" hidden="1" x14ac:dyDescent="0.3">
      <c r="A627">
        <v>2023</v>
      </c>
      <c r="B627">
        <v>9</v>
      </c>
      <c r="C627" s="105" t="s">
        <v>45</v>
      </c>
      <c r="D627" s="105" t="s">
        <v>11</v>
      </c>
      <c r="E627">
        <v>164</v>
      </c>
      <c r="F627" s="1">
        <v>116767.83</v>
      </c>
    </row>
    <row r="628" spans="1:6" hidden="1" x14ac:dyDescent="0.3">
      <c r="A628">
        <v>2023</v>
      </c>
      <c r="B628">
        <v>9</v>
      </c>
      <c r="C628" s="105" t="s">
        <v>45</v>
      </c>
      <c r="D628" s="105" t="s">
        <v>12</v>
      </c>
      <c r="E628">
        <v>132</v>
      </c>
      <c r="F628" s="1">
        <v>96504.72</v>
      </c>
    </row>
    <row r="629" spans="1:6" hidden="1" x14ac:dyDescent="0.3">
      <c r="A629">
        <v>2023</v>
      </c>
      <c r="B629">
        <v>9</v>
      </c>
      <c r="C629" s="105" t="s">
        <v>45</v>
      </c>
      <c r="D629" s="105" t="s">
        <v>13</v>
      </c>
      <c r="E629">
        <v>159</v>
      </c>
      <c r="F629" s="1">
        <v>110624.93</v>
      </c>
    </row>
    <row r="630" spans="1:6" hidden="1" x14ac:dyDescent="0.3">
      <c r="A630">
        <v>2023</v>
      </c>
      <c r="B630">
        <v>9</v>
      </c>
      <c r="C630" s="105" t="s">
        <v>45</v>
      </c>
      <c r="D630" s="105" t="s">
        <v>14</v>
      </c>
      <c r="E630">
        <v>49</v>
      </c>
      <c r="F630" s="1">
        <v>38665.11</v>
      </c>
    </row>
    <row r="631" spans="1:6" hidden="1" x14ac:dyDescent="0.3">
      <c r="A631">
        <v>2023</v>
      </c>
      <c r="B631">
        <v>9</v>
      </c>
      <c r="C631" s="105" t="s">
        <v>45</v>
      </c>
      <c r="D631" s="105" t="s">
        <v>15</v>
      </c>
      <c r="E631">
        <v>27</v>
      </c>
      <c r="F631" s="1">
        <v>20542.62</v>
      </c>
    </row>
    <row r="632" spans="1:6" hidden="1" x14ac:dyDescent="0.3">
      <c r="A632">
        <v>2023</v>
      </c>
      <c r="B632">
        <v>9</v>
      </c>
      <c r="C632" s="105" t="s">
        <v>45</v>
      </c>
      <c r="D632" s="105" t="s">
        <v>16</v>
      </c>
      <c r="E632">
        <v>47</v>
      </c>
      <c r="F632" s="1">
        <v>36010.32</v>
      </c>
    </row>
    <row r="633" spans="1:6" hidden="1" x14ac:dyDescent="0.3">
      <c r="A633">
        <v>2023</v>
      </c>
      <c r="B633">
        <v>9</v>
      </c>
      <c r="C633" s="105" t="s">
        <v>45</v>
      </c>
      <c r="D633" s="105" t="s">
        <v>17</v>
      </c>
      <c r="E633">
        <v>341</v>
      </c>
      <c r="F633" s="1">
        <v>239767.58</v>
      </c>
    </row>
    <row r="634" spans="1:6" hidden="1" x14ac:dyDescent="0.3">
      <c r="A634">
        <v>2023</v>
      </c>
      <c r="B634">
        <v>9</v>
      </c>
      <c r="C634" s="105" t="s">
        <v>45</v>
      </c>
      <c r="D634" s="105" t="s">
        <v>18</v>
      </c>
      <c r="E634">
        <v>234</v>
      </c>
      <c r="F634" s="1">
        <v>205530.79</v>
      </c>
    </row>
    <row r="635" spans="1:6" hidden="1" x14ac:dyDescent="0.3">
      <c r="A635">
        <v>2023</v>
      </c>
      <c r="B635">
        <v>9</v>
      </c>
      <c r="C635" s="105" t="s">
        <v>45</v>
      </c>
      <c r="D635" s="105" t="s">
        <v>19</v>
      </c>
      <c r="E635">
        <v>27</v>
      </c>
      <c r="F635" s="1">
        <v>20473.45</v>
      </c>
    </row>
    <row r="636" spans="1:6" hidden="1" x14ac:dyDescent="0.3">
      <c r="A636">
        <v>2023</v>
      </c>
      <c r="B636">
        <v>9</v>
      </c>
      <c r="C636" s="105" t="s">
        <v>45</v>
      </c>
      <c r="D636" s="105" t="s">
        <v>20</v>
      </c>
      <c r="E636">
        <v>78</v>
      </c>
      <c r="F636" s="1">
        <v>58785.68</v>
      </c>
    </row>
    <row r="637" spans="1:6" hidden="1" x14ac:dyDescent="0.3">
      <c r="A637">
        <v>2023</v>
      </c>
      <c r="B637">
        <v>9</v>
      </c>
      <c r="C637" s="105" t="s">
        <v>45</v>
      </c>
      <c r="D637" s="105" t="s">
        <v>21</v>
      </c>
      <c r="E637">
        <v>248</v>
      </c>
      <c r="F637" s="1">
        <v>200512.23</v>
      </c>
    </row>
    <row r="638" spans="1:6" x14ac:dyDescent="0.3">
      <c r="A638">
        <v>2023</v>
      </c>
      <c r="B638">
        <v>9</v>
      </c>
      <c r="C638" s="105" t="s">
        <v>45</v>
      </c>
      <c r="D638" s="105" t="s">
        <v>22</v>
      </c>
      <c r="E638">
        <v>72</v>
      </c>
      <c r="F638" s="1">
        <v>54022.32</v>
      </c>
    </row>
    <row r="639" spans="1:6" hidden="1" x14ac:dyDescent="0.3">
      <c r="A639">
        <v>2023</v>
      </c>
      <c r="B639">
        <v>9</v>
      </c>
      <c r="C639" s="105" t="s">
        <v>45</v>
      </c>
      <c r="D639" s="105" t="s">
        <v>23</v>
      </c>
      <c r="E639">
        <v>97</v>
      </c>
      <c r="F639" s="1">
        <v>73214.55</v>
      </c>
    </row>
    <row r="640" spans="1:6" hidden="1" x14ac:dyDescent="0.3">
      <c r="A640">
        <v>2023</v>
      </c>
      <c r="B640">
        <v>9</v>
      </c>
      <c r="C640" s="105" t="s">
        <v>45</v>
      </c>
      <c r="D640" s="105" t="s">
        <v>24</v>
      </c>
      <c r="E640">
        <v>77</v>
      </c>
      <c r="F640" s="1">
        <v>53589.96</v>
      </c>
    </row>
    <row r="641" spans="1:6" hidden="1" x14ac:dyDescent="0.3">
      <c r="A641">
        <v>2023</v>
      </c>
      <c r="B641">
        <v>9</v>
      </c>
      <c r="C641" s="105" t="s">
        <v>45</v>
      </c>
      <c r="D641" s="105" t="s">
        <v>25</v>
      </c>
      <c r="E641">
        <v>88</v>
      </c>
      <c r="F641" s="1">
        <v>75973.600000000006</v>
      </c>
    </row>
    <row r="642" spans="1:6" hidden="1" x14ac:dyDescent="0.3">
      <c r="A642">
        <v>2023</v>
      </c>
      <c r="B642">
        <v>9</v>
      </c>
      <c r="C642" s="105" t="s">
        <v>45</v>
      </c>
      <c r="D642" s="105" t="s">
        <v>26</v>
      </c>
      <c r="E642">
        <v>103</v>
      </c>
      <c r="F642" s="1">
        <v>80740.639999999999</v>
      </c>
    </row>
    <row r="643" spans="1:6" hidden="1" x14ac:dyDescent="0.3">
      <c r="A643">
        <v>2023</v>
      </c>
      <c r="B643">
        <v>9</v>
      </c>
      <c r="C643" s="105" t="s">
        <v>45</v>
      </c>
      <c r="D643" s="105" t="s">
        <v>27</v>
      </c>
      <c r="E643">
        <v>41</v>
      </c>
      <c r="F643" s="1">
        <v>33899.050000000003</v>
      </c>
    </row>
    <row r="644" spans="1:6" hidden="1" x14ac:dyDescent="0.3">
      <c r="A644">
        <v>2023</v>
      </c>
      <c r="B644">
        <v>9</v>
      </c>
      <c r="C644" s="105" t="s">
        <v>45</v>
      </c>
      <c r="D644" s="105" t="s">
        <v>28</v>
      </c>
      <c r="E644">
        <v>13</v>
      </c>
      <c r="F644" s="1">
        <v>10570.66</v>
      </c>
    </row>
    <row r="645" spans="1:6" hidden="1" x14ac:dyDescent="0.3">
      <c r="A645">
        <v>2023</v>
      </c>
      <c r="B645">
        <v>9</v>
      </c>
      <c r="C645" s="105" t="s">
        <v>45</v>
      </c>
      <c r="D645" s="105" t="s">
        <v>29</v>
      </c>
      <c r="E645">
        <v>163</v>
      </c>
      <c r="F645" s="1">
        <v>127156.52</v>
      </c>
    </row>
    <row r="646" spans="1:6" hidden="1" x14ac:dyDescent="0.3">
      <c r="A646">
        <v>2023</v>
      </c>
      <c r="B646">
        <v>9</v>
      </c>
      <c r="C646" s="105" t="s">
        <v>45</v>
      </c>
      <c r="D646" s="105" t="s">
        <v>30</v>
      </c>
      <c r="E646">
        <v>41</v>
      </c>
      <c r="F646" s="1">
        <v>32251.439999999999</v>
      </c>
    </row>
    <row r="647" spans="1:6" hidden="1" x14ac:dyDescent="0.3">
      <c r="A647">
        <v>2023</v>
      </c>
      <c r="B647">
        <v>9</v>
      </c>
      <c r="C647" s="105" t="s">
        <v>45</v>
      </c>
      <c r="D647" s="105" t="s">
        <v>31</v>
      </c>
      <c r="E647">
        <v>238</v>
      </c>
      <c r="F647" s="1">
        <v>194274.22</v>
      </c>
    </row>
    <row r="648" spans="1:6" hidden="1" x14ac:dyDescent="0.3">
      <c r="A648">
        <v>2023</v>
      </c>
      <c r="B648">
        <v>9</v>
      </c>
      <c r="C648" s="105" t="s">
        <v>45</v>
      </c>
      <c r="D648" s="105" t="s">
        <v>32</v>
      </c>
      <c r="E648">
        <v>222</v>
      </c>
      <c r="F648" s="1">
        <v>157436.09</v>
      </c>
    </row>
    <row r="649" spans="1:6" hidden="1" x14ac:dyDescent="0.3">
      <c r="A649">
        <v>2023</v>
      </c>
      <c r="B649">
        <v>9</v>
      </c>
      <c r="C649" s="105" t="s">
        <v>45</v>
      </c>
      <c r="D649" s="105" t="s">
        <v>33</v>
      </c>
      <c r="E649">
        <v>308</v>
      </c>
      <c r="F649" s="1">
        <v>254579.77</v>
      </c>
    </row>
    <row r="650" spans="1:6" hidden="1" x14ac:dyDescent="0.3">
      <c r="A650">
        <v>2023</v>
      </c>
      <c r="B650">
        <v>9</v>
      </c>
      <c r="C650" s="105" t="s">
        <v>45</v>
      </c>
      <c r="D650" s="105" t="s">
        <v>34</v>
      </c>
      <c r="E650">
        <v>251</v>
      </c>
      <c r="F650" s="1">
        <v>184404.53</v>
      </c>
    </row>
    <row r="651" spans="1:6" hidden="1" x14ac:dyDescent="0.3">
      <c r="A651">
        <v>2023</v>
      </c>
      <c r="B651">
        <v>9</v>
      </c>
      <c r="C651" s="105" t="s">
        <v>45</v>
      </c>
      <c r="D651" s="105" t="s">
        <v>35</v>
      </c>
      <c r="E651">
        <v>152</v>
      </c>
      <c r="F651" s="1">
        <v>107875.64</v>
      </c>
    </row>
    <row r="652" spans="1:6" hidden="1" x14ac:dyDescent="0.3">
      <c r="A652">
        <v>2023</v>
      </c>
      <c r="B652">
        <v>9</v>
      </c>
      <c r="C652" s="105" t="s">
        <v>45</v>
      </c>
      <c r="D652" s="105" t="s">
        <v>36</v>
      </c>
      <c r="E652">
        <v>42</v>
      </c>
      <c r="F652" s="1">
        <v>36337.22</v>
      </c>
    </row>
    <row r="653" spans="1:6" hidden="1" x14ac:dyDescent="0.3">
      <c r="A653">
        <v>2023</v>
      </c>
      <c r="B653">
        <v>9</v>
      </c>
      <c r="C653" s="105" t="s">
        <v>45</v>
      </c>
      <c r="D653" s="105" t="s">
        <v>37</v>
      </c>
      <c r="E653">
        <v>197</v>
      </c>
      <c r="F653" s="1">
        <v>158944.48000000001</v>
      </c>
    </row>
    <row r="654" spans="1:6" hidden="1" x14ac:dyDescent="0.3">
      <c r="A654">
        <v>2023</v>
      </c>
      <c r="B654">
        <v>10</v>
      </c>
      <c r="C654" s="105" t="s">
        <v>46</v>
      </c>
      <c r="D654" s="105" t="s">
        <v>7</v>
      </c>
      <c r="E654">
        <v>40</v>
      </c>
      <c r="F654" s="1">
        <v>34596.050000000003</v>
      </c>
    </row>
    <row r="655" spans="1:6" hidden="1" x14ac:dyDescent="0.3">
      <c r="A655">
        <v>2023</v>
      </c>
      <c r="B655">
        <v>10</v>
      </c>
      <c r="C655" s="105" t="s">
        <v>46</v>
      </c>
      <c r="D655" s="105" t="s">
        <v>8</v>
      </c>
      <c r="E655">
        <v>28</v>
      </c>
      <c r="F655" s="1">
        <v>22312.720000000001</v>
      </c>
    </row>
    <row r="656" spans="1:6" hidden="1" x14ac:dyDescent="0.3">
      <c r="A656">
        <v>2023</v>
      </c>
      <c r="B656">
        <v>10</v>
      </c>
      <c r="C656" s="105" t="s">
        <v>46</v>
      </c>
      <c r="D656" s="105" t="s">
        <v>9</v>
      </c>
      <c r="E656">
        <v>16</v>
      </c>
      <c r="F656" s="1">
        <v>11976.9</v>
      </c>
    </row>
    <row r="657" spans="1:6" hidden="1" x14ac:dyDescent="0.3">
      <c r="A657">
        <v>2023</v>
      </c>
      <c r="B657">
        <v>10</v>
      </c>
      <c r="C657" s="105" t="s">
        <v>46</v>
      </c>
      <c r="D657" s="105" t="s">
        <v>10</v>
      </c>
      <c r="E657">
        <v>113</v>
      </c>
      <c r="F657" s="1">
        <v>112760.33</v>
      </c>
    </row>
    <row r="658" spans="1:6" hidden="1" x14ac:dyDescent="0.3">
      <c r="A658">
        <v>2023</v>
      </c>
      <c r="B658">
        <v>10</v>
      </c>
      <c r="C658" s="105" t="s">
        <v>46</v>
      </c>
      <c r="D658" s="105" t="s">
        <v>11</v>
      </c>
      <c r="E658">
        <v>105</v>
      </c>
      <c r="F658" s="1">
        <v>85530.1</v>
      </c>
    </row>
    <row r="659" spans="1:6" hidden="1" x14ac:dyDescent="0.3">
      <c r="A659">
        <v>2023</v>
      </c>
      <c r="B659">
        <v>10</v>
      </c>
      <c r="C659" s="105" t="s">
        <v>46</v>
      </c>
      <c r="D659" s="105" t="s">
        <v>12</v>
      </c>
      <c r="E659">
        <v>101</v>
      </c>
      <c r="F659" s="1">
        <v>70688.3</v>
      </c>
    </row>
    <row r="660" spans="1:6" hidden="1" x14ac:dyDescent="0.3">
      <c r="A660">
        <v>2023</v>
      </c>
      <c r="B660">
        <v>10</v>
      </c>
      <c r="C660" s="105" t="s">
        <v>46</v>
      </c>
      <c r="D660" s="105" t="s">
        <v>13</v>
      </c>
      <c r="E660">
        <v>145</v>
      </c>
      <c r="F660" s="1">
        <v>102550.17</v>
      </c>
    </row>
    <row r="661" spans="1:6" hidden="1" x14ac:dyDescent="0.3">
      <c r="A661">
        <v>2023</v>
      </c>
      <c r="B661">
        <v>10</v>
      </c>
      <c r="C661" s="105" t="s">
        <v>46</v>
      </c>
      <c r="D661" s="105" t="s">
        <v>14</v>
      </c>
      <c r="E661">
        <v>39</v>
      </c>
      <c r="F661" s="1">
        <v>30313.61</v>
      </c>
    </row>
    <row r="662" spans="1:6" hidden="1" x14ac:dyDescent="0.3">
      <c r="A662">
        <v>2023</v>
      </c>
      <c r="B662">
        <v>10</v>
      </c>
      <c r="C662" s="105" t="s">
        <v>46</v>
      </c>
      <c r="D662" s="105" t="s">
        <v>15</v>
      </c>
      <c r="E662">
        <v>23</v>
      </c>
      <c r="F662" s="1">
        <v>18599.28</v>
      </c>
    </row>
    <row r="663" spans="1:6" hidden="1" x14ac:dyDescent="0.3">
      <c r="A663">
        <v>2023</v>
      </c>
      <c r="B663">
        <v>10</v>
      </c>
      <c r="C663" s="105" t="s">
        <v>46</v>
      </c>
      <c r="D663" s="105" t="s">
        <v>16</v>
      </c>
      <c r="E663">
        <v>46</v>
      </c>
      <c r="F663" s="1">
        <v>30929.15</v>
      </c>
    </row>
    <row r="664" spans="1:6" hidden="1" x14ac:dyDescent="0.3">
      <c r="A664">
        <v>2023</v>
      </c>
      <c r="B664">
        <v>10</v>
      </c>
      <c r="C664" s="105" t="s">
        <v>46</v>
      </c>
      <c r="D664" s="105" t="s">
        <v>17</v>
      </c>
      <c r="E664">
        <v>217</v>
      </c>
      <c r="F664" s="1">
        <v>159909.93</v>
      </c>
    </row>
    <row r="665" spans="1:6" hidden="1" x14ac:dyDescent="0.3">
      <c r="A665">
        <v>2023</v>
      </c>
      <c r="B665">
        <v>10</v>
      </c>
      <c r="C665" s="105" t="s">
        <v>46</v>
      </c>
      <c r="D665" s="105" t="s">
        <v>18</v>
      </c>
      <c r="E665">
        <v>153</v>
      </c>
      <c r="F665" s="1">
        <v>128652.08</v>
      </c>
    </row>
    <row r="666" spans="1:6" hidden="1" x14ac:dyDescent="0.3">
      <c r="A666">
        <v>2023</v>
      </c>
      <c r="B666">
        <v>10</v>
      </c>
      <c r="C666" s="105" t="s">
        <v>46</v>
      </c>
      <c r="D666" s="105" t="s">
        <v>19</v>
      </c>
      <c r="E666">
        <v>19</v>
      </c>
      <c r="F666" s="1">
        <v>14011.5</v>
      </c>
    </row>
    <row r="667" spans="1:6" hidden="1" x14ac:dyDescent="0.3">
      <c r="A667">
        <v>2023</v>
      </c>
      <c r="B667">
        <v>10</v>
      </c>
      <c r="C667" s="105" t="s">
        <v>46</v>
      </c>
      <c r="D667" s="105" t="s">
        <v>20</v>
      </c>
      <c r="E667">
        <v>65</v>
      </c>
      <c r="F667" s="1">
        <v>55351.32</v>
      </c>
    </row>
    <row r="668" spans="1:6" hidden="1" x14ac:dyDescent="0.3">
      <c r="A668">
        <v>2023</v>
      </c>
      <c r="B668">
        <v>10</v>
      </c>
      <c r="C668" s="105" t="s">
        <v>46</v>
      </c>
      <c r="D668" s="105" t="s">
        <v>21</v>
      </c>
      <c r="E668">
        <v>137</v>
      </c>
      <c r="F668" s="1">
        <v>114118.5</v>
      </c>
    </row>
    <row r="669" spans="1:6" x14ac:dyDescent="0.3">
      <c r="A669">
        <v>2023</v>
      </c>
      <c r="B669">
        <v>10</v>
      </c>
      <c r="C669" s="105" t="s">
        <v>46</v>
      </c>
      <c r="D669" s="105" t="s">
        <v>22</v>
      </c>
      <c r="E669">
        <v>57</v>
      </c>
      <c r="F669" s="1">
        <v>39775.019999999997</v>
      </c>
    </row>
    <row r="670" spans="1:6" hidden="1" x14ac:dyDescent="0.3">
      <c r="A670">
        <v>2023</v>
      </c>
      <c r="B670">
        <v>10</v>
      </c>
      <c r="C670" s="105" t="s">
        <v>46</v>
      </c>
      <c r="D670" s="105" t="s">
        <v>23</v>
      </c>
      <c r="E670">
        <v>53</v>
      </c>
      <c r="F670" s="1">
        <v>44721.87</v>
      </c>
    </row>
    <row r="671" spans="1:6" hidden="1" x14ac:dyDescent="0.3">
      <c r="A671">
        <v>2023</v>
      </c>
      <c r="B671">
        <v>10</v>
      </c>
      <c r="C671" s="105" t="s">
        <v>46</v>
      </c>
      <c r="D671" s="105" t="s">
        <v>24</v>
      </c>
      <c r="E671">
        <v>55</v>
      </c>
      <c r="F671" s="1">
        <v>39652.449999999997</v>
      </c>
    </row>
    <row r="672" spans="1:6" hidden="1" x14ac:dyDescent="0.3">
      <c r="A672">
        <v>2023</v>
      </c>
      <c r="B672">
        <v>10</v>
      </c>
      <c r="C672" s="105" t="s">
        <v>46</v>
      </c>
      <c r="D672" s="105" t="s">
        <v>25</v>
      </c>
      <c r="E672">
        <v>83</v>
      </c>
      <c r="F672" s="1">
        <v>69849.23</v>
      </c>
    </row>
    <row r="673" spans="1:6" hidden="1" x14ac:dyDescent="0.3">
      <c r="A673">
        <v>2023</v>
      </c>
      <c r="B673">
        <v>10</v>
      </c>
      <c r="C673" s="105" t="s">
        <v>46</v>
      </c>
      <c r="D673" s="105" t="s">
        <v>26</v>
      </c>
      <c r="E673">
        <v>46</v>
      </c>
      <c r="F673" s="1">
        <v>40168.230000000003</v>
      </c>
    </row>
    <row r="674" spans="1:6" hidden="1" x14ac:dyDescent="0.3">
      <c r="A674">
        <v>2023</v>
      </c>
      <c r="B674">
        <v>10</v>
      </c>
      <c r="C674" s="105" t="s">
        <v>46</v>
      </c>
      <c r="D674" s="105" t="s">
        <v>27</v>
      </c>
      <c r="E674">
        <v>42</v>
      </c>
      <c r="F674" s="1">
        <v>35586.379999999997</v>
      </c>
    </row>
    <row r="675" spans="1:6" hidden="1" x14ac:dyDescent="0.3">
      <c r="A675">
        <v>2023</v>
      </c>
      <c r="B675">
        <v>10</v>
      </c>
      <c r="C675" s="105" t="s">
        <v>46</v>
      </c>
      <c r="D675" s="105" t="s">
        <v>28</v>
      </c>
      <c r="E675">
        <v>5</v>
      </c>
      <c r="F675" s="1">
        <v>3706.52</v>
      </c>
    </row>
    <row r="676" spans="1:6" hidden="1" x14ac:dyDescent="0.3">
      <c r="A676">
        <v>2023</v>
      </c>
      <c r="B676">
        <v>10</v>
      </c>
      <c r="C676" s="105" t="s">
        <v>46</v>
      </c>
      <c r="D676" s="105" t="s">
        <v>29</v>
      </c>
      <c r="E676">
        <v>139</v>
      </c>
      <c r="F676" s="1">
        <v>135935.85999999999</v>
      </c>
    </row>
    <row r="677" spans="1:6" hidden="1" x14ac:dyDescent="0.3">
      <c r="A677">
        <v>2023</v>
      </c>
      <c r="B677">
        <v>10</v>
      </c>
      <c r="C677" s="105" t="s">
        <v>46</v>
      </c>
      <c r="D677" s="105" t="s">
        <v>30</v>
      </c>
      <c r="E677">
        <v>22</v>
      </c>
      <c r="F677" s="1">
        <v>15008.59</v>
      </c>
    </row>
    <row r="678" spans="1:6" hidden="1" x14ac:dyDescent="0.3">
      <c r="A678">
        <v>2023</v>
      </c>
      <c r="B678">
        <v>10</v>
      </c>
      <c r="C678" s="105" t="s">
        <v>46</v>
      </c>
      <c r="D678" s="105" t="s">
        <v>31</v>
      </c>
      <c r="E678">
        <v>196</v>
      </c>
      <c r="F678" s="1">
        <v>159669.5</v>
      </c>
    </row>
    <row r="679" spans="1:6" hidden="1" x14ac:dyDescent="0.3">
      <c r="A679">
        <v>2023</v>
      </c>
      <c r="B679">
        <v>10</v>
      </c>
      <c r="C679" s="105" t="s">
        <v>46</v>
      </c>
      <c r="D679" s="105" t="s">
        <v>32</v>
      </c>
      <c r="E679">
        <v>134</v>
      </c>
      <c r="F679" s="1">
        <v>106425.18</v>
      </c>
    </row>
    <row r="680" spans="1:6" hidden="1" x14ac:dyDescent="0.3">
      <c r="A680">
        <v>2023</v>
      </c>
      <c r="B680">
        <v>10</v>
      </c>
      <c r="C680" s="105" t="s">
        <v>46</v>
      </c>
      <c r="D680" s="105" t="s">
        <v>33</v>
      </c>
      <c r="E680">
        <v>199</v>
      </c>
      <c r="F680" s="1">
        <v>171503.02</v>
      </c>
    </row>
    <row r="681" spans="1:6" hidden="1" x14ac:dyDescent="0.3">
      <c r="A681">
        <v>2023</v>
      </c>
      <c r="B681">
        <v>10</v>
      </c>
      <c r="C681" s="105" t="s">
        <v>46</v>
      </c>
      <c r="D681" s="105" t="s">
        <v>34</v>
      </c>
      <c r="E681">
        <v>121</v>
      </c>
      <c r="F681" s="1">
        <v>97154.31</v>
      </c>
    </row>
    <row r="682" spans="1:6" hidden="1" x14ac:dyDescent="0.3">
      <c r="A682">
        <v>2023</v>
      </c>
      <c r="B682">
        <v>10</v>
      </c>
      <c r="C682" s="105" t="s">
        <v>46</v>
      </c>
      <c r="D682" s="105" t="s">
        <v>35</v>
      </c>
      <c r="E682">
        <v>67</v>
      </c>
      <c r="F682" s="1">
        <v>56799.98</v>
      </c>
    </row>
    <row r="683" spans="1:6" hidden="1" x14ac:dyDescent="0.3">
      <c r="A683">
        <v>2023</v>
      </c>
      <c r="B683">
        <v>10</v>
      </c>
      <c r="C683" s="105" t="s">
        <v>46</v>
      </c>
      <c r="D683" s="105" t="s">
        <v>36</v>
      </c>
      <c r="E683">
        <v>71</v>
      </c>
      <c r="F683" s="1">
        <v>59632.73</v>
      </c>
    </row>
    <row r="684" spans="1:6" hidden="1" x14ac:dyDescent="0.3">
      <c r="A684">
        <v>2023</v>
      </c>
      <c r="B684">
        <v>10</v>
      </c>
      <c r="C684" s="105" t="s">
        <v>46</v>
      </c>
      <c r="D684" s="105" t="s">
        <v>37</v>
      </c>
      <c r="E684">
        <v>118</v>
      </c>
      <c r="F684" s="1">
        <v>101133.78</v>
      </c>
    </row>
    <row r="685" spans="1:6" hidden="1" x14ac:dyDescent="0.3">
      <c r="A685">
        <v>2023</v>
      </c>
      <c r="B685">
        <v>11</v>
      </c>
      <c r="C685" s="105" t="s">
        <v>47</v>
      </c>
      <c r="D685" s="105" t="s">
        <v>7</v>
      </c>
      <c r="E685">
        <v>17</v>
      </c>
      <c r="F685" s="1">
        <v>16476.990000000002</v>
      </c>
    </row>
    <row r="686" spans="1:6" hidden="1" x14ac:dyDescent="0.3">
      <c r="A686">
        <v>2023</v>
      </c>
      <c r="B686">
        <v>11</v>
      </c>
      <c r="C686" s="105" t="s">
        <v>47</v>
      </c>
      <c r="D686" s="105" t="s">
        <v>8</v>
      </c>
      <c r="E686">
        <v>30</v>
      </c>
      <c r="F686" s="1">
        <v>22749.41</v>
      </c>
    </row>
    <row r="687" spans="1:6" hidden="1" x14ac:dyDescent="0.3">
      <c r="A687">
        <v>2023</v>
      </c>
      <c r="B687">
        <v>11</v>
      </c>
      <c r="C687" s="105" t="s">
        <v>47</v>
      </c>
      <c r="D687" s="105" t="s">
        <v>9</v>
      </c>
      <c r="E687">
        <v>16</v>
      </c>
      <c r="F687" s="1">
        <v>13093.17</v>
      </c>
    </row>
    <row r="688" spans="1:6" hidden="1" x14ac:dyDescent="0.3">
      <c r="A688">
        <v>2023</v>
      </c>
      <c r="B688">
        <v>11</v>
      </c>
      <c r="C688" s="105" t="s">
        <v>47</v>
      </c>
      <c r="D688" s="105" t="s">
        <v>10</v>
      </c>
      <c r="E688">
        <v>86</v>
      </c>
      <c r="F688" s="1">
        <v>93654.7</v>
      </c>
    </row>
    <row r="689" spans="1:6" hidden="1" x14ac:dyDescent="0.3">
      <c r="A689">
        <v>2023</v>
      </c>
      <c r="B689">
        <v>11</v>
      </c>
      <c r="C689" s="105" t="s">
        <v>47</v>
      </c>
      <c r="D689" s="105" t="s">
        <v>11</v>
      </c>
      <c r="E689">
        <v>28</v>
      </c>
      <c r="F689" s="1">
        <v>25102.76</v>
      </c>
    </row>
    <row r="690" spans="1:6" hidden="1" x14ac:dyDescent="0.3">
      <c r="A690">
        <v>2023</v>
      </c>
      <c r="B690">
        <v>11</v>
      </c>
      <c r="C690" s="105" t="s">
        <v>47</v>
      </c>
      <c r="D690" s="105" t="s">
        <v>12</v>
      </c>
      <c r="E690">
        <v>53</v>
      </c>
      <c r="F690" s="1">
        <v>41901.760000000002</v>
      </c>
    </row>
    <row r="691" spans="1:6" hidden="1" x14ac:dyDescent="0.3">
      <c r="A691">
        <v>2023</v>
      </c>
      <c r="B691">
        <v>11</v>
      </c>
      <c r="C691" s="105" t="s">
        <v>47</v>
      </c>
      <c r="D691" s="105" t="s">
        <v>13</v>
      </c>
      <c r="E691">
        <v>109</v>
      </c>
      <c r="F691" s="1">
        <v>88288.06</v>
      </c>
    </row>
    <row r="692" spans="1:6" hidden="1" x14ac:dyDescent="0.3">
      <c r="A692">
        <v>2023</v>
      </c>
      <c r="B692">
        <v>11</v>
      </c>
      <c r="C692" s="105" t="s">
        <v>47</v>
      </c>
      <c r="D692" s="105" t="s">
        <v>14</v>
      </c>
      <c r="E692">
        <v>34</v>
      </c>
      <c r="F692" s="1">
        <v>23909.32</v>
      </c>
    </row>
    <row r="693" spans="1:6" hidden="1" x14ac:dyDescent="0.3">
      <c r="A693">
        <v>2023</v>
      </c>
      <c r="B693">
        <v>11</v>
      </c>
      <c r="C693" s="105" t="s">
        <v>47</v>
      </c>
      <c r="D693" s="105" t="s">
        <v>15</v>
      </c>
      <c r="E693">
        <v>17</v>
      </c>
      <c r="F693" s="1">
        <v>14020.33</v>
      </c>
    </row>
    <row r="694" spans="1:6" hidden="1" x14ac:dyDescent="0.3">
      <c r="A694">
        <v>2023</v>
      </c>
      <c r="B694">
        <v>11</v>
      </c>
      <c r="C694" s="105" t="s">
        <v>47</v>
      </c>
      <c r="D694" s="105" t="s">
        <v>16</v>
      </c>
      <c r="E694">
        <v>26</v>
      </c>
      <c r="F694" s="1">
        <v>21016.99</v>
      </c>
    </row>
    <row r="695" spans="1:6" hidden="1" x14ac:dyDescent="0.3">
      <c r="A695">
        <v>2023</v>
      </c>
      <c r="B695">
        <v>11</v>
      </c>
      <c r="C695" s="105" t="s">
        <v>47</v>
      </c>
      <c r="D695" s="105" t="s">
        <v>17</v>
      </c>
      <c r="E695">
        <v>76</v>
      </c>
      <c r="F695" s="1">
        <v>59615.19</v>
      </c>
    </row>
    <row r="696" spans="1:6" hidden="1" x14ac:dyDescent="0.3">
      <c r="A696">
        <v>2023</v>
      </c>
      <c r="B696">
        <v>11</v>
      </c>
      <c r="C696" s="105" t="s">
        <v>47</v>
      </c>
      <c r="D696" s="105" t="s">
        <v>18</v>
      </c>
      <c r="E696">
        <v>101</v>
      </c>
      <c r="F696" s="1">
        <v>89177.51</v>
      </c>
    </row>
    <row r="697" spans="1:6" hidden="1" x14ac:dyDescent="0.3">
      <c r="A697">
        <v>2023</v>
      </c>
      <c r="B697">
        <v>11</v>
      </c>
      <c r="C697" s="105" t="s">
        <v>47</v>
      </c>
      <c r="D697" s="105" t="s">
        <v>19</v>
      </c>
      <c r="E697">
        <v>23</v>
      </c>
      <c r="F697" s="1">
        <v>16637.38</v>
      </c>
    </row>
    <row r="698" spans="1:6" hidden="1" x14ac:dyDescent="0.3">
      <c r="A698">
        <v>2023</v>
      </c>
      <c r="B698">
        <v>11</v>
      </c>
      <c r="C698" s="105" t="s">
        <v>47</v>
      </c>
      <c r="D698" s="105" t="s">
        <v>20</v>
      </c>
      <c r="E698">
        <v>36</v>
      </c>
      <c r="F698" s="1">
        <v>30183.14</v>
      </c>
    </row>
    <row r="699" spans="1:6" hidden="1" x14ac:dyDescent="0.3">
      <c r="A699">
        <v>2023</v>
      </c>
      <c r="B699">
        <v>11</v>
      </c>
      <c r="C699" s="105" t="s">
        <v>47</v>
      </c>
      <c r="D699" s="105" t="s">
        <v>21</v>
      </c>
      <c r="E699">
        <v>77</v>
      </c>
      <c r="F699" s="1">
        <v>73817.08</v>
      </c>
    </row>
    <row r="700" spans="1:6" x14ac:dyDescent="0.3">
      <c r="A700">
        <v>2023</v>
      </c>
      <c r="B700">
        <v>11</v>
      </c>
      <c r="C700" s="105" t="s">
        <v>47</v>
      </c>
      <c r="D700" s="105" t="s">
        <v>22</v>
      </c>
      <c r="E700">
        <v>47</v>
      </c>
      <c r="F700" s="1">
        <v>35338.65</v>
      </c>
    </row>
    <row r="701" spans="1:6" hidden="1" x14ac:dyDescent="0.3">
      <c r="A701">
        <v>2023</v>
      </c>
      <c r="B701">
        <v>11</v>
      </c>
      <c r="C701" s="105" t="s">
        <v>47</v>
      </c>
      <c r="D701" s="105" t="s">
        <v>23</v>
      </c>
      <c r="E701">
        <v>29</v>
      </c>
      <c r="F701" s="1">
        <v>49019.86</v>
      </c>
    </row>
    <row r="702" spans="1:6" hidden="1" x14ac:dyDescent="0.3">
      <c r="A702">
        <v>2023</v>
      </c>
      <c r="B702">
        <v>11</v>
      </c>
      <c r="C702" s="105" t="s">
        <v>47</v>
      </c>
      <c r="D702" s="105" t="s">
        <v>24</v>
      </c>
      <c r="E702">
        <v>50</v>
      </c>
      <c r="F702" s="1">
        <v>40630.44</v>
      </c>
    </row>
    <row r="703" spans="1:6" hidden="1" x14ac:dyDescent="0.3">
      <c r="A703">
        <v>2023</v>
      </c>
      <c r="B703">
        <v>11</v>
      </c>
      <c r="C703" s="105" t="s">
        <v>47</v>
      </c>
      <c r="D703" s="105" t="s">
        <v>25</v>
      </c>
      <c r="E703">
        <v>62</v>
      </c>
      <c r="F703" s="1">
        <v>52764.15</v>
      </c>
    </row>
    <row r="704" spans="1:6" hidden="1" x14ac:dyDescent="0.3">
      <c r="A704">
        <v>2023</v>
      </c>
      <c r="B704">
        <v>11</v>
      </c>
      <c r="C704" s="105" t="s">
        <v>47</v>
      </c>
      <c r="D704" s="105" t="s">
        <v>26</v>
      </c>
      <c r="E704">
        <v>39</v>
      </c>
      <c r="F704" s="1">
        <v>33854.32</v>
      </c>
    </row>
    <row r="705" spans="1:6" hidden="1" x14ac:dyDescent="0.3">
      <c r="A705">
        <v>2023</v>
      </c>
      <c r="B705">
        <v>11</v>
      </c>
      <c r="C705" s="105" t="s">
        <v>47</v>
      </c>
      <c r="D705" s="105" t="s">
        <v>27</v>
      </c>
      <c r="E705">
        <v>44</v>
      </c>
      <c r="F705" s="1">
        <v>37251.410000000003</v>
      </c>
    </row>
    <row r="706" spans="1:6" hidden="1" x14ac:dyDescent="0.3">
      <c r="A706">
        <v>2023</v>
      </c>
      <c r="B706">
        <v>11</v>
      </c>
      <c r="C706" s="105" t="s">
        <v>47</v>
      </c>
      <c r="D706" s="105" t="s">
        <v>28</v>
      </c>
      <c r="E706">
        <v>13</v>
      </c>
      <c r="F706" s="1">
        <v>8923.57</v>
      </c>
    </row>
    <row r="707" spans="1:6" hidden="1" x14ac:dyDescent="0.3">
      <c r="A707">
        <v>2023</v>
      </c>
      <c r="B707">
        <v>11</v>
      </c>
      <c r="C707" s="105" t="s">
        <v>47</v>
      </c>
      <c r="D707" s="105" t="s">
        <v>29</v>
      </c>
      <c r="E707">
        <v>78</v>
      </c>
      <c r="F707" s="1">
        <v>74557.399999999994</v>
      </c>
    </row>
    <row r="708" spans="1:6" hidden="1" x14ac:dyDescent="0.3">
      <c r="A708">
        <v>2023</v>
      </c>
      <c r="B708">
        <v>11</v>
      </c>
      <c r="C708" s="105" t="s">
        <v>47</v>
      </c>
      <c r="D708" s="105" t="s">
        <v>30</v>
      </c>
      <c r="E708">
        <v>19</v>
      </c>
      <c r="F708" s="1">
        <v>12890.55</v>
      </c>
    </row>
    <row r="709" spans="1:6" hidden="1" x14ac:dyDescent="0.3">
      <c r="A709">
        <v>2023</v>
      </c>
      <c r="B709">
        <v>11</v>
      </c>
      <c r="C709" s="105" t="s">
        <v>47</v>
      </c>
      <c r="D709" s="105" t="s">
        <v>31</v>
      </c>
      <c r="E709">
        <v>177</v>
      </c>
      <c r="F709" s="1">
        <v>160375.07</v>
      </c>
    </row>
    <row r="710" spans="1:6" hidden="1" x14ac:dyDescent="0.3">
      <c r="A710">
        <v>2023</v>
      </c>
      <c r="B710">
        <v>11</v>
      </c>
      <c r="C710" s="105" t="s">
        <v>47</v>
      </c>
      <c r="D710" s="105" t="s">
        <v>32</v>
      </c>
      <c r="E710">
        <v>33</v>
      </c>
      <c r="F710" s="1">
        <v>29078.05</v>
      </c>
    </row>
    <row r="711" spans="1:6" hidden="1" x14ac:dyDescent="0.3">
      <c r="A711">
        <v>2023</v>
      </c>
      <c r="B711">
        <v>11</v>
      </c>
      <c r="C711" s="105" t="s">
        <v>47</v>
      </c>
      <c r="D711" s="105" t="s">
        <v>33</v>
      </c>
      <c r="E711">
        <v>164</v>
      </c>
      <c r="F711" s="1">
        <v>152542.16</v>
      </c>
    </row>
    <row r="712" spans="1:6" hidden="1" x14ac:dyDescent="0.3">
      <c r="A712">
        <v>2023</v>
      </c>
      <c r="B712">
        <v>11</v>
      </c>
      <c r="C712" s="105" t="s">
        <v>47</v>
      </c>
      <c r="D712" s="105" t="s">
        <v>34</v>
      </c>
      <c r="E712">
        <v>47</v>
      </c>
      <c r="F712" s="1">
        <v>42085.97</v>
      </c>
    </row>
    <row r="713" spans="1:6" hidden="1" x14ac:dyDescent="0.3">
      <c r="A713">
        <v>2023</v>
      </c>
      <c r="B713">
        <v>11</v>
      </c>
      <c r="C713" s="105" t="s">
        <v>47</v>
      </c>
      <c r="D713" s="105" t="s">
        <v>35</v>
      </c>
      <c r="E713">
        <v>44</v>
      </c>
      <c r="F713" s="1">
        <v>41597.360000000001</v>
      </c>
    </row>
    <row r="714" spans="1:6" hidden="1" x14ac:dyDescent="0.3">
      <c r="A714">
        <v>2023</v>
      </c>
      <c r="B714">
        <v>11</v>
      </c>
      <c r="C714" s="105" t="s">
        <v>47</v>
      </c>
      <c r="D714" s="105" t="s">
        <v>36</v>
      </c>
      <c r="E714">
        <v>39</v>
      </c>
      <c r="F714" s="1">
        <v>32546.28</v>
      </c>
    </row>
    <row r="715" spans="1:6" hidden="1" x14ac:dyDescent="0.3">
      <c r="A715">
        <v>2023</v>
      </c>
      <c r="B715">
        <v>11</v>
      </c>
      <c r="C715" s="105" t="s">
        <v>47</v>
      </c>
      <c r="D715" s="105" t="s">
        <v>37</v>
      </c>
      <c r="E715">
        <v>48</v>
      </c>
      <c r="F715" s="1">
        <v>46004.17</v>
      </c>
    </row>
    <row r="716" spans="1:6" hidden="1" x14ac:dyDescent="0.3">
      <c r="A716">
        <v>2023</v>
      </c>
      <c r="B716">
        <v>12</v>
      </c>
      <c r="C716" s="105" t="s">
        <v>48</v>
      </c>
      <c r="D716" s="105" t="s">
        <v>7</v>
      </c>
      <c r="E716">
        <v>23</v>
      </c>
      <c r="F716" s="1">
        <v>23640.38</v>
      </c>
    </row>
    <row r="717" spans="1:6" hidden="1" x14ac:dyDescent="0.3">
      <c r="A717">
        <v>2023</v>
      </c>
      <c r="B717">
        <v>12</v>
      </c>
      <c r="C717" s="105" t="s">
        <v>48</v>
      </c>
      <c r="D717" s="105" t="s">
        <v>8</v>
      </c>
      <c r="E717">
        <v>28</v>
      </c>
      <c r="F717" s="1">
        <v>20094.849999999999</v>
      </c>
    </row>
    <row r="718" spans="1:6" hidden="1" x14ac:dyDescent="0.3">
      <c r="A718">
        <v>2023</v>
      </c>
      <c r="B718">
        <v>12</v>
      </c>
      <c r="C718" s="105" t="s">
        <v>48</v>
      </c>
      <c r="D718" s="105" t="s">
        <v>9</v>
      </c>
      <c r="E718">
        <v>11</v>
      </c>
      <c r="F718" s="1">
        <v>9362.1200000000008</v>
      </c>
    </row>
    <row r="719" spans="1:6" hidden="1" x14ac:dyDescent="0.3">
      <c r="A719">
        <v>2023</v>
      </c>
      <c r="B719">
        <v>12</v>
      </c>
      <c r="C719" s="105" t="s">
        <v>48</v>
      </c>
      <c r="D719" s="105" t="s">
        <v>10</v>
      </c>
      <c r="E719">
        <v>65</v>
      </c>
      <c r="F719" s="1">
        <v>66724.31</v>
      </c>
    </row>
    <row r="720" spans="1:6" hidden="1" x14ac:dyDescent="0.3">
      <c r="A720">
        <v>2023</v>
      </c>
      <c r="B720">
        <v>12</v>
      </c>
      <c r="C720" s="105" t="s">
        <v>48</v>
      </c>
      <c r="D720" s="105" t="s">
        <v>11</v>
      </c>
      <c r="E720">
        <v>24</v>
      </c>
      <c r="F720" s="1">
        <v>21518.95</v>
      </c>
    </row>
    <row r="721" spans="1:6" hidden="1" x14ac:dyDescent="0.3">
      <c r="A721">
        <v>2023</v>
      </c>
      <c r="B721">
        <v>12</v>
      </c>
      <c r="C721" s="105" t="s">
        <v>48</v>
      </c>
      <c r="D721" s="105" t="s">
        <v>12</v>
      </c>
      <c r="E721">
        <v>49</v>
      </c>
      <c r="F721" s="1">
        <v>42766.5</v>
      </c>
    </row>
    <row r="722" spans="1:6" hidden="1" x14ac:dyDescent="0.3">
      <c r="A722">
        <v>2023</v>
      </c>
      <c r="B722">
        <v>12</v>
      </c>
      <c r="C722" s="105" t="s">
        <v>48</v>
      </c>
      <c r="D722" s="105" t="s">
        <v>13</v>
      </c>
      <c r="E722">
        <v>71</v>
      </c>
      <c r="F722" s="1">
        <v>58946.66</v>
      </c>
    </row>
    <row r="723" spans="1:6" hidden="1" x14ac:dyDescent="0.3">
      <c r="A723">
        <v>2023</v>
      </c>
      <c r="B723">
        <v>12</v>
      </c>
      <c r="C723" s="105" t="s">
        <v>48</v>
      </c>
      <c r="D723" s="105" t="s">
        <v>14</v>
      </c>
      <c r="E723">
        <v>22</v>
      </c>
      <c r="F723" s="1">
        <v>15919.24</v>
      </c>
    </row>
    <row r="724" spans="1:6" hidden="1" x14ac:dyDescent="0.3">
      <c r="A724">
        <v>2023</v>
      </c>
      <c r="B724">
        <v>12</v>
      </c>
      <c r="C724" s="105" t="s">
        <v>48</v>
      </c>
      <c r="D724" s="105" t="s">
        <v>15</v>
      </c>
      <c r="E724">
        <v>10</v>
      </c>
      <c r="F724" s="1">
        <v>7671.56</v>
      </c>
    </row>
    <row r="725" spans="1:6" hidden="1" x14ac:dyDescent="0.3">
      <c r="A725">
        <v>2023</v>
      </c>
      <c r="B725">
        <v>12</v>
      </c>
      <c r="C725" s="105" t="s">
        <v>48</v>
      </c>
      <c r="D725" s="105" t="s">
        <v>16</v>
      </c>
      <c r="E725">
        <v>12</v>
      </c>
      <c r="F725" s="1">
        <v>9564.98</v>
      </c>
    </row>
    <row r="726" spans="1:6" hidden="1" x14ac:dyDescent="0.3">
      <c r="A726">
        <v>2023</v>
      </c>
      <c r="B726">
        <v>12</v>
      </c>
      <c r="C726" s="105" t="s">
        <v>48</v>
      </c>
      <c r="D726" s="105" t="s">
        <v>17</v>
      </c>
      <c r="E726">
        <v>64</v>
      </c>
      <c r="F726" s="1">
        <v>56830.97</v>
      </c>
    </row>
    <row r="727" spans="1:6" hidden="1" x14ac:dyDescent="0.3">
      <c r="A727">
        <v>2023</v>
      </c>
      <c r="B727">
        <v>12</v>
      </c>
      <c r="C727" s="105" t="s">
        <v>48</v>
      </c>
      <c r="D727" s="105" t="s">
        <v>18</v>
      </c>
      <c r="E727">
        <v>76</v>
      </c>
      <c r="F727" s="1">
        <v>69990.16</v>
      </c>
    </row>
    <row r="728" spans="1:6" hidden="1" x14ac:dyDescent="0.3">
      <c r="A728">
        <v>2023</v>
      </c>
      <c r="B728">
        <v>12</v>
      </c>
      <c r="C728" s="105" t="s">
        <v>48</v>
      </c>
      <c r="D728" s="105" t="s">
        <v>19</v>
      </c>
      <c r="E728">
        <v>13</v>
      </c>
      <c r="F728" s="1">
        <v>9779.68</v>
      </c>
    </row>
    <row r="729" spans="1:6" hidden="1" x14ac:dyDescent="0.3">
      <c r="A729">
        <v>2023</v>
      </c>
      <c r="B729">
        <v>12</v>
      </c>
      <c r="C729" s="105" t="s">
        <v>48</v>
      </c>
      <c r="D729" s="105" t="s">
        <v>20</v>
      </c>
      <c r="E729">
        <v>18</v>
      </c>
      <c r="F729" s="1">
        <v>14307.26</v>
      </c>
    </row>
    <row r="730" spans="1:6" hidden="1" x14ac:dyDescent="0.3">
      <c r="A730">
        <v>2023</v>
      </c>
      <c r="B730">
        <v>12</v>
      </c>
      <c r="C730" s="105" t="s">
        <v>48</v>
      </c>
      <c r="D730" s="105" t="s">
        <v>21</v>
      </c>
      <c r="E730">
        <v>52</v>
      </c>
      <c r="F730" s="1">
        <v>55030.54</v>
      </c>
    </row>
    <row r="731" spans="1:6" x14ac:dyDescent="0.3">
      <c r="A731">
        <v>2023</v>
      </c>
      <c r="B731">
        <v>12</v>
      </c>
      <c r="C731" s="105" t="s">
        <v>48</v>
      </c>
      <c r="D731" s="105" t="s">
        <v>22</v>
      </c>
      <c r="E731">
        <v>29</v>
      </c>
      <c r="F731" s="1">
        <v>21720.959999999999</v>
      </c>
    </row>
    <row r="732" spans="1:6" hidden="1" x14ac:dyDescent="0.3">
      <c r="A732">
        <v>2023</v>
      </c>
      <c r="B732">
        <v>12</v>
      </c>
      <c r="C732" s="105" t="s">
        <v>48</v>
      </c>
      <c r="D732" s="105" t="s">
        <v>23</v>
      </c>
      <c r="E732">
        <v>18</v>
      </c>
      <c r="F732" s="1">
        <v>20457.009999999998</v>
      </c>
    </row>
    <row r="733" spans="1:6" hidden="1" x14ac:dyDescent="0.3">
      <c r="A733">
        <v>2023</v>
      </c>
      <c r="B733">
        <v>12</v>
      </c>
      <c r="C733" s="105" t="s">
        <v>48</v>
      </c>
      <c r="D733" s="105" t="s">
        <v>24</v>
      </c>
      <c r="E733">
        <v>28</v>
      </c>
      <c r="F733" s="1">
        <v>21204.38</v>
      </c>
    </row>
    <row r="734" spans="1:6" hidden="1" x14ac:dyDescent="0.3">
      <c r="A734">
        <v>2023</v>
      </c>
      <c r="B734">
        <v>12</v>
      </c>
      <c r="C734" s="105" t="s">
        <v>48</v>
      </c>
      <c r="D734" s="105" t="s">
        <v>25</v>
      </c>
      <c r="E734">
        <v>39</v>
      </c>
      <c r="F734" s="1">
        <v>39925.07</v>
      </c>
    </row>
    <row r="735" spans="1:6" hidden="1" x14ac:dyDescent="0.3">
      <c r="A735">
        <v>2023</v>
      </c>
      <c r="B735">
        <v>12</v>
      </c>
      <c r="C735" s="105" t="s">
        <v>48</v>
      </c>
      <c r="D735" s="105" t="s">
        <v>26</v>
      </c>
      <c r="E735">
        <v>16</v>
      </c>
      <c r="F735" s="1">
        <v>14988.1</v>
      </c>
    </row>
    <row r="736" spans="1:6" hidden="1" x14ac:dyDescent="0.3">
      <c r="A736">
        <v>2023</v>
      </c>
      <c r="B736">
        <v>12</v>
      </c>
      <c r="C736" s="105" t="s">
        <v>48</v>
      </c>
      <c r="D736" s="105" t="s">
        <v>27</v>
      </c>
      <c r="E736">
        <v>31</v>
      </c>
      <c r="F736" s="1">
        <v>46169.9</v>
      </c>
    </row>
    <row r="737" spans="1:6" hidden="1" x14ac:dyDescent="0.3">
      <c r="A737">
        <v>2023</v>
      </c>
      <c r="B737">
        <v>12</v>
      </c>
      <c r="C737" s="105" t="s">
        <v>48</v>
      </c>
      <c r="D737" s="105" t="s">
        <v>28</v>
      </c>
      <c r="E737">
        <v>7</v>
      </c>
      <c r="F737" s="1">
        <v>5444.29</v>
      </c>
    </row>
    <row r="738" spans="1:6" hidden="1" x14ac:dyDescent="0.3">
      <c r="A738">
        <v>2023</v>
      </c>
      <c r="B738">
        <v>12</v>
      </c>
      <c r="C738" s="105" t="s">
        <v>48</v>
      </c>
      <c r="D738" s="105" t="s">
        <v>29</v>
      </c>
      <c r="E738">
        <v>37</v>
      </c>
      <c r="F738" s="1">
        <v>36919.120000000003</v>
      </c>
    </row>
    <row r="739" spans="1:6" hidden="1" x14ac:dyDescent="0.3">
      <c r="A739">
        <v>2023</v>
      </c>
      <c r="B739">
        <v>12</v>
      </c>
      <c r="C739" s="105" t="s">
        <v>48</v>
      </c>
      <c r="D739" s="105" t="s">
        <v>30</v>
      </c>
      <c r="E739">
        <v>14</v>
      </c>
      <c r="F739" s="1">
        <v>11265.79</v>
      </c>
    </row>
    <row r="740" spans="1:6" hidden="1" x14ac:dyDescent="0.3">
      <c r="A740">
        <v>2023</v>
      </c>
      <c r="B740">
        <v>12</v>
      </c>
      <c r="C740" s="105" t="s">
        <v>48</v>
      </c>
      <c r="D740" s="105" t="s">
        <v>31</v>
      </c>
      <c r="E740">
        <v>99</v>
      </c>
      <c r="F740" s="1">
        <v>90957.27</v>
      </c>
    </row>
    <row r="741" spans="1:6" hidden="1" x14ac:dyDescent="0.3">
      <c r="A741">
        <v>2023</v>
      </c>
      <c r="B741">
        <v>12</v>
      </c>
      <c r="C741" s="105" t="s">
        <v>48</v>
      </c>
      <c r="D741" s="105" t="s">
        <v>32</v>
      </c>
      <c r="E741">
        <v>15</v>
      </c>
      <c r="F741" s="1">
        <v>14464.26</v>
      </c>
    </row>
    <row r="742" spans="1:6" hidden="1" x14ac:dyDescent="0.3">
      <c r="A742">
        <v>2023</v>
      </c>
      <c r="B742">
        <v>12</v>
      </c>
      <c r="C742" s="105" t="s">
        <v>48</v>
      </c>
      <c r="D742" s="105" t="s">
        <v>33</v>
      </c>
      <c r="E742">
        <v>113</v>
      </c>
      <c r="F742" s="1">
        <v>111147.93</v>
      </c>
    </row>
    <row r="743" spans="1:6" hidden="1" x14ac:dyDescent="0.3">
      <c r="A743">
        <v>2023</v>
      </c>
      <c r="B743">
        <v>12</v>
      </c>
      <c r="C743" s="105" t="s">
        <v>48</v>
      </c>
      <c r="D743" s="105" t="s">
        <v>34</v>
      </c>
      <c r="E743">
        <v>39</v>
      </c>
      <c r="F743" s="1">
        <v>38843.129999999997</v>
      </c>
    </row>
    <row r="744" spans="1:6" hidden="1" x14ac:dyDescent="0.3">
      <c r="A744">
        <v>2023</v>
      </c>
      <c r="B744">
        <v>12</v>
      </c>
      <c r="C744" s="105" t="s">
        <v>48</v>
      </c>
      <c r="D744" s="105" t="s">
        <v>35</v>
      </c>
      <c r="E744">
        <v>26</v>
      </c>
      <c r="F744" s="1">
        <v>23937.77</v>
      </c>
    </row>
    <row r="745" spans="1:6" hidden="1" x14ac:dyDescent="0.3">
      <c r="A745">
        <v>2023</v>
      </c>
      <c r="B745">
        <v>12</v>
      </c>
      <c r="C745" s="105" t="s">
        <v>48</v>
      </c>
      <c r="D745" s="105" t="s">
        <v>36</v>
      </c>
      <c r="E745">
        <v>34</v>
      </c>
      <c r="F745" s="1">
        <v>28335.59</v>
      </c>
    </row>
    <row r="746" spans="1:6" hidden="1" x14ac:dyDescent="0.3">
      <c r="A746">
        <v>2023</v>
      </c>
      <c r="B746">
        <v>12</v>
      </c>
      <c r="C746" s="105" t="s">
        <v>48</v>
      </c>
      <c r="D746" s="105" t="s">
        <v>37</v>
      </c>
      <c r="E746">
        <v>25</v>
      </c>
      <c r="F746" s="1">
        <v>21992.36</v>
      </c>
    </row>
    <row r="747" spans="1:6" hidden="1" x14ac:dyDescent="0.3">
      <c r="A747">
        <v>2024</v>
      </c>
      <c r="B747">
        <v>1</v>
      </c>
      <c r="C747" s="105" t="s">
        <v>6</v>
      </c>
      <c r="D747" s="105" t="s">
        <v>7</v>
      </c>
      <c r="E747">
        <v>16</v>
      </c>
      <c r="F747" s="1">
        <v>18632.259999999998</v>
      </c>
    </row>
    <row r="748" spans="1:6" hidden="1" x14ac:dyDescent="0.3">
      <c r="A748">
        <v>2024</v>
      </c>
      <c r="B748">
        <v>1</v>
      </c>
      <c r="C748" s="105" t="s">
        <v>6</v>
      </c>
      <c r="D748" s="105" t="s">
        <v>8</v>
      </c>
      <c r="E748">
        <v>18</v>
      </c>
      <c r="F748" s="1">
        <v>11597.47</v>
      </c>
    </row>
    <row r="749" spans="1:6" hidden="1" x14ac:dyDescent="0.3">
      <c r="A749">
        <v>2024</v>
      </c>
      <c r="B749">
        <v>1</v>
      </c>
      <c r="C749" s="105" t="s">
        <v>6</v>
      </c>
      <c r="D749" s="105" t="s">
        <v>9</v>
      </c>
      <c r="E749">
        <v>8</v>
      </c>
      <c r="F749" s="1">
        <v>6790</v>
      </c>
    </row>
    <row r="750" spans="1:6" hidden="1" x14ac:dyDescent="0.3">
      <c r="A750">
        <v>2024</v>
      </c>
      <c r="B750">
        <v>1</v>
      </c>
      <c r="C750" s="105" t="s">
        <v>6</v>
      </c>
      <c r="D750" s="105" t="s">
        <v>10</v>
      </c>
      <c r="E750">
        <v>63</v>
      </c>
      <c r="F750" s="1">
        <v>61510.86</v>
      </c>
    </row>
    <row r="751" spans="1:6" hidden="1" x14ac:dyDescent="0.3">
      <c r="A751">
        <v>2024</v>
      </c>
      <c r="B751">
        <v>1</v>
      </c>
      <c r="C751" s="105" t="s">
        <v>6</v>
      </c>
      <c r="D751" s="105" t="s">
        <v>11</v>
      </c>
      <c r="E751">
        <v>24</v>
      </c>
      <c r="F751" s="1">
        <v>27004.92</v>
      </c>
    </row>
    <row r="752" spans="1:6" hidden="1" x14ac:dyDescent="0.3">
      <c r="A752">
        <v>2024</v>
      </c>
      <c r="B752">
        <v>1</v>
      </c>
      <c r="C752" s="105" t="s">
        <v>6</v>
      </c>
      <c r="D752" s="105" t="s">
        <v>12</v>
      </c>
      <c r="E752">
        <v>50</v>
      </c>
      <c r="F752" s="1">
        <v>38946.54</v>
      </c>
    </row>
    <row r="753" spans="1:6" hidden="1" x14ac:dyDescent="0.3">
      <c r="A753">
        <v>2024</v>
      </c>
      <c r="B753">
        <v>1</v>
      </c>
      <c r="C753" s="105" t="s">
        <v>6</v>
      </c>
      <c r="D753" s="105" t="s">
        <v>13</v>
      </c>
      <c r="E753">
        <v>52</v>
      </c>
      <c r="F753" s="1">
        <v>47169.55</v>
      </c>
    </row>
    <row r="754" spans="1:6" hidden="1" x14ac:dyDescent="0.3">
      <c r="A754">
        <v>2024</v>
      </c>
      <c r="B754">
        <v>1</v>
      </c>
      <c r="C754" s="105" t="s">
        <v>6</v>
      </c>
      <c r="D754" s="105" t="s">
        <v>14</v>
      </c>
      <c r="E754">
        <v>28</v>
      </c>
      <c r="F754" s="1">
        <v>19710.03</v>
      </c>
    </row>
    <row r="755" spans="1:6" hidden="1" x14ac:dyDescent="0.3">
      <c r="A755">
        <v>2024</v>
      </c>
      <c r="B755">
        <v>1</v>
      </c>
      <c r="C755" s="105" t="s">
        <v>6</v>
      </c>
      <c r="D755" s="105" t="s">
        <v>15</v>
      </c>
      <c r="E755">
        <v>9</v>
      </c>
      <c r="F755" s="1">
        <v>6568.75</v>
      </c>
    </row>
    <row r="756" spans="1:6" hidden="1" x14ac:dyDescent="0.3">
      <c r="A756">
        <v>2024</v>
      </c>
      <c r="B756">
        <v>1</v>
      </c>
      <c r="C756" s="105" t="s">
        <v>6</v>
      </c>
      <c r="D756" s="105" t="s">
        <v>16</v>
      </c>
      <c r="E756">
        <v>14</v>
      </c>
      <c r="F756" s="1">
        <v>11377</v>
      </c>
    </row>
    <row r="757" spans="1:6" hidden="1" x14ac:dyDescent="0.3">
      <c r="A757">
        <v>2024</v>
      </c>
      <c r="B757">
        <v>1</v>
      </c>
      <c r="C757" s="105" t="s">
        <v>6</v>
      </c>
      <c r="D757" s="105" t="s">
        <v>17</v>
      </c>
      <c r="E757">
        <v>59</v>
      </c>
      <c r="F757" s="1">
        <v>49766.080000000002</v>
      </c>
    </row>
    <row r="758" spans="1:6" hidden="1" x14ac:dyDescent="0.3">
      <c r="A758">
        <v>2024</v>
      </c>
      <c r="B758">
        <v>1</v>
      </c>
      <c r="C758" s="105" t="s">
        <v>6</v>
      </c>
      <c r="D758" s="105" t="s">
        <v>18</v>
      </c>
      <c r="E758">
        <v>74</v>
      </c>
      <c r="F758" s="1">
        <v>69348.639999999999</v>
      </c>
    </row>
    <row r="759" spans="1:6" hidden="1" x14ac:dyDescent="0.3">
      <c r="A759">
        <v>2024</v>
      </c>
      <c r="B759">
        <v>1</v>
      </c>
      <c r="C759" s="105" t="s">
        <v>6</v>
      </c>
      <c r="D759" s="105" t="s">
        <v>19</v>
      </c>
      <c r="E759">
        <v>14</v>
      </c>
      <c r="F759" s="1">
        <v>10674.5</v>
      </c>
    </row>
    <row r="760" spans="1:6" hidden="1" x14ac:dyDescent="0.3">
      <c r="A760">
        <v>2024</v>
      </c>
      <c r="B760">
        <v>1</v>
      </c>
      <c r="C760" s="105" t="s">
        <v>6</v>
      </c>
      <c r="D760" s="105" t="s">
        <v>20</v>
      </c>
      <c r="E760">
        <v>13</v>
      </c>
      <c r="F760" s="1">
        <v>8858</v>
      </c>
    </row>
    <row r="761" spans="1:6" hidden="1" x14ac:dyDescent="0.3">
      <c r="A761">
        <v>2024</v>
      </c>
      <c r="B761">
        <v>1</v>
      </c>
      <c r="C761" s="105" t="s">
        <v>6</v>
      </c>
      <c r="D761" s="105" t="s">
        <v>21</v>
      </c>
      <c r="E761">
        <v>47</v>
      </c>
      <c r="F761" s="1">
        <v>49216.79</v>
      </c>
    </row>
    <row r="762" spans="1:6" x14ac:dyDescent="0.3">
      <c r="A762">
        <v>2024</v>
      </c>
      <c r="B762">
        <v>1</v>
      </c>
      <c r="C762" s="105" t="s">
        <v>6</v>
      </c>
      <c r="D762" s="105" t="s">
        <v>22</v>
      </c>
      <c r="E762">
        <v>25</v>
      </c>
      <c r="F762" s="1">
        <v>17868.95</v>
      </c>
    </row>
    <row r="763" spans="1:6" hidden="1" x14ac:dyDescent="0.3">
      <c r="A763">
        <v>2024</v>
      </c>
      <c r="B763">
        <v>1</v>
      </c>
      <c r="C763" s="105" t="s">
        <v>6</v>
      </c>
      <c r="D763" s="105" t="s">
        <v>23</v>
      </c>
      <c r="E763">
        <v>14</v>
      </c>
      <c r="F763" s="1">
        <v>13965.33</v>
      </c>
    </row>
    <row r="764" spans="1:6" hidden="1" x14ac:dyDescent="0.3">
      <c r="A764">
        <v>2024</v>
      </c>
      <c r="B764">
        <v>1</v>
      </c>
      <c r="C764" s="105" t="s">
        <v>6</v>
      </c>
      <c r="D764" s="105" t="s">
        <v>24</v>
      </c>
      <c r="E764">
        <v>35</v>
      </c>
      <c r="F764" s="1">
        <v>25601.41</v>
      </c>
    </row>
    <row r="765" spans="1:6" hidden="1" x14ac:dyDescent="0.3">
      <c r="A765">
        <v>2024</v>
      </c>
      <c r="B765">
        <v>1</v>
      </c>
      <c r="C765" s="105" t="s">
        <v>6</v>
      </c>
      <c r="D765" s="105" t="s">
        <v>25</v>
      </c>
      <c r="E765">
        <v>33</v>
      </c>
      <c r="F765" s="1">
        <v>44883.89</v>
      </c>
    </row>
    <row r="766" spans="1:6" hidden="1" x14ac:dyDescent="0.3">
      <c r="A766">
        <v>2024</v>
      </c>
      <c r="B766">
        <v>1</v>
      </c>
      <c r="C766" s="105" t="s">
        <v>6</v>
      </c>
      <c r="D766" s="105" t="s">
        <v>26</v>
      </c>
      <c r="E766">
        <v>19</v>
      </c>
      <c r="F766" s="1">
        <v>17116.78</v>
      </c>
    </row>
    <row r="767" spans="1:6" hidden="1" x14ac:dyDescent="0.3">
      <c r="A767">
        <v>2024</v>
      </c>
      <c r="B767">
        <v>1</v>
      </c>
      <c r="C767" s="105" t="s">
        <v>6</v>
      </c>
      <c r="D767" s="105" t="s">
        <v>27</v>
      </c>
      <c r="E767">
        <v>33</v>
      </c>
      <c r="F767" s="1">
        <v>29188.85</v>
      </c>
    </row>
    <row r="768" spans="1:6" hidden="1" x14ac:dyDescent="0.3">
      <c r="A768">
        <v>2024</v>
      </c>
      <c r="B768">
        <v>1</v>
      </c>
      <c r="C768" s="105" t="s">
        <v>6</v>
      </c>
      <c r="D768" s="105" t="s">
        <v>28</v>
      </c>
      <c r="E768">
        <v>10</v>
      </c>
      <c r="F768" s="1">
        <v>7877.75</v>
      </c>
    </row>
    <row r="769" spans="1:6" hidden="1" x14ac:dyDescent="0.3">
      <c r="A769">
        <v>2024</v>
      </c>
      <c r="B769">
        <v>1</v>
      </c>
      <c r="C769" s="105" t="s">
        <v>6</v>
      </c>
      <c r="D769" s="105" t="s">
        <v>29</v>
      </c>
      <c r="E769">
        <v>41</v>
      </c>
      <c r="F769" s="1">
        <v>37947.21</v>
      </c>
    </row>
    <row r="770" spans="1:6" hidden="1" x14ac:dyDescent="0.3">
      <c r="A770">
        <v>2024</v>
      </c>
      <c r="B770">
        <v>1</v>
      </c>
      <c r="C770" s="105" t="s">
        <v>6</v>
      </c>
      <c r="D770" s="105" t="s">
        <v>30</v>
      </c>
      <c r="E770">
        <v>22</v>
      </c>
      <c r="F770" s="1">
        <v>15160.22</v>
      </c>
    </row>
    <row r="771" spans="1:6" hidden="1" x14ac:dyDescent="0.3">
      <c r="A771">
        <v>2024</v>
      </c>
      <c r="B771">
        <v>1</v>
      </c>
      <c r="C771" s="105" t="s">
        <v>6</v>
      </c>
      <c r="D771" s="105" t="s">
        <v>31</v>
      </c>
      <c r="E771">
        <v>118</v>
      </c>
      <c r="F771" s="1">
        <v>113850.91</v>
      </c>
    </row>
    <row r="772" spans="1:6" hidden="1" x14ac:dyDescent="0.3">
      <c r="A772">
        <v>2024</v>
      </c>
      <c r="B772">
        <v>1</v>
      </c>
      <c r="C772" s="105" t="s">
        <v>6</v>
      </c>
      <c r="D772" s="105" t="s">
        <v>32</v>
      </c>
      <c r="E772">
        <v>19</v>
      </c>
      <c r="F772" s="1">
        <v>17079.439999999999</v>
      </c>
    </row>
    <row r="773" spans="1:6" hidden="1" x14ac:dyDescent="0.3">
      <c r="A773">
        <v>2024</v>
      </c>
      <c r="B773">
        <v>1</v>
      </c>
      <c r="C773" s="105" t="s">
        <v>6</v>
      </c>
      <c r="D773" s="105" t="s">
        <v>33</v>
      </c>
      <c r="E773">
        <v>92</v>
      </c>
      <c r="F773" s="1">
        <v>87781.84</v>
      </c>
    </row>
    <row r="774" spans="1:6" hidden="1" x14ac:dyDescent="0.3">
      <c r="A774">
        <v>2024</v>
      </c>
      <c r="B774">
        <v>1</v>
      </c>
      <c r="C774" s="105" t="s">
        <v>6</v>
      </c>
      <c r="D774" s="105" t="s">
        <v>34</v>
      </c>
      <c r="E774">
        <v>40</v>
      </c>
      <c r="F774" s="1">
        <v>35694.78</v>
      </c>
    </row>
    <row r="775" spans="1:6" hidden="1" x14ac:dyDescent="0.3">
      <c r="A775">
        <v>2024</v>
      </c>
      <c r="B775">
        <v>1</v>
      </c>
      <c r="C775" s="105" t="s">
        <v>6</v>
      </c>
      <c r="D775" s="105" t="s">
        <v>35</v>
      </c>
      <c r="E775">
        <v>36</v>
      </c>
      <c r="F775" s="1">
        <v>32325.94</v>
      </c>
    </row>
    <row r="776" spans="1:6" hidden="1" x14ac:dyDescent="0.3">
      <c r="A776">
        <v>2024</v>
      </c>
      <c r="B776">
        <v>1</v>
      </c>
      <c r="C776" s="105" t="s">
        <v>6</v>
      </c>
      <c r="D776" s="105" t="s">
        <v>36</v>
      </c>
      <c r="E776">
        <v>35</v>
      </c>
      <c r="F776" s="1">
        <v>29418.02</v>
      </c>
    </row>
    <row r="777" spans="1:6" hidden="1" x14ac:dyDescent="0.3">
      <c r="A777">
        <v>2024</v>
      </c>
      <c r="B777">
        <v>1</v>
      </c>
      <c r="C777" s="105" t="s">
        <v>6</v>
      </c>
      <c r="D777" s="105" t="s">
        <v>37</v>
      </c>
      <c r="E777">
        <v>34</v>
      </c>
      <c r="F777" s="1">
        <v>30838.31</v>
      </c>
    </row>
    <row r="778" spans="1:6" hidden="1" x14ac:dyDescent="0.3">
      <c r="A778">
        <v>2024</v>
      </c>
      <c r="B778">
        <v>2</v>
      </c>
      <c r="C778" s="105" t="s">
        <v>38</v>
      </c>
      <c r="D778" s="105" t="s">
        <v>7</v>
      </c>
      <c r="E778">
        <v>19</v>
      </c>
      <c r="F778" s="1">
        <v>18804.75</v>
      </c>
    </row>
    <row r="779" spans="1:6" hidden="1" x14ac:dyDescent="0.3">
      <c r="A779">
        <v>2024</v>
      </c>
      <c r="B779">
        <v>2</v>
      </c>
      <c r="C779" s="105" t="s">
        <v>38</v>
      </c>
      <c r="D779" s="105" t="s">
        <v>8</v>
      </c>
      <c r="E779">
        <v>29</v>
      </c>
      <c r="F779" s="1">
        <v>21988</v>
      </c>
    </row>
    <row r="780" spans="1:6" hidden="1" x14ac:dyDescent="0.3">
      <c r="A780">
        <v>2024</v>
      </c>
      <c r="B780">
        <v>2</v>
      </c>
      <c r="C780" s="105" t="s">
        <v>38</v>
      </c>
      <c r="D780" s="105" t="s">
        <v>9</v>
      </c>
      <c r="E780">
        <v>8</v>
      </c>
      <c r="F780" s="1">
        <v>6046</v>
      </c>
    </row>
    <row r="781" spans="1:6" hidden="1" x14ac:dyDescent="0.3">
      <c r="A781">
        <v>2024</v>
      </c>
      <c r="B781">
        <v>2</v>
      </c>
      <c r="C781" s="105" t="s">
        <v>38</v>
      </c>
      <c r="D781" s="105" t="s">
        <v>10</v>
      </c>
      <c r="E781">
        <v>37</v>
      </c>
      <c r="F781" s="1">
        <v>40977.68</v>
      </c>
    </row>
    <row r="782" spans="1:6" hidden="1" x14ac:dyDescent="0.3">
      <c r="A782">
        <v>2024</v>
      </c>
      <c r="B782">
        <v>2</v>
      </c>
      <c r="C782" s="105" t="s">
        <v>38</v>
      </c>
      <c r="D782" s="105" t="s">
        <v>11</v>
      </c>
      <c r="E782">
        <v>36</v>
      </c>
      <c r="F782" s="1">
        <v>47214</v>
      </c>
    </row>
    <row r="783" spans="1:6" hidden="1" x14ac:dyDescent="0.3">
      <c r="A783">
        <v>2024</v>
      </c>
      <c r="B783">
        <v>2</v>
      </c>
      <c r="C783" s="105" t="s">
        <v>38</v>
      </c>
      <c r="D783" s="105" t="s">
        <v>12</v>
      </c>
      <c r="E783">
        <v>68</v>
      </c>
      <c r="F783" s="1">
        <v>50371.24</v>
      </c>
    </row>
    <row r="784" spans="1:6" hidden="1" x14ac:dyDescent="0.3">
      <c r="A784">
        <v>2024</v>
      </c>
      <c r="B784">
        <v>2</v>
      </c>
      <c r="C784" s="105" t="s">
        <v>38</v>
      </c>
      <c r="D784" s="105" t="s">
        <v>13</v>
      </c>
      <c r="E784">
        <v>79</v>
      </c>
      <c r="F784" s="1">
        <v>60926.9</v>
      </c>
    </row>
    <row r="785" spans="1:6" hidden="1" x14ac:dyDescent="0.3">
      <c r="A785">
        <v>2024</v>
      </c>
      <c r="B785">
        <v>2</v>
      </c>
      <c r="C785" s="105" t="s">
        <v>38</v>
      </c>
      <c r="D785" s="105" t="s">
        <v>14</v>
      </c>
      <c r="E785">
        <v>35</v>
      </c>
      <c r="F785" s="1">
        <v>26398.560000000001</v>
      </c>
    </row>
    <row r="786" spans="1:6" hidden="1" x14ac:dyDescent="0.3">
      <c r="A786">
        <v>2024</v>
      </c>
      <c r="B786">
        <v>2</v>
      </c>
      <c r="C786" s="105" t="s">
        <v>38</v>
      </c>
      <c r="D786" s="105" t="s">
        <v>15</v>
      </c>
      <c r="E786">
        <v>12</v>
      </c>
      <c r="F786" s="1">
        <v>10111.629999999999</v>
      </c>
    </row>
    <row r="787" spans="1:6" hidden="1" x14ac:dyDescent="0.3">
      <c r="A787">
        <v>2024</v>
      </c>
      <c r="B787">
        <v>2</v>
      </c>
      <c r="C787" s="105" t="s">
        <v>38</v>
      </c>
      <c r="D787" s="105" t="s">
        <v>16</v>
      </c>
      <c r="E787">
        <v>18</v>
      </c>
      <c r="F787" s="1">
        <v>15008.8</v>
      </c>
    </row>
    <row r="788" spans="1:6" hidden="1" x14ac:dyDescent="0.3">
      <c r="A788">
        <v>2024</v>
      </c>
      <c r="B788">
        <v>2</v>
      </c>
      <c r="C788" s="105" t="s">
        <v>38</v>
      </c>
      <c r="D788" s="105" t="s">
        <v>17</v>
      </c>
      <c r="E788">
        <v>70</v>
      </c>
      <c r="F788" s="1">
        <v>58383.72</v>
      </c>
    </row>
    <row r="789" spans="1:6" hidden="1" x14ac:dyDescent="0.3">
      <c r="A789">
        <v>2024</v>
      </c>
      <c r="B789">
        <v>2</v>
      </c>
      <c r="C789" s="105" t="s">
        <v>38</v>
      </c>
      <c r="D789" s="105" t="s">
        <v>18</v>
      </c>
      <c r="E789">
        <v>66</v>
      </c>
      <c r="F789" s="1">
        <v>61399.79</v>
      </c>
    </row>
    <row r="790" spans="1:6" hidden="1" x14ac:dyDescent="0.3">
      <c r="A790">
        <v>2024</v>
      </c>
      <c r="B790">
        <v>2</v>
      </c>
      <c r="C790" s="105" t="s">
        <v>38</v>
      </c>
      <c r="D790" s="105" t="s">
        <v>19</v>
      </c>
      <c r="E790">
        <v>17</v>
      </c>
      <c r="F790" s="1">
        <v>12022.56</v>
      </c>
    </row>
    <row r="791" spans="1:6" hidden="1" x14ac:dyDescent="0.3">
      <c r="A791">
        <v>2024</v>
      </c>
      <c r="B791">
        <v>2</v>
      </c>
      <c r="C791" s="105" t="s">
        <v>38</v>
      </c>
      <c r="D791" s="105" t="s">
        <v>20</v>
      </c>
      <c r="E791">
        <v>12</v>
      </c>
      <c r="F791" s="1">
        <v>7289.51</v>
      </c>
    </row>
    <row r="792" spans="1:6" hidden="1" x14ac:dyDescent="0.3">
      <c r="A792">
        <v>2024</v>
      </c>
      <c r="B792">
        <v>2</v>
      </c>
      <c r="C792" s="105" t="s">
        <v>38</v>
      </c>
      <c r="D792" s="105" t="s">
        <v>21</v>
      </c>
      <c r="E792">
        <v>43</v>
      </c>
      <c r="F792" s="1">
        <v>42812.13</v>
      </c>
    </row>
    <row r="793" spans="1:6" x14ac:dyDescent="0.3">
      <c r="A793">
        <v>2024</v>
      </c>
      <c r="B793">
        <v>2</v>
      </c>
      <c r="C793" s="105" t="s">
        <v>38</v>
      </c>
      <c r="D793" s="105" t="s">
        <v>22</v>
      </c>
      <c r="E793">
        <v>24</v>
      </c>
      <c r="F793" s="1">
        <v>16292.52</v>
      </c>
    </row>
    <row r="794" spans="1:6" hidden="1" x14ac:dyDescent="0.3">
      <c r="A794">
        <v>2024</v>
      </c>
      <c r="B794">
        <v>2</v>
      </c>
      <c r="C794" s="105" t="s">
        <v>38</v>
      </c>
      <c r="D794" s="105" t="s">
        <v>23</v>
      </c>
      <c r="E794">
        <v>27</v>
      </c>
      <c r="F794" s="1">
        <v>25168.33</v>
      </c>
    </row>
    <row r="795" spans="1:6" hidden="1" x14ac:dyDescent="0.3">
      <c r="A795">
        <v>2024</v>
      </c>
      <c r="B795">
        <v>2</v>
      </c>
      <c r="C795" s="105" t="s">
        <v>38</v>
      </c>
      <c r="D795" s="105" t="s">
        <v>24</v>
      </c>
      <c r="E795">
        <v>32</v>
      </c>
      <c r="F795" s="1">
        <v>21764.34</v>
      </c>
    </row>
    <row r="796" spans="1:6" hidden="1" x14ac:dyDescent="0.3">
      <c r="A796">
        <v>2024</v>
      </c>
      <c r="B796">
        <v>2</v>
      </c>
      <c r="C796" s="105" t="s">
        <v>38</v>
      </c>
      <c r="D796" s="105" t="s">
        <v>25</v>
      </c>
      <c r="E796">
        <v>39</v>
      </c>
      <c r="F796" s="1">
        <v>36880.68</v>
      </c>
    </row>
    <row r="797" spans="1:6" hidden="1" x14ac:dyDescent="0.3">
      <c r="A797">
        <v>2024</v>
      </c>
      <c r="B797">
        <v>2</v>
      </c>
      <c r="C797" s="105" t="s">
        <v>38</v>
      </c>
      <c r="D797" s="105" t="s">
        <v>26</v>
      </c>
      <c r="E797">
        <v>28</v>
      </c>
      <c r="F797" s="1">
        <v>25278.35</v>
      </c>
    </row>
    <row r="798" spans="1:6" hidden="1" x14ac:dyDescent="0.3">
      <c r="A798">
        <v>2024</v>
      </c>
      <c r="B798">
        <v>2</v>
      </c>
      <c r="C798" s="105" t="s">
        <v>38</v>
      </c>
      <c r="D798" s="105" t="s">
        <v>27</v>
      </c>
      <c r="E798">
        <v>24</v>
      </c>
      <c r="F798" s="1">
        <v>21996.43</v>
      </c>
    </row>
    <row r="799" spans="1:6" hidden="1" x14ac:dyDescent="0.3">
      <c r="A799">
        <v>2024</v>
      </c>
      <c r="B799">
        <v>2</v>
      </c>
      <c r="C799" s="105" t="s">
        <v>38</v>
      </c>
      <c r="D799" s="105" t="s">
        <v>28</v>
      </c>
      <c r="E799">
        <v>9</v>
      </c>
      <c r="F799" s="1">
        <v>7188.24</v>
      </c>
    </row>
    <row r="800" spans="1:6" hidden="1" x14ac:dyDescent="0.3">
      <c r="A800">
        <v>2024</v>
      </c>
      <c r="B800">
        <v>2</v>
      </c>
      <c r="C800" s="105" t="s">
        <v>38</v>
      </c>
      <c r="D800" s="105" t="s">
        <v>29</v>
      </c>
      <c r="E800">
        <v>56</v>
      </c>
      <c r="F800" s="1">
        <v>57520.85</v>
      </c>
    </row>
    <row r="801" spans="1:6" hidden="1" x14ac:dyDescent="0.3">
      <c r="A801">
        <v>2024</v>
      </c>
      <c r="B801">
        <v>2</v>
      </c>
      <c r="C801" s="105" t="s">
        <v>38</v>
      </c>
      <c r="D801" s="105" t="s">
        <v>30</v>
      </c>
      <c r="E801">
        <v>18</v>
      </c>
      <c r="F801" s="1">
        <v>11532.52</v>
      </c>
    </row>
    <row r="802" spans="1:6" hidden="1" x14ac:dyDescent="0.3">
      <c r="A802">
        <v>2024</v>
      </c>
      <c r="B802">
        <v>2</v>
      </c>
      <c r="C802" s="105" t="s">
        <v>38</v>
      </c>
      <c r="D802" s="105" t="s">
        <v>31</v>
      </c>
      <c r="E802">
        <v>111</v>
      </c>
      <c r="F802" s="1">
        <v>108470.51</v>
      </c>
    </row>
    <row r="803" spans="1:6" hidden="1" x14ac:dyDescent="0.3">
      <c r="A803">
        <v>2024</v>
      </c>
      <c r="B803">
        <v>2</v>
      </c>
      <c r="C803" s="105" t="s">
        <v>38</v>
      </c>
      <c r="D803" s="105" t="s">
        <v>32</v>
      </c>
      <c r="E803">
        <v>25</v>
      </c>
      <c r="F803" s="1">
        <v>23254.78</v>
      </c>
    </row>
    <row r="804" spans="1:6" hidden="1" x14ac:dyDescent="0.3">
      <c r="A804">
        <v>2024</v>
      </c>
      <c r="B804">
        <v>2</v>
      </c>
      <c r="C804" s="105" t="s">
        <v>38</v>
      </c>
      <c r="D804" s="105" t="s">
        <v>33</v>
      </c>
      <c r="E804">
        <v>100</v>
      </c>
      <c r="F804" s="1">
        <v>97472.13</v>
      </c>
    </row>
    <row r="805" spans="1:6" hidden="1" x14ac:dyDescent="0.3">
      <c r="A805">
        <v>2024</v>
      </c>
      <c r="B805">
        <v>2</v>
      </c>
      <c r="C805" s="105" t="s">
        <v>38</v>
      </c>
      <c r="D805" s="105" t="s">
        <v>34</v>
      </c>
      <c r="E805">
        <v>51</v>
      </c>
      <c r="F805" s="1">
        <v>43109.36</v>
      </c>
    </row>
    <row r="806" spans="1:6" hidden="1" x14ac:dyDescent="0.3">
      <c r="A806">
        <v>2024</v>
      </c>
      <c r="B806">
        <v>2</v>
      </c>
      <c r="C806" s="105" t="s">
        <v>38</v>
      </c>
      <c r="D806" s="105" t="s">
        <v>35</v>
      </c>
      <c r="E806">
        <v>31</v>
      </c>
      <c r="F806" s="1">
        <v>28250.26</v>
      </c>
    </row>
    <row r="807" spans="1:6" hidden="1" x14ac:dyDescent="0.3">
      <c r="A807">
        <v>2024</v>
      </c>
      <c r="B807">
        <v>2</v>
      </c>
      <c r="C807" s="105" t="s">
        <v>38</v>
      </c>
      <c r="D807" s="105" t="s">
        <v>36</v>
      </c>
      <c r="E807">
        <v>32</v>
      </c>
      <c r="F807" s="1">
        <v>27613.32</v>
      </c>
    </row>
    <row r="808" spans="1:6" hidden="1" x14ac:dyDescent="0.3">
      <c r="A808">
        <v>2024</v>
      </c>
      <c r="B808">
        <v>2</v>
      </c>
      <c r="C808" s="105" t="s">
        <v>38</v>
      </c>
      <c r="D808" s="105" t="s">
        <v>37</v>
      </c>
      <c r="E808">
        <v>31</v>
      </c>
      <c r="F808" s="1">
        <v>28093.14</v>
      </c>
    </row>
    <row r="809" spans="1:6" hidden="1" x14ac:dyDescent="0.3">
      <c r="A809">
        <v>2024</v>
      </c>
      <c r="B809">
        <v>3</v>
      </c>
      <c r="C809" s="105" t="s">
        <v>39</v>
      </c>
      <c r="D809" s="105" t="s">
        <v>7</v>
      </c>
      <c r="E809">
        <v>27</v>
      </c>
      <c r="F809" s="1">
        <v>23697.14</v>
      </c>
    </row>
    <row r="810" spans="1:6" hidden="1" x14ac:dyDescent="0.3">
      <c r="A810">
        <v>2024</v>
      </c>
      <c r="B810">
        <v>3</v>
      </c>
      <c r="C810" s="105" t="s">
        <v>39</v>
      </c>
      <c r="D810" s="105" t="s">
        <v>8</v>
      </c>
      <c r="E810">
        <v>25</v>
      </c>
      <c r="F810" s="1">
        <v>19186.8</v>
      </c>
    </row>
    <row r="811" spans="1:6" hidden="1" x14ac:dyDescent="0.3">
      <c r="A811">
        <v>2024</v>
      </c>
      <c r="B811">
        <v>3</v>
      </c>
      <c r="C811" s="105" t="s">
        <v>39</v>
      </c>
      <c r="D811" s="105" t="s">
        <v>9</v>
      </c>
      <c r="E811">
        <v>14</v>
      </c>
      <c r="F811" s="1">
        <v>11261.12</v>
      </c>
    </row>
    <row r="812" spans="1:6" hidden="1" x14ac:dyDescent="0.3">
      <c r="A812">
        <v>2024</v>
      </c>
      <c r="B812">
        <v>3</v>
      </c>
      <c r="C812" s="105" t="s">
        <v>39</v>
      </c>
      <c r="D812" s="105" t="s">
        <v>10</v>
      </c>
      <c r="E812">
        <v>80</v>
      </c>
      <c r="F812" s="1">
        <v>81154.039999999994</v>
      </c>
    </row>
    <row r="813" spans="1:6" hidden="1" x14ac:dyDescent="0.3">
      <c r="A813">
        <v>2024</v>
      </c>
      <c r="B813">
        <v>3</v>
      </c>
      <c r="C813" s="105" t="s">
        <v>39</v>
      </c>
      <c r="D813" s="105" t="s">
        <v>11</v>
      </c>
      <c r="E813">
        <v>34</v>
      </c>
      <c r="F813" s="1">
        <v>29950.97</v>
      </c>
    </row>
    <row r="814" spans="1:6" hidden="1" x14ac:dyDescent="0.3">
      <c r="A814">
        <v>2024</v>
      </c>
      <c r="B814">
        <v>3</v>
      </c>
      <c r="C814" s="105" t="s">
        <v>39</v>
      </c>
      <c r="D814" s="105" t="s">
        <v>12</v>
      </c>
      <c r="E814">
        <v>78</v>
      </c>
      <c r="F814" s="1">
        <v>58163.02</v>
      </c>
    </row>
    <row r="815" spans="1:6" hidden="1" x14ac:dyDescent="0.3">
      <c r="A815">
        <v>2024</v>
      </c>
      <c r="B815">
        <v>3</v>
      </c>
      <c r="C815" s="105" t="s">
        <v>39</v>
      </c>
      <c r="D815" s="105" t="s">
        <v>13</v>
      </c>
      <c r="E815">
        <v>92</v>
      </c>
      <c r="F815" s="1">
        <v>71391.320000000007</v>
      </c>
    </row>
    <row r="816" spans="1:6" hidden="1" x14ac:dyDescent="0.3">
      <c r="A816">
        <v>2024</v>
      </c>
      <c r="B816">
        <v>3</v>
      </c>
      <c r="C816" s="105" t="s">
        <v>39</v>
      </c>
      <c r="D816" s="105" t="s">
        <v>14</v>
      </c>
      <c r="E816">
        <v>58</v>
      </c>
      <c r="F816" s="1">
        <v>40694.36</v>
      </c>
    </row>
    <row r="817" spans="1:6" hidden="1" x14ac:dyDescent="0.3">
      <c r="A817">
        <v>2024</v>
      </c>
      <c r="B817">
        <v>3</v>
      </c>
      <c r="C817" s="105" t="s">
        <v>39</v>
      </c>
      <c r="D817" s="105" t="s">
        <v>15</v>
      </c>
      <c r="E817">
        <v>17</v>
      </c>
      <c r="F817" s="1">
        <v>19257.7</v>
      </c>
    </row>
    <row r="818" spans="1:6" hidden="1" x14ac:dyDescent="0.3">
      <c r="A818">
        <v>2024</v>
      </c>
      <c r="B818">
        <v>3</v>
      </c>
      <c r="C818" s="105" t="s">
        <v>39</v>
      </c>
      <c r="D818" s="105" t="s">
        <v>16</v>
      </c>
      <c r="E818">
        <v>37</v>
      </c>
      <c r="F818" s="1">
        <v>29011.439999999999</v>
      </c>
    </row>
    <row r="819" spans="1:6" hidden="1" x14ac:dyDescent="0.3">
      <c r="A819">
        <v>2024</v>
      </c>
      <c r="B819">
        <v>3</v>
      </c>
      <c r="C819" s="105" t="s">
        <v>39</v>
      </c>
      <c r="D819" s="105" t="s">
        <v>17</v>
      </c>
      <c r="E819">
        <v>142</v>
      </c>
      <c r="F819" s="1">
        <v>114551.69</v>
      </c>
    </row>
    <row r="820" spans="1:6" hidden="1" x14ac:dyDescent="0.3">
      <c r="A820">
        <v>2024</v>
      </c>
      <c r="B820">
        <v>3</v>
      </c>
      <c r="C820" s="105" t="s">
        <v>39</v>
      </c>
      <c r="D820" s="105" t="s">
        <v>18</v>
      </c>
      <c r="E820">
        <v>122</v>
      </c>
      <c r="F820" s="1">
        <v>115310.89</v>
      </c>
    </row>
    <row r="821" spans="1:6" hidden="1" x14ac:dyDescent="0.3">
      <c r="A821">
        <v>2024</v>
      </c>
      <c r="B821">
        <v>3</v>
      </c>
      <c r="C821" s="105" t="s">
        <v>39</v>
      </c>
      <c r="D821" s="105" t="s">
        <v>19</v>
      </c>
      <c r="E821">
        <v>21</v>
      </c>
      <c r="F821" s="1">
        <v>15733.89</v>
      </c>
    </row>
    <row r="822" spans="1:6" hidden="1" x14ac:dyDescent="0.3">
      <c r="A822">
        <v>2024</v>
      </c>
      <c r="B822">
        <v>3</v>
      </c>
      <c r="C822" s="105" t="s">
        <v>39</v>
      </c>
      <c r="D822" s="105" t="s">
        <v>20</v>
      </c>
      <c r="E822">
        <v>48</v>
      </c>
      <c r="F822" s="1">
        <v>36425.519999999997</v>
      </c>
    </row>
    <row r="823" spans="1:6" hidden="1" x14ac:dyDescent="0.3">
      <c r="A823">
        <v>2024</v>
      </c>
      <c r="B823">
        <v>3</v>
      </c>
      <c r="C823" s="105" t="s">
        <v>39</v>
      </c>
      <c r="D823" s="105" t="s">
        <v>21</v>
      </c>
      <c r="E823">
        <v>101</v>
      </c>
      <c r="F823" s="1">
        <v>104265.74</v>
      </c>
    </row>
    <row r="824" spans="1:6" x14ac:dyDescent="0.3">
      <c r="A824">
        <v>2024</v>
      </c>
      <c r="B824">
        <v>3</v>
      </c>
      <c r="C824" s="105" t="s">
        <v>39</v>
      </c>
      <c r="D824" s="105" t="s">
        <v>22</v>
      </c>
      <c r="E824">
        <v>36</v>
      </c>
      <c r="F824" s="1">
        <v>24750.69</v>
      </c>
    </row>
    <row r="825" spans="1:6" hidden="1" x14ac:dyDescent="0.3">
      <c r="A825">
        <v>2024</v>
      </c>
      <c r="B825">
        <v>3</v>
      </c>
      <c r="C825" s="105" t="s">
        <v>39</v>
      </c>
      <c r="D825" s="105" t="s">
        <v>23</v>
      </c>
      <c r="E825">
        <v>24</v>
      </c>
      <c r="F825" s="1">
        <v>25841.14</v>
      </c>
    </row>
    <row r="826" spans="1:6" hidden="1" x14ac:dyDescent="0.3">
      <c r="A826">
        <v>2024</v>
      </c>
      <c r="B826">
        <v>3</v>
      </c>
      <c r="C826" s="105" t="s">
        <v>39</v>
      </c>
      <c r="D826" s="105" t="s">
        <v>24</v>
      </c>
      <c r="E826">
        <v>63</v>
      </c>
      <c r="F826" s="1">
        <v>43507.89</v>
      </c>
    </row>
    <row r="827" spans="1:6" hidden="1" x14ac:dyDescent="0.3">
      <c r="A827">
        <v>2024</v>
      </c>
      <c r="B827">
        <v>3</v>
      </c>
      <c r="C827" s="105" t="s">
        <v>39</v>
      </c>
      <c r="D827" s="105" t="s">
        <v>25</v>
      </c>
      <c r="E827">
        <v>47</v>
      </c>
      <c r="F827" s="1">
        <v>39417.800000000003</v>
      </c>
    </row>
    <row r="828" spans="1:6" hidden="1" x14ac:dyDescent="0.3">
      <c r="A828">
        <v>2024</v>
      </c>
      <c r="B828">
        <v>3</v>
      </c>
      <c r="C828" s="105" t="s">
        <v>39</v>
      </c>
      <c r="D828" s="105" t="s">
        <v>26</v>
      </c>
      <c r="E828">
        <v>39</v>
      </c>
      <c r="F828" s="1">
        <v>33442.730000000003</v>
      </c>
    </row>
    <row r="829" spans="1:6" hidden="1" x14ac:dyDescent="0.3">
      <c r="A829">
        <v>2024</v>
      </c>
      <c r="B829">
        <v>3</v>
      </c>
      <c r="C829" s="105" t="s">
        <v>39</v>
      </c>
      <c r="D829" s="105" t="s">
        <v>27</v>
      </c>
      <c r="E829">
        <v>43</v>
      </c>
      <c r="F829" s="1">
        <v>35973.269999999997</v>
      </c>
    </row>
    <row r="830" spans="1:6" hidden="1" x14ac:dyDescent="0.3">
      <c r="A830">
        <v>2024</v>
      </c>
      <c r="B830">
        <v>3</v>
      </c>
      <c r="C830" s="105" t="s">
        <v>39</v>
      </c>
      <c r="D830" s="105" t="s">
        <v>28</v>
      </c>
      <c r="E830">
        <v>15</v>
      </c>
      <c r="F830" s="1">
        <v>9863.15</v>
      </c>
    </row>
    <row r="831" spans="1:6" hidden="1" x14ac:dyDescent="0.3">
      <c r="A831">
        <v>2024</v>
      </c>
      <c r="B831">
        <v>3</v>
      </c>
      <c r="C831" s="105" t="s">
        <v>39</v>
      </c>
      <c r="D831" s="105" t="s">
        <v>29</v>
      </c>
      <c r="E831">
        <v>68</v>
      </c>
      <c r="F831" s="1">
        <v>58279.86</v>
      </c>
    </row>
    <row r="832" spans="1:6" hidden="1" x14ac:dyDescent="0.3">
      <c r="A832">
        <v>2024</v>
      </c>
      <c r="B832">
        <v>3</v>
      </c>
      <c r="C832" s="105" t="s">
        <v>39</v>
      </c>
      <c r="D832" s="105" t="s">
        <v>30</v>
      </c>
      <c r="E832">
        <v>24</v>
      </c>
      <c r="F832" s="1">
        <v>15193</v>
      </c>
    </row>
    <row r="833" spans="1:6" hidden="1" x14ac:dyDescent="0.3">
      <c r="A833">
        <v>2024</v>
      </c>
      <c r="B833">
        <v>3</v>
      </c>
      <c r="C833" s="105" t="s">
        <v>39</v>
      </c>
      <c r="D833" s="105" t="s">
        <v>31</v>
      </c>
      <c r="E833">
        <v>176</v>
      </c>
      <c r="F833" s="1">
        <v>171403.46</v>
      </c>
    </row>
    <row r="834" spans="1:6" hidden="1" x14ac:dyDescent="0.3">
      <c r="A834">
        <v>2024</v>
      </c>
      <c r="B834">
        <v>3</v>
      </c>
      <c r="C834" s="105" t="s">
        <v>39</v>
      </c>
      <c r="D834" s="105" t="s">
        <v>32</v>
      </c>
      <c r="E834">
        <v>53</v>
      </c>
      <c r="F834" s="1">
        <v>47487.96</v>
      </c>
    </row>
    <row r="835" spans="1:6" hidden="1" x14ac:dyDescent="0.3">
      <c r="A835">
        <v>2024</v>
      </c>
      <c r="B835">
        <v>3</v>
      </c>
      <c r="C835" s="105" t="s">
        <v>39</v>
      </c>
      <c r="D835" s="105" t="s">
        <v>33</v>
      </c>
      <c r="E835">
        <v>132</v>
      </c>
      <c r="F835" s="1">
        <v>125052.44</v>
      </c>
    </row>
    <row r="836" spans="1:6" hidden="1" x14ac:dyDescent="0.3">
      <c r="A836">
        <v>2024</v>
      </c>
      <c r="B836">
        <v>3</v>
      </c>
      <c r="C836" s="105" t="s">
        <v>39</v>
      </c>
      <c r="D836" s="105" t="s">
        <v>34</v>
      </c>
      <c r="E836">
        <v>95</v>
      </c>
      <c r="F836" s="1">
        <v>99480.65</v>
      </c>
    </row>
    <row r="837" spans="1:6" hidden="1" x14ac:dyDescent="0.3">
      <c r="A837">
        <v>2024</v>
      </c>
      <c r="B837">
        <v>3</v>
      </c>
      <c r="C837" s="105" t="s">
        <v>39</v>
      </c>
      <c r="D837" s="105" t="s">
        <v>49</v>
      </c>
      <c r="E837">
        <v>1</v>
      </c>
      <c r="F837" s="1">
        <v>1750</v>
      </c>
    </row>
    <row r="838" spans="1:6" hidden="1" x14ac:dyDescent="0.3">
      <c r="A838">
        <v>2024</v>
      </c>
      <c r="B838">
        <v>3</v>
      </c>
      <c r="C838" s="105" t="s">
        <v>39</v>
      </c>
      <c r="D838" s="105" t="s">
        <v>35</v>
      </c>
      <c r="E838">
        <v>64</v>
      </c>
      <c r="F838" s="1">
        <v>56916.43</v>
      </c>
    </row>
    <row r="839" spans="1:6" hidden="1" x14ac:dyDescent="0.3">
      <c r="A839">
        <v>2024</v>
      </c>
      <c r="B839">
        <v>3</v>
      </c>
      <c r="C839" s="105" t="s">
        <v>39</v>
      </c>
      <c r="D839" s="105" t="s">
        <v>36</v>
      </c>
      <c r="E839">
        <v>61</v>
      </c>
      <c r="F839" s="1">
        <v>53092.25</v>
      </c>
    </row>
    <row r="840" spans="1:6" hidden="1" x14ac:dyDescent="0.3">
      <c r="A840">
        <v>2024</v>
      </c>
      <c r="B840">
        <v>3</v>
      </c>
      <c r="C840" s="105" t="s">
        <v>39</v>
      </c>
      <c r="D840" s="105" t="s">
        <v>37</v>
      </c>
      <c r="E840">
        <v>72</v>
      </c>
      <c r="F840" s="1">
        <v>65862.240000000005</v>
      </c>
    </row>
    <row r="841" spans="1:6" hidden="1" x14ac:dyDescent="0.3">
      <c r="A841">
        <v>2024</v>
      </c>
      <c r="B841">
        <v>4</v>
      </c>
      <c r="C841" s="105" t="s">
        <v>40</v>
      </c>
      <c r="D841" s="105" t="s">
        <v>7</v>
      </c>
      <c r="E841">
        <v>48</v>
      </c>
      <c r="F841" s="1">
        <v>45821.77</v>
      </c>
    </row>
    <row r="842" spans="1:6" hidden="1" x14ac:dyDescent="0.3">
      <c r="A842">
        <v>2024</v>
      </c>
      <c r="B842">
        <v>4</v>
      </c>
      <c r="C842" s="105" t="s">
        <v>40</v>
      </c>
      <c r="D842" s="105" t="s">
        <v>8</v>
      </c>
      <c r="E842">
        <v>41</v>
      </c>
      <c r="F842" s="1">
        <v>31001.03</v>
      </c>
    </row>
    <row r="843" spans="1:6" hidden="1" x14ac:dyDescent="0.3">
      <c r="A843">
        <v>2024</v>
      </c>
      <c r="B843">
        <v>4</v>
      </c>
      <c r="C843" s="105" t="s">
        <v>40</v>
      </c>
      <c r="D843" s="105" t="s">
        <v>9</v>
      </c>
      <c r="E843">
        <v>25</v>
      </c>
      <c r="F843" s="1">
        <v>19842.04</v>
      </c>
    </row>
    <row r="844" spans="1:6" hidden="1" x14ac:dyDescent="0.3">
      <c r="A844">
        <v>2024</v>
      </c>
      <c r="B844">
        <v>4</v>
      </c>
      <c r="C844" s="105" t="s">
        <v>40</v>
      </c>
      <c r="D844" s="105" t="s">
        <v>10</v>
      </c>
      <c r="E844">
        <v>103</v>
      </c>
      <c r="F844" s="1">
        <v>107286.05</v>
      </c>
    </row>
    <row r="845" spans="1:6" hidden="1" x14ac:dyDescent="0.3">
      <c r="A845">
        <v>2024</v>
      </c>
      <c r="B845">
        <v>4</v>
      </c>
      <c r="C845" s="105" t="s">
        <v>40</v>
      </c>
      <c r="D845" s="105" t="s">
        <v>11</v>
      </c>
      <c r="E845">
        <v>77</v>
      </c>
      <c r="F845" s="1">
        <v>65082.29</v>
      </c>
    </row>
    <row r="846" spans="1:6" hidden="1" x14ac:dyDescent="0.3">
      <c r="A846">
        <v>2024</v>
      </c>
      <c r="B846">
        <v>4</v>
      </c>
      <c r="C846" s="105" t="s">
        <v>40</v>
      </c>
      <c r="D846" s="105" t="s">
        <v>12</v>
      </c>
      <c r="E846">
        <v>76</v>
      </c>
      <c r="F846" s="1">
        <v>59363.72</v>
      </c>
    </row>
    <row r="847" spans="1:6" hidden="1" x14ac:dyDescent="0.3">
      <c r="A847">
        <v>2024</v>
      </c>
      <c r="B847">
        <v>4</v>
      </c>
      <c r="C847" s="105" t="s">
        <v>40</v>
      </c>
      <c r="D847" s="105" t="s">
        <v>13</v>
      </c>
      <c r="E847">
        <v>131</v>
      </c>
      <c r="F847" s="1">
        <v>92048.93</v>
      </c>
    </row>
    <row r="848" spans="1:6" hidden="1" x14ac:dyDescent="0.3">
      <c r="A848">
        <v>2024</v>
      </c>
      <c r="B848">
        <v>4</v>
      </c>
      <c r="C848" s="105" t="s">
        <v>40</v>
      </c>
      <c r="D848" s="105" t="s">
        <v>14</v>
      </c>
      <c r="E848">
        <v>58</v>
      </c>
      <c r="F848" s="1">
        <v>45894.85</v>
      </c>
    </row>
    <row r="849" spans="1:6" hidden="1" x14ac:dyDescent="0.3">
      <c r="A849">
        <v>2024</v>
      </c>
      <c r="B849">
        <v>4</v>
      </c>
      <c r="C849" s="105" t="s">
        <v>40</v>
      </c>
      <c r="D849" s="105" t="s">
        <v>15</v>
      </c>
      <c r="E849">
        <v>27</v>
      </c>
      <c r="F849" s="1">
        <v>23016.6</v>
      </c>
    </row>
    <row r="850" spans="1:6" hidden="1" x14ac:dyDescent="0.3">
      <c r="A850">
        <v>2024</v>
      </c>
      <c r="B850">
        <v>4</v>
      </c>
      <c r="C850" s="105" t="s">
        <v>40</v>
      </c>
      <c r="D850" s="105" t="s">
        <v>16</v>
      </c>
      <c r="E850">
        <v>82</v>
      </c>
      <c r="F850" s="1">
        <v>61711.87</v>
      </c>
    </row>
    <row r="851" spans="1:6" hidden="1" x14ac:dyDescent="0.3">
      <c r="A851">
        <v>2024</v>
      </c>
      <c r="B851">
        <v>4</v>
      </c>
      <c r="C851" s="105" t="s">
        <v>40</v>
      </c>
      <c r="D851" s="105" t="s">
        <v>17</v>
      </c>
      <c r="E851">
        <v>249</v>
      </c>
      <c r="F851" s="1">
        <v>213477.76000000001</v>
      </c>
    </row>
    <row r="852" spans="1:6" hidden="1" x14ac:dyDescent="0.3">
      <c r="A852">
        <v>2024</v>
      </c>
      <c r="B852">
        <v>4</v>
      </c>
      <c r="C852" s="105" t="s">
        <v>40</v>
      </c>
      <c r="D852" s="105" t="s">
        <v>18</v>
      </c>
      <c r="E852">
        <v>184</v>
      </c>
      <c r="F852" s="1">
        <v>173012.61</v>
      </c>
    </row>
    <row r="853" spans="1:6" hidden="1" x14ac:dyDescent="0.3">
      <c r="A853">
        <v>2024</v>
      </c>
      <c r="B853">
        <v>4</v>
      </c>
      <c r="C853" s="105" t="s">
        <v>40</v>
      </c>
      <c r="D853" s="105" t="s">
        <v>19</v>
      </c>
      <c r="E853">
        <v>30</v>
      </c>
      <c r="F853" s="1">
        <v>24101.84</v>
      </c>
    </row>
    <row r="854" spans="1:6" hidden="1" x14ac:dyDescent="0.3">
      <c r="A854">
        <v>2024</v>
      </c>
      <c r="B854">
        <v>4</v>
      </c>
      <c r="C854" s="105" t="s">
        <v>40</v>
      </c>
      <c r="D854" s="105" t="s">
        <v>20</v>
      </c>
      <c r="E854">
        <v>98</v>
      </c>
      <c r="F854" s="1">
        <v>80521.84</v>
      </c>
    </row>
    <row r="855" spans="1:6" hidden="1" x14ac:dyDescent="0.3">
      <c r="A855">
        <v>2024</v>
      </c>
      <c r="B855">
        <v>4</v>
      </c>
      <c r="C855" s="105" t="s">
        <v>40</v>
      </c>
      <c r="D855" s="105" t="s">
        <v>21</v>
      </c>
      <c r="E855">
        <v>175</v>
      </c>
      <c r="F855" s="1">
        <v>166464.89000000001</v>
      </c>
    </row>
    <row r="856" spans="1:6" x14ac:dyDescent="0.3">
      <c r="A856">
        <v>2024</v>
      </c>
      <c r="B856">
        <v>4</v>
      </c>
      <c r="C856" s="105" t="s">
        <v>40</v>
      </c>
      <c r="D856" s="105" t="s">
        <v>22</v>
      </c>
      <c r="E856">
        <v>87</v>
      </c>
      <c r="F856" s="1">
        <v>60800.17</v>
      </c>
    </row>
    <row r="857" spans="1:6" hidden="1" x14ac:dyDescent="0.3">
      <c r="A857">
        <v>2024</v>
      </c>
      <c r="B857">
        <v>4</v>
      </c>
      <c r="C857" s="105" t="s">
        <v>40</v>
      </c>
      <c r="D857" s="105" t="s">
        <v>23</v>
      </c>
      <c r="E857">
        <v>66</v>
      </c>
      <c r="F857" s="1">
        <v>67390.179999999993</v>
      </c>
    </row>
    <row r="858" spans="1:6" hidden="1" x14ac:dyDescent="0.3">
      <c r="A858">
        <v>2024</v>
      </c>
      <c r="B858">
        <v>4</v>
      </c>
      <c r="C858" s="105" t="s">
        <v>40</v>
      </c>
      <c r="D858" s="105" t="s">
        <v>24</v>
      </c>
      <c r="E858">
        <v>76</v>
      </c>
      <c r="F858" s="1">
        <v>56714.05</v>
      </c>
    </row>
    <row r="859" spans="1:6" hidden="1" x14ac:dyDescent="0.3">
      <c r="A859">
        <v>2024</v>
      </c>
      <c r="B859">
        <v>4</v>
      </c>
      <c r="C859" s="105" t="s">
        <v>40</v>
      </c>
      <c r="D859" s="105" t="s">
        <v>25</v>
      </c>
      <c r="E859">
        <v>120</v>
      </c>
      <c r="F859" s="1">
        <v>101212.24</v>
      </c>
    </row>
    <row r="860" spans="1:6" hidden="1" x14ac:dyDescent="0.3">
      <c r="A860">
        <v>2024</v>
      </c>
      <c r="B860">
        <v>4</v>
      </c>
      <c r="C860" s="105" t="s">
        <v>40</v>
      </c>
      <c r="D860" s="105" t="s">
        <v>26</v>
      </c>
      <c r="E860">
        <v>48</v>
      </c>
      <c r="F860" s="1">
        <v>41850.1</v>
      </c>
    </row>
    <row r="861" spans="1:6" hidden="1" x14ac:dyDescent="0.3">
      <c r="A861">
        <v>2024</v>
      </c>
      <c r="B861">
        <v>4</v>
      </c>
      <c r="C861" s="105" t="s">
        <v>40</v>
      </c>
      <c r="D861" s="105" t="s">
        <v>27</v>
      </c>
      <c r="E861">
        <v>75</v>
      </c>
      <c r="F861" s="1">
        <v>59163.98</v>
      </c>
    </row>
    <row r="862" spans="1:6" hidden="1" x14ac:dyDescent="0.3">
      <c r="A862">
        <v>2024</v>
      </c>
      <c r="B862">
        <v>4</v>
      </c>
      <c r="C862" s="105" t="s">
        <v>40</v>
      </c>
      <c r="D862" s="105" t="s">
        <v>28</v>
      </c>
      <c r="E862">
        <v>20</v>
      </c>
      <c r="F862" s="1">
        <v>15569.45</v>
      </c>
    </row>
    <row r="863" spans="1:6" hidden="1" x14ac:dyDescent="0.3">
      <c r="A863">
        <v>2024</v>
      </c>
      <c r="B863">
        <v>4</v>
      </c>
      <c r="C863" s="105" t="s">
        <v>40</v>
      </c>
      <c r="D863" s="105" t="s">
        <v>29</v>
      </c>
      <c r="E863">
        <v>90</v>
      </c>
      <c r="F863" s="1">
        <v>77450.36</v>
      </c>
    </row>
    <row r="864" spans="1:6" hidden="1" x14ac:dyDescent="0.3">
      <c r="A864">
        <v>2024</v>
      </c>
      <c r="B864">
        <v>4</v>
      </c>
      <c r="C864" s="105" t="s">
        <v>40</v>
      </c>
      <c r="D864" s="105" t="s">
        <v>30</v>
      </c>
      <c r="E864">
        <v>22</v>
      </c>
      <c r="F864" s="1">
        <v>15681.05</v>
      </c>
    </row>
    <row r="865" spans="1:6" hidden="1" x14ac:dyDescent="0.3">
      <c r="A865">
        <v>2024</v>
      </c>
      <c r="B865">
        <v>4</v>
      </c>
      <c r="C865" s="105" t="s">
        <v>40</v>
      </c>
      <c r="D865" s="105" t="s">
        <v>31</v>
      </c>
      <c r="E865">
        <v>243</v>
      </c>
      <c r="F865" s="1">
        <v>237077.98</v>
      </c>
    </row>
    <row r="866" spans="1:6" hidden="1" x14ac:dyDescent="0.3">
      <c r="A866">
        <v>2024</v>
      </c>
      <c r="B866">
        <v>4</v>
      </c>
      <c r="C866" s="105" t="s">
        <v>40</v>
      </c>
      <c r="D866" s="105" t="s">
        <v>32</v>
      </c>
      <c r="E866">
        <v>134</v>
      </c>
      <c r="F866" s="1">
        <v>112627.17</v>
      </c>
    </row>
    <row r="867" spans="1:6" hidden="1" x14ac:dyDescent="0.3">
      <c r="A867">
        <v>2024</v>
      </c>
      <c r="B867">
        <v>4</v>
      </c>
      <c r="C867" s="105" t="s">
        <v>40</v>
      </c>
      <c r="D867" s="105" t="s">
        <v>33</v>
      </c>
      <c r="E867">
        <v>210</v>
      </c>
      <c r="F867" s="1">
        <v>207486</v>
      </c>
    </row>
    <row r="868" spans="1:6" hidden="1" x14ac:dyDescent="0.3">
      <c r="A868">
        <v>2024</v>
      </c>
      <c r="B868">
        <v>4</v>
      </c>
      <c r="C868" s="105" t="s">
        <v>40</v>
      </c>
      <c r="D868" s="105" t="s">
        <v>34</v>
      </c>
      <c r="E868">
        <v>128</v>
      </c>
      <c r="F868" s="1">
        <v>102463.65</v>
      </c>
    </row>
    <row r="869" spans="1:6" hidden="1" x14ac:dyDescent="0.3">
      <c r="A869">
        <v>2024</v>
      </c>
      <c r="B869">
        <v>4</v>
      </c>
      <c r="C869" s="105" t="s">
        <v>40</v>
      </c>
      <c r="D869" s="105" t="s">
        <v>35</v>
      </c>
      <c r="E869">
        <v>117</v>
      </c>
      <c r="F869" s="1">
        <v>103491.31</v>
      </c>
    </row>
    <row r="870" spans="1:6" hidden="1" x14ac:dyDescent="0.3">
      <c r="A870">
        <v>2024</v>
      </c>
      <c r="B870">
        <v>4</v>
      </c>
      <c r="C870" s="105" t="s">
        <v>40</v>
      </c>
      <c r="D870" s="105" t="s">
        <v>36</v>
      </c>
      <c r="E870">
        <v>72</v>
      </c>
      <c r="F870" s="1">
        <v>57772.09</v>
      </c>
    </row>
    <row r="871" spans="1:6" hidden="1" x14ac:dyDescent="0.3">
      <c r="A871">
        <v>2024</v>
      </c>
      <c r="B871">
        <v>4</v>
      </c>
      <c r="C871" s="105" t="s">
        <v>40</v>
      </c>
      <c r="D871" s="105" t="s">
        <v>37</v>
      </c>
      <c r="E871">
        <v>119</v>
      </c>
      <c r="F871" s="1">
        <v>106224.37</v>
      </c>
    </row>
    <row r="872" spans="1:6" hidden="1" x14ac:dyDescent="0.3">
      <c r="A872">
        <v>2024</v>
      </c>
      <c r="B872">
        <v>5</v>
      </c>
      <c r="C872" s="105" t="s">
        <v>41</v>
      </c>
      <c r="D872" s="105" t="s">
        <v>7</v>
      </c>
      <c r="E872">
        <v>99</v>
      </c>
      <c r="F872" s="1">
        <v>86878.18</v>
      </c>
    </row>
    <row r="873" spans="1:6" hidden="1" x14ac:dyDescent="0.3">
      <c r="A873">
        <v>2024</v>
      </c>
      <c r="B873">
        <v>5</v>
      </c>
      <c r="C873" s="105" t="s">
        <v>41</v>
      </c>
      <c r="D873" s="105" t="s">
        <v>8</v>
      </c>
      <c r="E873">
        <v>65</v>
      </c>
      <c r="F873" s="1">
        <v>49167.82</v>
      </c>
    </row>
    <row r="874" spans="1:6" hidden="1" x14ac:dyDescent="0.3">
      <c r="A874">
        <v>2024</v>
      </c>
      <c r="B874">
        <v>5</v>
      </c>
      <c r="C874" s="105" t="s">
        <v>41</v>
      </c>
      <c r="D874" s="105" t="s">
        <v>9</v>
      </c>
      <c r="E874">
        <v>22</v>
      </c>
      <c r="F874" s="1">
        <v>13763</v>
      </c>
    </row>
    <row r="875" spans="1:6" hidden="1" x14ac:dyDescent="0.3">
      <c r="A875">
        <v>2024</v>
      </c>
      <c r="B875">
        <v>5</v>
      </c>
      <c r="C875" s="105" t="s">
        <v>41</v>
      </c>
      <c r="D875" s="105" t="s">
        <v>10</v>
      </c>
      <c r="E875">
        <v>133</v>
      </c>
      <c r="F875" s="1">
        <v>126913.53</v>
      </c>
    </row>
    <row r="876" spans="1:6" hidden="1" x14ac:dyDescent="0.3">
      <c r="A876">
        <v>2024</v>
      </c>
      <c r="B876">
        <v>5</v>
      </c>
      <c r="C876" s="105" t="s">
        <v>41</v>
      </c>
      <c r="D876" s="105" t="s">
        <v>11</v>
      </c>
      <c r="E876">
        <v>113</v>
      </c>
      <c r="F876" s="1">
        <v>94349.8</v>
      </c>
    </row>
    <row r="877" spans="1:6" hidden="1" x14ac:dyDescent="0.3">
      <c r="A877">
        <v>2024</v>
      </c>
      <c r="B877">
        <v>5</v>
      </c>
      <c r="C877" s="105" t="s">
        <v>41</v>
      </c>
      <c r="D877" s="105" t="s">
        <v>12</v>
      </c>
      <c r="E877">
        <v>90</v>
      </c>
      <c r="F877" s="1">
        <v>59503.69</v>
      </c>
    </row>
    <row r="878" spans="1:6" hidden="1" x14ac:dyDescent="0.3">
      <c r="A878">
        <v>2024</v>
      </c>
      <c r="B878">
        <v>5</v>
      </c>
      <c r="C878" s="105" t="s">
        <v>41</v>
      </c>
      <c r="D878" s="105" t="s">
        <v>13</v>
      </c>
      <c r="E878">
        <v>143</v>
      </c>
      <c r="F878" s="1">
        <v>94708.19</v>
      </c>
    </row>
    <row r="879" spans="1:6" hidden="1" x14ac:dyDescent="0.3">
      <c r="A879">
        <v>2024</v>
      </c>
      <c r="B879">
        <v>5</v>
      </c>
      <c r="C879" s="105" t="s">
        <v>41</v>
      </c>
      <c r="D879" s="105" t="s">
        <v>14</v>
      </c>
      <c r="E879">
        <v>102</v>
      </c>
      <c r="F879" s="1">
        <v>64827.22</v>
      </c>
    </row>
    <row r="880" spans="1:6" hidden="1" x14ac:dyDescent="0.3">
      <c r="A880">
        <v>2024</v>
      </c>
      <c r="B880">
        <v>5</v>
      </c>
      <c r="C880" s="105" t="s">
        <v>41</v>
      </c>
      <c r="D880" s="105" t="s">
        <v>15</v>
      </c>
      <c r="E880">
        <v>43</v>
      </c>
      <c r="F880" s="1">
        <v>36497.410000000003</v>
      </c>
    </row>
    <row r="881" spans="1:6" hidden="1" x14ac:dyDescent="0.3">
      <c r="A881">
        <v>2024</v>
      </c>
      <c r="B881">
        <v>5</v>
      </c>
      <c r="C881" s="105" t="s">
        <v>41</v>
      </c>
      <c r="D881" s="105" t="s">
        <v>16</v>
      </c>
      <c r="E881">
        <v>47</v>
      </c>
      <c r="F881" s="1">
        <v>36198.85</v>
      </c>
    </row>
    <row r="882" spans="1:6" hidden="1" x14ac:dyDescent="0.3">
      <c r="A882">
        <v>2024</v>
      </c>
      <c r="B882">
        <v>5</v>
      </c>
      <c r="C882" s="105" t="s">
        <v>41</v>
      </c>
      <c r="D882" s="105" t="s">
        <v>17</v>
      </c>
      <c r="E882">
        <v>233</v>
      </c>
      <c r="F882" s="1">
        <v>189541.39</v>
      </c>
    </row>
    <row r="883" spans="1:6" hidden="1" x14ac:dyDescent="0.3">
      <c r="A883">
        <v>2024</v>
      </c>
      <c r="B883">
        <v>5</v>
      </c>
      <c r="C883" s="105" t="s">
        <v>41</v>
      </c>
      <c r="D883" s="105" t="s">
        <v>18</v>
      </c>
      <c r="E883">
        <v>246</v>
      </c>
      <c r="F883" s="1">
        <v>221348.45</v>
      </c>
    </row>
    <row r="884" spans="1:6" hidden="1" x14ac:dyDescent="0.3">
      <c r="A884">
        <v>2024</v>
      </c>
      <c r="B884">
        <v>5</v>
      </c>
      <c r="C884" s="105" t="s">
        <v>41</v>
      </c>
      <c r="D884" s="105" t="s">
        <v>50</v>
      </c>
      <c r="E884">
        <v>2</v>
      </c>
      <c r="F884" s="1">
        <v>980</v>
      </c>
    </row>
    <row r="885" spans="1:6" hidden="1" x14ac:dyDescent="0.3">
      <c r="A885">
        <v>2024</v>
      </c>
      <c r="B885">
        <v>5</v>
      </c>
      <c r="C885" s="105" t="s">
        <v>41</v>
      </c>
      <c r="D885" s="105" t="s">
        <v>19</v>
      </c>
      <c r="E885">
        <v>42</v>
      </c>
      <c r="F885" s="1">
        <v>30357.05</v>
      </c>
    </row>
    <row r="886" spans="1:6" hidden="1" x14ac:dyDescent="0.3">
      <c r="A886">
        <v>2024</v>
      </c>
      <c r="B886">
        <v>5</v>
      </c>
      <c r="C886" s="105" t="s">
        <v>41</v>
      </c>
      <c r="D886" s="105" t="s">
        <v>20</v>
      </c>
      <c r="E886">
        <v>131</v>
      </c>
      <c r="F886" s="1">
        <v>103881.46</v>
      </c>
    </row>
    <row r="887" spans="1:6" hidden="1" x14ac:dyDescent="0.3">
      <c r="A887">
        <v>2024</v>
      </c>
      <c r="B887">
        <v>5</v>
      </c>
      <c r="C887" s="105" t="s">
        <v>41</v>
      </c>
      <c r="D887" s="105" t="s">
        <v>21</v>
      </c>
      <c r="E887">
        <v>174</v>
      </c>
      <c r="F887" s="1">
        <v>158847.06</v>
      </c>
    </row>
    <row r="888" spans="1:6" x14ac:dyDescent="0.3">
      <c r="A888">
        <v>2024</v>
      </c>
      <c r="B888">
        <v>5</v>
      </c>
      <c r="C888" s="105" t="s">
        <v>41</v>
      </c>
      <c r="D888" s="105" t="s">
        <v>22</v>
      </c>
      <c r="E888">
        <v>99</v>
      </c>
      <c r="F888" s="1">
        <v>71027.38</v>
      </c>
    </row>
    <row r="889" spans="1:6" hidden="1" x14ac:dyDescent="0.3">
      <c r="A889">
        <v>2024</v>
      </c>
      <c r="B889">
        <v>5</v>
      </c>
      <c r="C889" s="105" t="s">
        <v>41</v>
      </c>
      <c r="D889" s="105" t="s">
        <v>23</v>
      </c>
      <c r="E889">
        <v>103</v>
      </c>
      <c r="F889" s="1">
        <v>98909.28</v>
      </c>
    </row>
    <row r="890" spans="1:6" hidden="1" x14ac:dyDescent="0.3">
      <c r="A890">
        <v>2024</v>
      </c>
      <c r="B890">
        <v>5</v>
      </c>
      <c r="C890" s="105" t="s">
        <v>41</v>
      </c>
      <c r="D890" s="105" t="s">
        <v>24</v>
      </c>
      <c r="E890">
        <v>83</v>
      </c>
      <c r="F890" s="1">
        <v>59557.57</v>
      </c>
    </row>
    <row r="891" spans="1:6" hidden="1" x14ac:dyDescent="0.3">
      <c r="A891">
        <v>2024</v>
      </c>
      <c r="B891">
        <v>5</v>
      </c>
      <c r="C891" s="105" t="s">
        <v>41</v>
      </c>
      <c r="D891" s="105" t="s">
        <v>25</v>
      </c>
      <c r="E891">
        <v>137</v>
      </c>
      <c r="F891" s="1">
        <v>119699.07</v>
      </c>
    </row>
    <row r="892" spans="1:6" hidden="1" x14ac:dyDescent="0.3">
      <c r="A892">
        <v>2024</v>
      </c>
      <c r="B892">
        <v>5</v>
      </c>
      <c r="C892" s="105" t="s">
        <v>41</v>
      </c>
      <c r="D892" s="105" t="s">
        <v>26</v>
      </c>
      <c r="E892">
        <v>72</v>
      </c>
      <c r="F892" s="1">
        <v>53421.14</v>
      </c>
    </row>
    <row r="893" spans="1:6" hidden="1" x14ac:dyDescent="0.3">
      <c r="A893">
        <v>2024</v>
      </c>
      <c r="B893">
        <v>5</v>
      </c>
      <c r="C893" s="105" t="s">
        <v>41</v>
      </c>
      <c r="D893" s="105" t="s">
        <v>27</v>
      </c>
      <c r="E893">
        <v>64</v>
      </c>
      <c r="F893" s="1">
        <v>52142.6</v>
      </c>
    </row>
    <row r="894" spans="1:6" hidden="1" x14ac:dyDescent="0.3">
      <c r="A894">
        <v>2024</v>
      </c>
      <c r="B894">
        <v>5</v>
      </c>
      <c r="C894" s="105" t="s">
        <v>41</v>
      </c>
      <c r="D894" s="105" t="s">
        <v>28</v>
      </c>
      <c r="E894">
        <v>38</v>
      </c>
      <c r="F894" s="1">
        <v>33426.69</v>
      </c>
    </row>
    <row r="895" spans="1:6" hidden="1" x14ac:dyDescent="0.3">
      <c r="A895">
        <v>2024</v>
      </c>
      <c r="B895">
        <v>5</v>
      </c>
      <c r="C895" s="105" t="s">
        <v>41</v>
      </c>
      <c r="D895" s="105" t="s">
        <v>29</v>
      </c>
      <c r="E895">
        <v>170</v>
      </c>
      <c r="F895" s="1">
        <v>137853.28</v>
      </c>
    </row>
    <row r="896" spans="1:6" hidden="1" x14ac:dyDescent="0.3">
      <c r="A896">
        <v>2024</v>
      </c>
      <c r="B896">
        <v>5</v>
      </c>
      <c r="C896" s="105" t="s">
        <v>41</v>
      </c>
      <c r="D896" s="105" t="s">
        <v>30</v>
      </c>
      <c r="E896">
        <v>33</v>
      </c>
      <c r="F896" s="1">
        <v>23682.9</v>
      </c>
    </row>
    <row r="897" spans="1:6" hidden="1" x14ac:dyDescent="0.3">
      <c r="A897">
        <v>2024</v>
      </c>
      <c r="B897">
        <v>5</v>
      </c>
      <c r="C897" s="105" t="s">
        <v>41</v>
      </c>
      <c r="D897" s="105" t="s">
        <v>31</v>
      </c>
      <c r="E897">
        <v>309</v>
      </c>
      <c r="F897" s="1">
        <v>285103.59999999998</v>
      </c>
    </row>
    <row r="898" spans="1:6" hidden="1" x14ac:dyDescent="0.3">
      <c r="A898">
        <v>2024</v>
      </c>
      <c r="B898">
        <v>5</v>
      </c>
      <c r="C898" s="105" t="s">
        <v>41</v>
      </c>
      <c r="D898" s="105" t="s">
        <v>51</v>
      </c>
      <c r="E898">
        <v>6</v>
      </c>
      <c r="F898" s="1">
        <v>2814</v>
      </c>
    </row>
    <row r="899" spans="1:6" hidden="1" x14ac:dyDescent="0.3">
      <c r="A899">
        <v>2024</v>
      </c>
      <c r="B899">
        <v>5</v>
      </c>
      <c r="C899" s="105" t="s">
        <v>41</v>
      </c>
      <c r="D899" s="105" t="s">
        <v>32</v>
      </c>
      <c r="E899">
        <v>129</v>
      </c>
      <c r="F899" s="1">
        <v>96428.6</v>
      </c>
    </row>
    <row r="900" spans="1:6" hidden="1" x14ac:dyDescent="0.3">
      <c r="A900">
        <v>2024</v>
      </c>
      <c r="B900">
        <v>5</v>
      </c>
      <c r="C900" s="105" t="s">
        <v>41</v>
      </c>
      <c r="D900" s="105" t="s">
        <v>52</v>
      </c>
      <c r="E900">
        <v>3</v>
      </c>
      <c r="F900" s="1">
        <v>2788</v>
      </c>
    </row>
    <row r="901" spans="1:6" hidden="1" x14ac:dyDescent="0.3">
      <c r="A901">
        <v>2024</v>
      </c>
      <c r="B901">
        <v>5</v>
      </c>
      <c r="C901" s="105" t="s">
        <v>41</v>
      </c>
      <c r="D901" s="105" t="s">
        <v>33</v>
      </c>
      <c r="E901">
        <v>303</v>
      </c>
      <c r="F901" s="1">
        <v>267602.46999999997</v>
      </c>
    </row>
    <row r="902" spans="1:6" hidden="1" x14ac:dyDescent="0.3">
      <c r="A902">
        <v>2024</v>
      </c>
      <c r="B902">
        <v>5</v>
      </c>
      <c r="C902" s="105" t="s">
        <v>41</v>
      </c>
      <c r="D902" s="105" t="s">
        <v>34</v>
      </c>
      <c r="E902">
        <v>203</v>
      </c>
      <c r="F902" s="1">
        <v>175658.86</v>
      </c>
    </row>
    <row r="903" spans="1:6" hidden="1" x14ac:dyDescent="0.3">
      <c r="A903">
        <v>2024</v>
      </c>
      <c r="B903">
        <v>5</v>
      </c>
      <c r="C903" s="105" t="s">
        <v>41</v>
      </c>
      <c r="D903" s="105" t="s">
        <v>53</v>
      </c>
      <c r="E903">
        <v>2</v>
      </c>
      <c r="F903" s="1">
        <v>1856.75</v>
      </c>
    </row>
    <row r="904" spans="1:6" hidden="1" x14ac:dyDescent="0.3">
      <c r="A904">
        <v>2024</v>
      </c>
      <c r="B904">
        <v>5</v>
      </c>
      <c r="C904" s="105" t="s">
        <v>41</v>
      </c>
      <c r="D904" s="105" t="s">
        <v>35</v>
      </c>
      <c r="E904">
        <v>176</v>
      </c>
      <c r="F904" s="1">
        <v>140304.74</v>
      </c>
    </row>
    <row r="905" spans="1:6" hidden="1" x14ac:dyDescent="0.3">
      <c r="A905">
        <v>2024</v>
      </c>
      <c r="B905">
        <v>5</v>
      </c>
      <c r="C905" s="105" t="s">
        <v>41</v>
      </c>
      <c r="D905" s="105" t="s">
        <v>36</v>
      </c>
      <c r="E905">
        <v>71</v>
      </c>
      <c r="F905" s="1">
        <v>55708.5</v>
      </c>
    </row>
    <row r="906" spans="1:6" hidden="1" x14ac:dyDescent="0.3">
      <c r="A906">
        <v>2024</v>
      </c>
      <c r="B906">
        <v>5</v>
      </c>
      <c r="C906" s="105" t="s">
        <v>41</v>
      </c>
      <c r="D906" s="105" t="s">
        <v>37</v>
      </c>
      <c r="E906">
        <v>142</v>
      </c>
      <c r="F906" s="1">
        <v>117939.8</v>
      </c>
    </row>
    <row r="907" spans="1:6" hidden="1" x14ac:dyDescent="0.3">
      <c r="A907">
        <v>2024</v>
      </c>
      <c r="B907">
        <v>6</v>
      </c>
      <c r="C907" s="105" t="s">
        <v>42</v>
      </c>
      <c r="D907" s="105" t="s">
        <v>7</v>
      </c>
      <c r="E907">
        <v>50</v>
      </c>
      <c r="F907" s="1">
        <v>41813.269999999997</v>
      </c>
    </row>
    <row r="908" spans="1:6" hidden="1" x14ac:dyDescent="0.3">
      <c r="A908">
        <v>2024</v>
      </c>
      <c r="B908">
        <v>6</v>
      </c>
      <c r="C908" s="105" t="s">
        <v>42</v>
      </c>
      <c r="D908" s="105" t="s">
        <v>8</v>
      </c>
      <c r="E908">
        <v>65</v>
      </c>
      <c r="F908" s="1">
        <v>46843.94</v>
      </c>
    </row>
    <row r="909" spans="1:6" hidden="1" x14ac:dyDescent="0.3">
      <c r="A909">
        <v>2024</v>
      </c>
      <c r="B909">
        <v>6</v>
      </c>
      <c r="C909" s="105" t="s">
        <v>42</v>
      </c>
      <c r="D909" s="105" t="s">
        <v>9</v>
      </c>
      <c r="E909">
        <v>23</v>
      </c>
      <c r="F909" s="1">
        <v>15345.45</v>
      </c>
    </row>
    <row r="910" spans="1:6" hidden="1" x14ac:dyDescent="0.3">
      <c r="A910">
        <v>2024</v>
      </c>
      <c r="B910">
        <v>6</v>
      </c>
      <c r="C910" s="105" t="s">
        <v>42</v>
      </c>
      <c r="D910" s="105" t="s">
        <v>10</v>
      </c>
      <c r="E910">
        <v>99</v>
      </c>
      <c r="F910" s="1">
        <v>93738.47</v>
      </c>
    </row>
    <row r="911" spans="1:6" hidden="1" x14ac:dyDescent="0.3">
      <c r="A911">
        <v>2024</v>
      </c>
      <c r="B911">
        <v>6</v>
      </c>
      <c r="C911" s="105" t="s">
        <v>42</v>
      </c>
      <c r="D911" s="105" t="s">
        <v>11</v>
      </c>
      <c r="E911">
        <v>73</v>
      </c>
      <c r="F911" s="1">
        <v>60243.55</v>
      </c>
    </row>
    <row r="912" spans="1:6" hidden="1" x14ac:dyDescent="0.3">
      <c r="A912">
        <v>2024</v>
      </c>
      <c r="B912">
        <v>6</v>
      </c>
      <c r="C912" s="105" t="s">
        <v>42</v>
      </c>
      <c r="D912" s="105" t="s">
        <v>12</v>
      </c>
      <c r="E912">
        <v>96</v>
      </c>
      <c r="F912" s="1">
        <v>64492.24</v>
      </c>
    </row>
    <row r="913" spans="1:6" hidden="1" x14ac:dyDescent="0.3">
      <c r="A913">
        <v>2024</v>
      </c>
      <c r="B913">
        <v>6</v>
      </c>
      <c r="C913" s="105" t="s">
        <v>42</v>
      </c>
      <c r="D913" s="105" t="s">
        <v>13</v>
      </c>
      <c r="E913">
        <v>132</v>
      </c>
      <c r="F913" s="1">
        <v>89316.81</v>
      </c>
    </row>
    <row r="914" spans="1:6" hidden="1" x14ac:dyDescent="0.3">
      <c r="A914">
        <v>2024</v>
      </c>
      <c r="B914">
        <v>6</v>
      </c>
      <c r="C914" s="105" t="s">
        <v>42</v>
      </c>
      <c r="D914" s="105" t="s">
        <v>14</v>
      </c>
      <c r="E914">
        <v>85</v>
      </c>
      <c r="F914" s="1">
        <v>75550.899999999994</v>
      </c>
    </row>
    <row r="915" spans="1:6" hidden="1" x14ac:dyDescent="0.3">
      <c r="A915">
        <v>2024</v>
      </c>
      <c r="B915">
        <v>6</v>
      </c>
      <c r="C915" s="105" t="s">
        <v>42</v>
      </c>
      <c r="D915" s="105" t="s">
        <v>15</v>
      </c>
      <c r="E915">
        <v>34</v>
      </c>
      <c r="F915" s="1">
        <v>24209.8</v>
      </c>
    </row>
    <row r="916" spans="1:6" hidden="1" x14ac:dyDescent="0.3">
      <c r="A916">
        <v>2024</v>
      </c>
      <c r="B916">
        <v>6</v>
      </c>
      <c r="C916" s="105" t="s">
        <v>42</v>
      </c>
      <c r="D916" s="105" t="s">
        <v>16</v>
      </c>
      <c r="E916">
        <v>46</v>
      </c>
      <c r="F916" s="1">
        <v>39956.68</v>
      </c>
    </row>
    <row r="917" spans="1:6" hidden="1" x14ac:dyDescent="0.3">
      <c r="A917">
        <v>2024</v>
      </c>
      <c r="B917">
        <v>6</v>
      </c>
      <c r="C917" s="105" t="s">
        <v>42</v>
      </c>
      <c r="D917" s="105" t="s">
        <v>17</v>
      </c>
      <c r="E917">
        <v>178</v>
      </c>
      <c r="F917" s="1">
        <v>144181.74</v>
      </c>
    </row>
    <row r="918" spans="1:6" hidden="1" x14ac:dyDescent="0.3">
      <c r="A918">
        <v>2024</v>
      </c>
      <c r="B918">
        <v>6</v>
      </c>
      <c r="C918" s="105" t="s">
        <v>42</v>
      </c>
      <c r="D918" s="105" t="s">
        <v>18</v>
      </c>
      <c r="E918">
        <v>212</v>
      </c>
      <c r="F918" s="1">
        <v>195117.88</v>
      </c>
    </row>
    <row r="919" spans="1:6" hidden="1" x14ac:dyDescent="0.3">
      <c r="A919">
        <v>2024</v>
      </c>
      <c r="B919">
        <v>6</v>
      </c>
      <c r="C919" s="105" t="s">
        <v>42</v>
      </c>
      <c r="D919" s="105" t="s">
        <v>50</v>
      </c>
      <c r="E919">
        <v>6</v>
      </c>
      <c r="F919" s="1">
        <v>3264</v>
      </c>
    </row>
    <row r="920" spans="1:6" hidden="1" x14ac:dyDescent="0.3">
      <c r="A920">
        <v>2024</v>
      </c>
      <c r="B920">
        <v>6</v>
      </c>
      <c r="C920" s="105" t="s">
        <v>42</v>
      </c>
      <c r="D920" s="105" t="s">
        <v>19</v>
      </c>
      <c r="E920">
        <v>27</v>
      </c>
      <c r="F920" s="1">
        <v>18591</v>
      </c>
    </row>
    <row r="921" spans="1:6" hidden="1" x14ac:dyDescent="0.3">
      <c r="A921">
        <v>2024</v>
      </c>
      <c r="B921">
        <v>6</v>
      </c>
      <c r="C921" s="105" t="s">
        <v>42</v>
      </c>
      <c r="D921" s="105" t="s">
        <v>20</v>
      </c>
      <c r="E921">
        <v>131</v>
      </c>
      <c r="F921" s="1">
        <v>105159.7</v>
      </c>
    </row>
    <row r="922" spans="1:6" hidden="1" x14ac:dyDescent="0.3">
      <c r="A922">
        <v>2024</v>
      </c>
      <c r="B922">
        <v>6</v>
      </c>
      <c r="C922" s="105" t="s">
        <v>42</v>
      </c>
      <c r="D922" s="105" t="s">
        <v>21</v>
      </c>
      <c r="E922">
        <v>163</v>
      </c>
      <c r="F922" s="1">
        <v>150695.49</v>
      </c>
    </row>
    <row r="923" spans="1:6" x14ac:dyDescent="0.3">
      <c r="A923">
        <v>2024</v>
      </c>
      <c r="B923">
        <v>6</v>
      </c>
      <c r="C923" s="105" t="s">
        <v>42</v>
      </c>
      <c r="D923" s="105" t="s">
        <v>22</v>
      </c>
      <c r="E923">
        <v>131</v>
      </c>
      <c r="F923" s="1">
        <v>94067.58</v>
      </c>
    </row>
    <row r="924" spans="1:6" hidden="1" x14ac:dyDescent="0.3">
      <c r="A924">
        <v>2024</v>
      </c>
      <c r="B924">
        <v>6</v>
      </c>
      <c r="C924" s="105" t="s">
        <v>42</v>
      </c>
      <c r="D924" s="105" t="s">
        <v>23</v>
      </c>
      <c r="E924">
        <v>62</v>
      </c>
      <c r="F924" s="1">
        <v>56310.25</v>
      </c>
    </row>
    <row r="925" spans="1:6" hidden="1" x14ac:dyDescent="0.3">
      <c r="A925">
        <v>2024</v>
      </c>
      <c r="B925">
        <v>6</v>
      </c>
      <c r="C925" s="105" t="s">
        <v>42</v>
      </c>
      <c r="D925" s="105" t="s">
        <v>24</v>
      </c>
      <c r="E925">
        <v>68</v>
      </c>
      <c r="F925" s="1">
        <v>48251.65</v>
      </c>
    </row>
    <row r="926" spans="1:6" hidden="1" x14ac:dyDescent="0.3">
      <c r="A926">
        <v>2024</v>
      </c>
      <c r="B926">
        <v>6</v>
      </c>
      <c r="C926" s="105" t="s">
        <v>42</v>
      </c>
      <c r="D926" s="105" t="s">
        <v>25</v>
      </c>
      <c r="E926">
        <v>125</v>
      </c>
      <c r="F926" s="1">
        <v>100911.59</v>
      </c>
    </row>
    <row r="927" spans="1:6" hidden="1" x14ac:dyDescent="0.3">
      <c r="A927">
        <v>2024</v>
      </c>
      <c r="B927">
        <v>6</v>
      </c>
      <c r="C927" s="105" t="s">
        <v>42</v>
      </c>
      <c r="D927" s="105" t="s">
        <v>26</v>
      </c>
      <c r="E927">
        <v>47</v>
      </c>
      <c r="F927" s="1">
        <v>36285.82</v>
      </c>
    </row>
    <row r="928" spans="1:6" hidden="1" x14ac:dyDescent="0.3">
      <c r="A928">
        <v>2024</v>
      </c>
      <c r="B928">
        <v>6</v>
      </c>
      <c r="C928" s="105" t="s">
        <v>42</v>
      </c>
      <c r="D928" s="105" t="s">
        <v>27</v>
      </c>
      <c r="E928">
        <v>62</v>
      </c>
      <c r="F928" s="1">
        <v>49176.2</v>
      </c>
    </row>
    <row r="929" spans="1:6" hidden="1" x14ac:dyDescent="0.3">
      <c r="A929">
        <v>2024</v>
      </c>
      <c r="B929">
        <v>6</v>
      </c>
      <c r="C929" s="105" t="s">
        <v>42</v>
      </c>
      <c r="D929" s="105" t="s">
        <v>28</v>
      </c>
      <c r="E929">
        <v>33</v>
      </c>
      <c r="F929" s="1">
        <v>21128</v>
      </c>
    </row>
    <row r="930" spans="1:6" hidden="1" x14ac:dyDescent="0.3">
      <c r="A930">
        <v>2024</v>
      </c>
      <c r="B930">
        <v>6</v>
      </c>
      <c r="C930" s="105" t="s">
        <v>42</v>
      </c>
      <c r="D930" s="105" t="s">
        <v>29</v>
      </c>
      <c r="E930">
        <v>71</v>
      </c>
      <c r="F930" s="1">
        <v>58185.42</v>
      </c>
    </row>
    <row r="931" spans="1:6" hidden="1" x14ac:dyDescent="0.3">
      <c r="A931">
        <v>2024</v>
      </c>
      <c r="B931">
        <v>6</v>
      </c>
      <c r="C931" s="105" t="s">
        <v>42</v>
      </c>
      <c r="D931" s="105" t="s">
        <v>30</v>
      </c>
      <c r="E931">
        <v>30</v>
      </c>
      <c r="F931" s="1">
        <v>27963.21</v>
      </c>
    </row>
    <row r="932" spans="1:6" hidden="1" x14ac:dyDescent="0.3">
      <c r="A932">
        <v>2024</v>
      </c>
      <c r="B932">
        <v>6</v>
      </c>
      <c r="C932" s="105" t="s">
        <v>42</v>
      </c>
      <c r="D932" s="105" t="s">
        <v>31</v>
      </c>
      <c r="E932">
        <v>258</v>
      </c>
      <c r="F932" s="1">
        <v>229965.73</v>
      </c>
    </row>
    <row r="933" spans="1:6" hidden="1" x14ac:dyDescent="0.3">
      <c r="A933">
        <v>2024</v>
      </c>
      <c r="B933">
        <v>6</v>
      </c>
      <c r="C933" s="105" t="s">
        <v>42</v>
      </c>
      <c r="D933" s="105" t="s">
        <v>51</v>
      </c>
      <c r="E933">
        <v>21</v>
      </c>
      <c r="F933" s="1">
        <v>14627.62</v>
      </c>
    </row>
    <row r="934" spans="1:6" hidden="1" x14ac:dyDescent="0.3">
      <c r="A934">
        <v>2024</v>
      </c>
      <c r="B934">
        <v>6</v>
      </c>
      <c r="C934" s="105" t="s">
        <v>42</v>
      </c>
      <c r="D934" s="105" t="s">
        <v>32</v>
      </c>
      <c r="E934">
        <v>71</v>
      </c>
      <c r="F934" s="1">
        <v>56620.74</v>
      </c>
    </row>
    <row r="935" spans="1:6" hidden="1" x14ac:dyDescent="0.3">
      <c r="A935">
        <v>2024</v>
      </c>
      <c r="B935">
        <v>6</v>
      </c>
      <c r="C935" s="105" t="s">
        <v>42</v>
      </c>
      <c r="D935" s="105" t="s">
        <v>33</v>
      </c>
      <c r="E935">
        <v>250</v>
      </c>
      <c r="F935" s="1">
        <v>218221.4</v>
      </c>
    </row>
    <row r="936" spans="1:6" hidden="1" x14ac:dyDescent="0.3">
      <c r="A936">
        <v>2024</v>
      </c>
      <c r="B936">
        <v>6</v>
      </c>
      <c r="C936" s="105" t="s">
        <v>42</v>
      </c>
      <c r="D936" s="105" t="s">
        <v>34</v>
      </c>
      <c r="E936">
        <v>110</v>
      </c>
      <c r="F936" s="1">
        <v>89832.04</v>
      </c>
    </row>
    <row r="937" spans="1:6" hidden="1" x14ac:dyDescent="0.3">
      <c r="A937">
        <v>2024</v>
      </c>
      <c r="B937">
        <v>6</v>
      </c>
      <c r="C937" s="105" t="s">
        <v>42</v>
      </c>
      <c r="D937" s="105" t="s">
        <v>53</v>
      </c>
      <c r="E937">
        <v>5</v>
      </c>
      <c r="F937" s="1">
        <v>3520</v>
      </c>
    </row>
    <row r="938" spans="1:6" hidden="1" x14ac:dyDescent="0.3">
      <c r="A938">
        <v>2024</v>
      </c>
      <c r="B938">
        <v>6</v>
      </c>
      <c r="C938" s="105" t="s">
        <v>42</v>
      </c>
      <c r="D938" s="105" t="s">
        <v>35</v>
      </c>
      <c r="E938">
        <v>72</v>
      </c>
      <c r="F938" s="1">
        <v>58514.14</v>
      </c>
    </row>
    <row r="939" spans="1:6" hidden="1" x14ac:dyDescent="0.3">
      <c r="A939">
        <v>2024</v>
      </c>
      <c r="B939">
        <v>6</v>
      </c>
      <c r="C939" s="105" t="s">
        <v>42</v>
      </c>
      <c r="D939" s="105" t="s">
        <v>36</v>
      </c>
      <c r="E939">
        <v>77</v>
      </c>
      <c r="F939" s="1">
        <v>58143.5</v>
      </c>
    </row>
    <row r="940" spans="1:6" hidden="1" x14ac:dyDescent="0.3">
      <c r="A940">
        <v>2024</v>
      </c>
      <c r="B940">
        <v>6</v>
      </c>
      <c r="C940" s="105" t="s">
        <v>42</v>
      </c>
      <c r="D940" s="105" t="s">
        <v>37</v>
      </c>
      <c r="E940">
        <v>104</v>
      </c>
      <c r="F940" s="1">
        <v>92994.51</v>
      </c>
    </row>
    <row r="941" spans="1:6" hidden="1" x14ac:dyDescent="0.3">
      <c r="A941">
        <v>2024</v>
      </c>
      <c r="B941">
        <v>7</v>
      </c>
      <c r="C941" s="105" t="s">
        <v>43</v>
      </c>
      <c r="D941" s="105" t="s">
        <v>7</v>
      </c>
      <c r="E941">
        <v>102</v>
      </c>
      <c r="F941" s="1">
        <v>86414.22</v>
      </c>
    </row>
    <row r="942" spans="1:6" hidden="1" x14ac:dyDescent="0.3">
      <c r="A942">
        <v>2024</v>
      </c>
      <c r="B942">
        <v>7</v>
      </c>
      <c r="C942" s="105" t="s">
        <v>43</v>
      </c>
      <c r="D942" s="105" t="s">
        <v>8</v>
      </c>
      <c r="E942">
        <v>72</v>
      </c>
      <c r="F942" s="1">
        <v>48231.73</v>
      </c>
    </row>
    <row r="943" spans="1:6" hidden="1" x14ac:dyDescent="0.3">
      <c r="A943">
        <v>2024</v>
      </c>
      <c r="B943">
        <v>7</v>
      </c>
      <c r="C943" s="105" t="s">
        <v>43</v>
      </c>
      <c r="D943" s="105" t="s">
        <v>9</v>
      </c>
      <c r="E943">
        <v>16</v>
      </c>
      <c r="F943" s="1">
        <v>12090.65</v>
      </c>
    </row>
    <row r="944" spans="1:6" hidden="1" x14ac:dyDescent="0.3">
      <c r="A944">
        <v>2024</v>
      </c>
      <c r="B944">
        <v>7</v>
      </c>
      <c r="C944" s="105" t="s">
        <v>43</v>
      </c>
      <c r="D944" s="105" t="s">
        <v>10</v>
      </c>
      <c r="E944">
        <v>178</v>
      </c>
      <c r="F944" s="1">
        <v>156826.56</v>
      </c>
    </row>
    <row r="945" spans="1:6" hidden="1" x14ac:dyDescent="0.3">
      <c r="A945">
        <v>2024</v>
      </c>
      <c r="B945">
        <v>7</v>
      </c>
      <c r="C945" s="105" t="s">
        <v>43</v>
      </c>
      <c r="D945" s="105" t="s">
        <v>11</v>
      </c>
      <c r="E945">
        <v>127</v>
      </c>
      <c r="F945" s="1">
        <v>105738.4</v>
      </c>
    </row>
    <row r="946" spans="1:6" hidden="1" x14ac:dyDescent="0.3">
      <c r="A946">
        <v>2024</v>
      </c>
      <c r="B946">
        <v>7</v>
      </c>
      <c r="C946" s="105" t="s">
        <v>43</v>
      </c>
      <c r="D946" s="105" t="s">
        <v>12</v>
      </c>
      <c r="E946">
        <v>146</v>
      </c>
      <c r="F946" s="1">
        <v>95885.58</v>
      </c>
    </row>
    <row r="947" spans="1:6" hidden="1" x14ac:dyDescent="0.3">
      <c r="A947">
        <v>2024</v>
      </c>
      <c r="B947">
        <v>7</v>
      </c>
      <c r="C947" s="105" t="s">
        <v>43</v>
      </c>
      <c r="D947" s="105" t="s">
        <v>13</v>
      </c>
      <c r="E947">
        <v>191</v>
      </c>
      <c r="F947" s="1">
        <v>121138.99</v>
      </c>
    </row>
    <row r="948" spans="1:6" hidden="1" x14ac:dyDescent="0.3">
      <c r="A948">
        <v>2024</v>
      </c>
      <c r="B948">
        <v>7</v>
      </c>
      <c r="C948" s="105" t="s">
        <v>43</v>
      </c>
      <c r="D948" s="105" t="s">
        <v>14</v>
      </c>
      <c r="E948">
        <v>83</v>
      </c>
      <c r="F948" s="1">
        <v>56674.06</v>
      </c>
    </row>
    <row r="949" spans="1:6" hidden="1" x14ac:dyDescent="0.3">
      <c r="A949">
        <v>2024</v>
      </c>
      <c r="B949">
        <v>7</v>
      </c>
      <c r="C949" s="105" t="s">
        <v>43</v>
      </c>
      <c r="D949" s="105" t="s">
        <v>15</v>
      </c>
      <c r="E949">
        <v>46</v>
      </c>
      <c r="F949" s="1">
        <v>33728.19</v>
      </c>
    </row>
    <row r="950" spans="1:6" hidden="1" x14ac:dyDescent="0.3">
      <c r="A950">
        <v>2024</v>
      </c>
      <c r="B950">
        <v>7</v>
      </c>
      <c r="C950" s="105" t="s">
        <v>43</v>
      </c>
      <c r="D950" s="105" t="s">
        <v>16</v>
      </c>
      <c r="E950">
        <v>66</v>
      </c>
      <c r="F950" s="1">
        <v>48302.44</v>
      </c>
    </row>
    <row r="951" spans="1:6" hidden="1" x14ac:dyDescent="0.3">
      <c r="A951">
        <v>2024</v>
      </c>
      <c r="B951">
        <v>7</v>
      </c>
      <c r="C951" s="105" t="s">
        <v>43</v>
      </c>
      <c r="D951" s="105" t="s">
        <v>17</v>
      </c>
      <c r="E951">
        <v>211</v>
      </c>
      <c r="F951" s="1">
        <v>167758.29999999999</v>
      </c>
    </row>
    <row r="952" spans="1:6" hidden="1" x14ac:dyDescent="0.3">
      <c r="A952">
        <v>2024</v>
      </c>
      <c r="B952">
        <v>7</v>
      </c>
      <c r="C952" s="105" t="s">
        <v>43</v>
      </c>
      <c r="D952" s="105" t="s">
        <v>18</v>
      </c>
      <c r="E952">
        <v>291</v>
      </c>
      <c r="F952" s="1">
        <v>265012.05</v>
      </c>
    </row>
    <row r="953" spans="1:6" hidden="1" x14ac:dyDescent="0.3">
      <c r="A953">
        <v>2024</v>
      </c>
      <c r="B953">
        <v>7</v>
      </c>
      <c r="C953" s="105" t="s">
        <v>43</v>
      </c>
      <c r="D953" s="105" t="s">
        <v>50</v>
      </c>
      <c r="E953">
        <v>13</v>
      </c>
      <c r="F953" s="1">
        <v>10488</v>
      </c>
    </row>
    <row r="954" spans="1:6" hidden="1" x14ac:dyDescent="0.3">
      <c r="A954">
        <v>2024</v>
      </c>
      <c r="B954">
        <v>7</v>
      </c>
      <c r="C954" s="105" t="s">
        <v>43</v>
      </c>
      <c r="D954" s="105" t="s">
        <v>19</v>
      </c>
      <c r="E954">
        <v>40</v>
      </c>
      <c r="F954" s="1">
        <v>28167.91</v>
      </c>
    </row>
    <row r="955" spans="1:6" hidden="1" x14ac:dyDescent="0.3">
      <c r="A955">
        <v>2024</v>
      </c>
      <c r="B955">
        <v>7</v>
      </c>
      <c r="C955" s="105" t="s">
        <v>43</v>
      </c>
      <c r="D955" s="105" t="s">
        <v>20</v>
      </c>
      <c r="E955">
        <v>91</v>
      </c>
      <c r="F955" s="1">
        <v>71052.02</v>
      </c>
    </row>
    <row r="956" spans="1:6" hidden="1" x14ac:dyDescent="0.3">
      <c r="A956">
        <v>2024</v>
      </c>
      <c r="B956">
        <v>7</v>
      </c>
      <c r="C956" s="105" t="s">
        <v>43</v>
      </c>
      <c r="D956" s="105" t="s">
        <v>21</v>
      </c>
      <c r="E956">
        <v>238</v>
      </c>
      <c r="F956" s="1">
        <v>221551.32</v>
      </c>
    </row>
    <row r="957" spans="1:6" x14ac:dyDescent="0.3">
      <c r="A957">
        <v>2024</v>
      </c>
      <c r="B957">
        <v>7</v>
      </c>
      <c r="C957" s="105" t="s">
        <v>43</v>
      </c>
      <c r="D957" s="105" t="s">
        <v>22</v>
      </c>
      <c r="E957">
        <v>106</v>
      </c>
      <c r="F957" s="1">
        <v>71565.56</v>
      </c>
    </row>
    <row r="958" spans="1:6" hidden="1" x14ac:dyDescent="0.3">
      <c r="A958">
        <v>2024</v>
      </c>
      <c r="B958">
        <v>7</v>
      </c>
      <c r="C958" s="105" t="s">
        <v>43</v>
      </c>
      <c r="D958" s="105" t="s">
        <v>23</v>
      </c>
      <c r="E958">
        <v>96</v>
      </c>
      <c r="F958" s="1">
        <v>91882.1</v>
      </c>
    </row>
    <row r="959" spans="1:6" hidden="1" x14ac:dyDescent="0.3">
      <c r="A959">
        <v>2024</v>
      </c>
      <c r="B959">
        <v>7</v>
      </c>
      <c r="C959" s="105" t="s">
        <v>43</v>
      </c>
      <c r="D959" s="105" t="s">
        <v>24</v>
      </c>
      <c r="E959">
        <v>84</v>
      </c>
      <c r="F959" s="1">
        <v>62753.39</v>
      </c>
    </row>
    <row r="960" spans="1:6" hidden="1" x14ac:dyDescent="0.3">
      <c r="A960">
        <v>2024</v>
      </c>
      <c r="B960">
        <v>7</v>
      </c>
      <c r="C960" s="105" t="s">
        <v>43</v>
      </c>
      <c r="D960" s="105" t="s">
        <v>25</v>
      </c>
      <c r="E960">
        <v>116</v>
      </c>
      <c r="F960" s="1">
        <v>92050</v>
      </c>
    </row>
    <row r="961" spans="1:6" hidden="1" x14ac:dyDescent="0.3">
      <c r="A961">
        <v>2024</v>
      </c>
      <c r="B961">
        <v>7</v>
      </c>
      <c r="C961" s="105" t="s">
        <v>43</v>
      </c>
      <c r="D961" s="105" t="s">
        <v>26</v>
      </c>
      <c r="E961">
        <v>93</v>
      </c>
      <c r="F961" s="1">
        <v>71847.11</v>
      </c>
    </row>
    <row r="962" spans="1:6" hidden="1" x14ac:dyDescent="0.3">
      <c r="A962">
        <v>2024</v>
      </c>
      <c r="B962">
        <v>7</v>
      </c>
      <c r="C962" s="105" t="s">
        <v>43</v>
      </c>
      <c r="D962" s="105" t="s">
        <v>27</v>
      </c>
      <c r="E962">
        <v>77</v>
      </c>
      <c r="F962" s="1">
        <v>60711.17</v>
      </c>
    </row>
    <row r="963" spans="1:6" hidden="1" x14ac:dyDescent="0.3">
      <c r="A963">
        <v>2024</v>
      </c>
      <c r="B963">
        <v>7</v>
      </c>
      <c r="C963" s="105" t="s">
        <v>43</v>
      </c>
      <c r="D963" s="105" t="s">
        <v>28</v>
      </c>
      <c r="E963">
        <v>37</v>
      </c>
      <c r="F963" s="1">
        <v>26066.44</v>
      </c>
    </row>
    <row r="964" spans="1:6" hidden="1" x14ac:dyDescent="0.3">
      <c r="A964">
        <v>2024</v>
      </c>
      <c r="B964">
        <v>7</v>
      </c>
      <c r="C964" s="105" t="s">
        <v>43</v>
      </c>
      <c r="D964" s="105" t="s">
        <v>29</v>
      </c>
      <c r="E964">
        <v>159</v>
      </c>
      <c r="F964" s="1">
        <v>129676.1</v>
      </c>
    </row>
    <row r="965" spans="1:6" hidden="1" x14ac:dyDescent="0.3">
      <c r="A965">
        <v>2024</v>
      </c>
      <c r="B965">
        <v>7</v>
      </c>
      <c r="C965" s="105" t="s">
        <v>43</v>
      </c>
      <c r="D965" s="105" t="s">
        <v>30</v>
      </c>
      <c r="E965">
        <v>36</v>
      </c>
      <c r="F965" s="1">
        <v>23715.79</v>
      </c>
    </row>
    <row r="966" spans="1:6" hidden="1" x14ac:dyDescent="0.3">
      <c r="A966">
        <v>2024</v>
      </c>
      <c r="B966">
        <v>7</v>
      </c>
      <c r="C966" s="105" t="s">
        <v>43</v>
      </c>
      <c r="D966" s="105" t="s">
        <v>31</v>
      </c>
      <c r="E966">
        <v>321</v>
      </c>
      <c r="F966" s="1">
        <v>290158.87</v>
      </c>
    </row>
    <row r="967" spans="1:6" hidden="1" x14ac:dyDescent="0.3">
      <c r="A967">
        <v>2024</v>
      </c>
      <c r="B967">
        <v>7</v>
      </c>
      <c r="C967" s="105" t="s">
        <v>43</v>
      </c>
      <c r="D967" s="105" t="s">
        <v>51</v>
      </c>
      <c r="E967">
        <v>18</v>
      </c>
      <c r="F967" s="1">
        <v>14108.5</v>
      </c>
    </row>
    <row r="968" spans="1:6" hidden="1" x14ac:dyDescent="0.3">
      <c r="A968">
        <v>2024</v>
      </c>
      <c r="B968">
        <v>7</v>
      </c>
      <c r="C968" s="105" t="s">
        <v>43</v>
      </c>
      <c r="D968" s="105" t="s">
        <v>32</v>
      </c>
      <c r="E968">
        <v>132</v>
      </c>
      <c r="F968" s="1">
        <v>100785.29</v>
      </c>
    </row>
    <row r="969" spans="1:6" hidden="1" x14ac:dyDescent="0.3">
      <c r="A969">
        <v>2024</v>
      </c>
      <c r="B969">
        <v>7</v>
      </c>
      <c r="C969" s="105" t="s">
        <v>43</v>
      </c>
      <c r="D969" s="105" t="s">
        <v>52</v>
      </c>
      <c r="E969">
        <v>17</v>
      </c>
      <c r="F969" s="1">
        <v>14212</v>
      </c>
    </row>
    <row r="970" spans="1:6" hidden="1" x14ac:dyDescent="0.3">
      <c r="A970">
        <v>2024</v>
      </c>
      <c r="B970">
        <v>7</v>
      </c>
      <c r="C970" s="105" t="s">
        <v>43</v>
      </c>
      <c r="D970" s="105" t="s">
        <v>33</v>
      </c>
      <c r="E970">
        <v>386</v>
      </c>
      <c r="F970" s="1">
        <v>327663.19</v>
      </c>
    </row>
    <row r="971" spans="1:6" hidden="1" x14ac:dyDescent="0.3">
      <c r="A971">
        <v>2024</v>
      </c>
      <c r="B971">
        <v>7</v>
      </c>
      <c r="C971" s="105" t="s">
        <v>43</v>
      </c>
      <c r="D971" s="105" t="s">
        <v>34</v>
      </c>
      <c r="E971">
        <v>142</v>
      </c>
      <c r="F971" s="1">
        <v>121826.84</v>
      </c>
    </row>
    <row r="972" spans="1:6" hidden="1" x14ac:dyDescent="0.3">
      <c r="A972">
        <v>2024</v>
      </c>
      <c r="B972">
        <v>7</v>
      </c>
      <c r="C972" s="105" t="s">
        <v>43</v>
      </c>
      <c r="D972" s="105" t="s">
        <v>53</v>
      </c>
      <c r="E972">
        <v>13</v>
      </c>
      <c r="F972" s="1">
        <v>9509.3700000000008</v>
      </c>
    </row>
    <row r="973" spans="1:6" hidden="1" x14ac:dyDescent="0.3">
      <c r="A973">
        <v>2024</v>
      </c>
      <c r="B973">
        <v>7</v>
      </c>
      <c r="C973" s="105" t="s">
        <v>43</v>
      </c>
      <c r="D973" s="105" t="s">
        <v>35</v>
      </c>
      <c r="E973">
        <v>119</v>
      </c>
      <c r="F973" s="1">
        <v>97175.98</v>
      </c>
    </row>
    <row r="974" spans="1:6" hidden="1" x14ac:dyDescent="0.3">
      <c r="A974">
        <v>2024</v>
      </c>
      <c r="B974">
        <v>7</v>
      </c>
      <c r="C974" s="105" t="s">
        <v>43</v>
      </c>
      <c r="D974" s="105" t="s">
        <v>36</v>
      </c>
      <c r="E974">
        <v>90</v>
      </c>
      <c r="F974" s="1">
        <v>68809.11</v>
      </c>
    </row>
    <row r="975" spans="1:6" hidden="1" x14ac:dyDescent="0.3">
      <c r="A975">
        <v>2024</v>
      </c>
      <c r="B975">
        <v>7</v>
      </c>
      <c r="C975" s="105" t="s">
        <v>43</v>
      </c>
      <c r="D975" s="105" t="s">
        <v>37</v>
      </c>
      <c r="E975">
        <v>143</v>
      </c>
      <c r="F975" s="1">
        <v>120047.06</v>
      </c>
    </row>
    <row r="976" spans="1:6" hidden="1" x14ac:dyDescent="0.3">
      <c r="A976">
        <v>2024</v>
      </c>
      <c r="B976">
        <v>8</v>
      </c>
      <c r="C976" s="105" t="s">
        <v>44</v>
      </c>
      <c r="D976" s="105" t="s">
        <v>7</v>
      </c>
      <c r="E976">
        <v>96</v>
      </c>
      <c r="F976" s="1">
        <v>75894.73</v>
      </c>
    </row>
    <row r="977" spans="1:6" hidden="1" x14ac:dyDescent="0.3">
      <c r="A977">
        <v>2024</v>
      </c>
      <c r="B977">
        <v>8</v>
      </c>
      <c r="C977" s="105" t="s">
        <v>44</v>
      </c>
      <c r="D977" s="105" t="s">
        <v>8</v>
      </c>
      <c r="E977">
        <v>66</v>
      </c>
      <c r="F977" s="1">
        <v>55469</v>
      </c>
    </row>
    <row r="978" spans="1:6" hidden="1" x14ac:dyDescent="0.3">
      <c r="A978">
        <v>2024</v>
      </c>
      <c r="B978">
        <v>8</v>
      </c>
      <c r="C978" s="105" t="s">
        <v>44</v>
      </c>
      <c r="D978" s="105" t="s">
        <v>9</v>
      </c>
      <c r="E978">
        <v>24</v>
      </c>
      <c r="F978" s="1">
        <v>17898.060000000001</v>
      </c>
    </row>
    <row r="979" spans="1:6" hidden="1" x14ac:dyDescent="0.3">
      <c r="A979">
        <v>2024</v>
      </c>
      <c r="B979">
        <v>8</v>
      </c>
      <c r="C979" s="105" t="s">
        <v>44</v>
      </c>
      <c r="D979" s="105" t="s">
        <v>10</v>
      </c>
      <c r="E979">
        <v>141</v>
      </c>
      <c r="F979" s="1">
        <v>112618.14</v>
      </c>
    </row>
    <row r="980" spans="1:6" hidden="1" x14ac:dyDescent="0.3">
      <c r="A980">
        <v>2024</v>
      </c>
      <c r="B980">
        <v>8</v>
      </c>
      <c r="C980" s="105" t="s">
        <v>44</v>
      </c>
      <c r="D980" s="105" t="s">
        <v>11</v>
      </c>
      <c r="E980">
        <v>186</v>
      </c>
      <c r="F980" s="1">
        <v>149792.29999999999</v>
      </c>
    </row>
    <row r="981" spans="1:6" hidden="1" x14ac:dyDescent="0.3">
      <c r="A981">
        <v>2024</v>
      </c>
      <c r="B981">
        <v>8</v>
      </c>
      <c r="C981" s="105" t="s">
        <v>44</v>
      </c>
      <c r="D981" s="105" t="s">
        <v>12</v>
      </c>
      <c r="E981">
        <v>184</v>
      </c>
      <c r="F981" s="1">
        <v>117242.64</v>
      </c>
    </row>
    <row r="982" spans="1:6" hidden="1" x14ac:dyDescent="0.3">
      <c r="A982">
        <v>2024</v>
      </c>
      <c r="B982">
        <v>8</v>
      </c>
      <c r="C982" s="105" t="s">
        <v>44</v>
      </c>
      <c r="D982" s="105" t="s">
        <v>13</v>
      </c>
      <c r="E982">
        <v>203</v>
      </c>
      <c r="F982" s="1">
        <v>127595.25</v>
      </c>
    </row>
    <row r="983" spans="1:6" hidden="1" x14ac:dyDescent="0.3">
      <c r="A983">
        <v>2024</v>
      </c>
      <c r="B983">
        <v>8</v>
      </c>
      <c r="C983" s="105" t="s">
        <v>44</v>
      </c>
      <c r="D983" s="105" t="s">
        <v>14</v>
      </c>
      <c r="E983">
        <v>84</v>
      </c>
      <c r="F983" s="1">
        <v>55919.56</v>
      </c>
    </row>
    <row r="984" spans="1:6" hidden="1" x14ac:dyDescent="0.3">
      <c r="A984">
        <v>2024</v>
      </c>
      <c r="B984">
        <v>8</v>
      </c>
      <c r="C984" s="105" t="s">
        <v>44</v>
      </c>
      <c r="D984" s="105" t="s">
        <v>15</v>
      </c>
      <c r="E984">
        <v>37</v>
      </c>
      <c r="F984" s="1">
        <v>28562.73</v>
      </c>
    </row>
    <row r="985" spans="1:6" hidden="1" x14ac:dyDescent="0.3">
      <c r="A985">
        <v>2024</v>
      </c>
      <c r="B985">
        <v>8</v>
      </c>
      <c r="C985" s="105" t="s">
        <v>44</v>
      </c>
      <c r="D985" s="105" t="s">
        <v>16</v>
      </c>
      <c r="E985">
        <v>74</v>
      </c>
      <c r="F985" s="1">
        <v>55837.72</v>
      </c>
    </row>
    <row r="986" spans="1:6" hidden="1" x14ac:dyDescent="0.3">
      <c r="A986">
        <v>2024</v>
      </c>
      <c r="B986">
        <v>8</v>
      </c>
      <c r="C986" s="105" t="s">
        <v>44</v>
      </c>
      <c r="D986" s="105" t="s">
        <v>17</v>
      </c>
      <c r="E986">
        <v>278</v>
      </c>
      <c r="F986" s="1">
        <v>202289.02</v>
      </c>
    </row>
    <row r="987" spans="1:6" hidden="1" x14ac:dyDescent="0.3">
      <c r="A987">
        <v>2024</v>
      </c>
      <c r="B987">
        <v>8</v>
      </c>
      <c r="C987" s="105" t="s">
        <v>44</v>
      </c>
      <c r="D987" s="105" t="s">
        <v>18</v>
      </c>
      <c r="E987">
        <v>202</v>
      </c>
      <c r="F987" s="1">
        <v>186167.54</v>
      </c>
    </row>
    <row r="988" spans="1:6" hidden="1" x14ac:dyDescent="0.3">
      <c r="A988">
        <v>2024</v>
      </c>
      <c r="B988">
        <v>8</v>
      </c>
      <c r="C988" s="105" t="s">
        <v>44</v>
      </c>
      <c r="D988" s="105" t="s">
        <v>50</v>
      </c>
      <c r="E988">
        <v>9</v>
      </c>
      <c r="F988" s="1">
        <v>5795</v>
      </c>
    </row>
    <row r="989" spans="1:6" hidden="1" x14ac:dyDescent="0.3">
      <c r="A989">
        <v>2024</v>
      </c>
      <c r="B989">
        <v>8</v>
      </c>
      <c r="C989" s="105" t="s">
        <v>44</v>
      </c>
      <c r="D989" s="105" t="s">
        <v>19</v>
      </c>
      <c r="E989">
        <v>38</v>
      </c>
      <c r="F989" s="1">
        <v>24892.95</v>
      </c>
    </row>
    <row r="990" spans="1:6" hidden="1" x14ac:dyDescent="0.3">
      <c r="A990">
        <v>2024</v>
      </c>
      <c r="B990">
        <v>8</v>
      </c>
      <c r="C990" s="105" t="s">
        <v>44</v>
      </c>
      <c r="D990" s="105" t="s">
        <v>20</v>
      </c>
      <c r="E990">
        <v>80</v>
      </c>
      <c r="F990" s="1">
        <v>71099.360000000001</v>
      </c>
    </row>
    <row r="991" spans="1:6" hidden="1" x14ac:dyDescent="0.3">
      <c r="A991">
        <v>2024</v>
      </c>
      <c r="B991">
        <v>8</v>
      </c>
      <c r="C991" s="105" t="s">
        <v>44</v>
      </c>
      <c r="D991" s="105" t="s">
        <v>21</v>
      </c>
      <c r="E991">
        <v>273</v>
      </c>
      <c r="F991" s="1">
        <v>239224.16</v>
      </c>
    </row>
    <row r="992" spans="1:6" x14ac:dyDescent="0.3">
      <c r="A992">
        <v>2024</v>
      </c>
      <c r="B992">
        <v>8</v>
      </c>
      <c r="C992" s="105" t="s">
        <v>44</v>
      </c>
      <c r="D992" s="105" t="s">
        <v>22</v>
      </c>
      <c r="E992">
        <v>94</v>
      </c>
      <c r="F992" s="1">
        <v>60528.87</v>
      </c>
    </row>
    <row r="993" spans="1:6" hidden="1" x14ac:dyDescent="0.3">
      <c r="A993">
        <v>2024</v>
      </c>
      <c r="B993">
        <v>8</v>
      </c>
      <c r="C993" s="105" t="s">
        <v>44</v>
      </c>
      <c r="D993" s="105" t="s">
        <v>23</v>
      </c>
      <c r="E993">
        <v>113</v>
      </c>
      <c r="F993" s="1">
        <v>101247.99</v>
      </c>
    </row>
    <row r="994" spans="1:6" hidden="1" x14ac:dyDescent="0.3">
      <c r="A994">
        <v>2024</v>
      </c>
      <c r="B994">
        <v>8</v>
      </c>
      <c r="C994" s="105" t="s">
        <v>44</v>
      </c>
      <c r="D994" s="105" t="s">
        <v>24</v>
      </c>
      <c r="E994">
        <v>79</v>
      </c>
      <c r="F994" s="1">
        <v>59194.65</v>
      </c>
    </row>
    <row r="995" spans="1:6" hidden="1" x14ac:dyDescent="0.3">
      <c r="A995">
        <v>2024</v>
      </c>
      <c r="B995">
        <v>8</v>
      </c>
      <c r="C995" s="105" t="s">
        <v>44</v>
      </c>
      <c r="D995" s="105" t="s">
        <v>25</v>
      </c>
      <c r="E995">
        <v>142</v>
      </c>
      <c r="F995" s="1">
        <v>137746.65</v>
      </c>
    </row>
    <row r="996" spans="1:6" hidden="1" x14ac:dyDescent="0.3">
      <c r="A996">
        <v>2024</v>
      </c>
      <c r="B996">
        <v>8</v>
      </c>
      <c r="C996" s="105" t="s">
        <v>44</v>
      </c>
      <c r="D996" s="105" t="s">
        <v>26</v>
      </c>
      <c r="E996">
        <v>69</v>
      </c>
      <c r="F996" s="1">
        <v>51157.919999999998</v>
      </c>
    </row>
    <row r="997" spans="1:6" hidden="1" x14ac:dyDescent="0.3">
      <c r="A997">
        <v>2024</v>
      </c>
      <c r="B997">
        <v>8</v>
      </c>
      <c r="C997" s="105" t="s">
        <v>44</v>
      </c>
      <c r="D997" s="105" t="s">
        <v>27</v>
      </c>
      <c r="E997">
        <v>76</v>
      </c>
      <c r="F997" s="1">
        <v>59408.03</v>
      </c>
    </row>
    <row r="998" spans="1:6" hidden="1" x14ac:dyDescent="0.3">
      <c r="A998">
        <v>2024</v>
      </c>
      <c r="B998">
        <v>8</v>
      </c>
      <c r="C998" s="105" t="s">
        <v>44</v>
      </c>
      <c r="D998" s="105" t="s">
        <v>28</v>
      </c>
      <c r="E998">
        <v>31</v>
      </c>
      <c r="F998" s="1">
        <v>22647.42</v>
      </c>
    </row>
    <row r="999" spans="1:6" hidden="1" x14ac:dyDescent="0.3">
      <c r="A999">
        <v>2024</v>
      </c>
      <c r="B999">
        <v>8</v>
      </c>
      <c r="C999" s="105" t="s">
        <v>44</v>
      </c>
      <c r="D999" s="105" t="s">
        <v>29</v>
      </c>
      <c r="E999">
        <v>236</v>
      </c>
      <c r="F999" s="1">
        <v>191435.6</v>
      </c>
    </row>
    <row r="1000" spans="1:6" hidden="1" x14ac:dyDescent="0.3">
      <c r="A1000">
        <v>2024</v>
      </c>
      <c r="B1000">
        <v>8</v>
      </c>
      <c r="C1000" s="105" t="s">
        <v>44</v>
      </c>
      <c r="D1000" s="105" t="s">
        <v>30</v>
      </c>
      <c r="E1000">
        <v>34</v>
      </c>
      <c r="F1000" s="1">
        <v>24729.040000000001</v>
      </c>
    </row>
    <row r="1001" spans="1:6" hidden="1" x14ac:dyDescent="0.3">
      <c r="A1001">
        <v>2024</v>
      </c>
      <c r="B1001">
        <v>8</v>
      </c>
      <c r="C1001" s="105" t="s">
        <v>44</v>
      </c>
      <c r="D1001" s="105" t="s">
        <v>31</v>
      </c>
      <c r="E1001">
        <v>329</v>
      </c>
      <c r="F1001" s="1">
        <v>286006.74</v>
      </c>
    </row>
    <row r="1002" spans="1:6" hidden="1" x14ac:dyDescent="0.3">
      <c r="A1002">
        <v>2024</v>
      </c>
      <c r="B1002">
        <v>8</v>
      </c>
      <c r="C1002" s="105" t="s">
        <v>44</v>
      </c>
      <c r="D1002" s="105" t="s">
        <v>51</v>
      </c>
      <c r="E1002">
        <v>16</v>
      </c>
      <c r="F1002" s="1">
        <v>11244.37</v>
      </c>
    </row>
    <row r="1003" spans="1:6" hidden="1" x14ac:dyDescent="0.3">
      <c r="A1003">
        <v>2024</v>
      </c>
      <c r="B1003">
        <v>8</v>
      </c>
      <c r="C1003" s="105" t="s">
        <v>44</v>
      </c>
      <c r="D1003" s="105" t="s">
        <v>32</v>
      </c>
      <c r="E1003">
        <v>152</v>
      </c>
      <c r="F1003" s="1">
        <v>102855.18</v>
      </c>
    </row>
    <row r="1004" spans="1:6" hidden="1" x14ac:dyDescent="0.3">
      <c r="A1004">
        <v>2024</v>
      </c>
      <c r="B1004">
        <v>8</v>
      </c>
      <c r="C1004" s="105" t="s">
        <v>44</v>
      </c>
      <c r="D1004" s="105" t="s">
        <v>52</v>
      </c>
      <c r="E1004">
        <v>24</v>
      </c>
      <c r="F1004" s="1">
        <v>20519.36</v>
      </c>
    </row>
    <row r="1005" spans="1:6" hidden="1" x14ac:dyDescent="0.3">
      <c r="A1005">
        <v>2024</v>
      </c>
      <c r="B1005">
        <v>8</v>
      </c>
      <c r="C1005" s="105" t="s">
        <v>44</v>
      </c>
      <c r="D1005" s="105" t="s">
        <v>33</v>
      </c>
      <c r="E1005">
        <v>384</v>
      </c>
      <c r="F1005" s="1">
        <v>326835.53999999998</v>
      </c>
    </row>
    <row r="1006" spans="1:6" hidden="1" x14ac:dyDescent="0.3">
      <c r="A1006">
        <v>2024</v>
      </c>
      <c r="B1006">
        <v>8</v>
      </c>
      <c r="C1006" s="105" t="s">
        <v>44</v>
      </c>
      <c r="D1006" s="105" t="s">
        <v>34</v>
      </c>
      <c r="E1006">
        <v>238</v>
      </c>
      <c r="F1006" s="1">
        <v>182308.82</v>
      </c>
    </row>
    <row r="1007" spans="1:6" hidden="1" x14ac:dyDescent="0.3">
      <c r="A1007">
        <v>2024</v>
      </c>
      <c r="B1007">
        <v>8</v>
      </c>
      <c r="C1007" s="105" t="s">
        <v>44</v>
      </c>
      <c r="D1007" s="105" t="s">
        <v>53</v>
      </c>
      <c r="E1007">
        <v>13</v>
      </c>
      <c r="F1007" s="1">
        <v>12293.62</v>
      </c>
    </row>
    <row r="1008" spans="1:6" hidden="1" x14ac:dyDescent="0.3">
      <c r="A1008">
        <v>2024</v>
      </c>
      <c r="B1008">
        <v>8</v>
      </c>
      <c r="C1008" s="105" t="s">
        <v>44</v>
      </c>
      <c r="D1008" s="105" t="s">
        <v>35</v>
      </c>
      <c r="E1008">
        <v>164</v>
      </c>
      <c r="F1008" s="1">
        <v>121714.07</v>
      </c>
    </row>
    <row r="1009" spans="1:6" hidden="1" x14ac:dyDescent="0.3">
      <c r="A1009">
        <v>2024</v>
      </c>
      <c r="B1009">
        <v>8</v>
      </c>
      <c r="C1009" s="105" t="s">
        <v>44</v>
      </c>
      <c r="D1009" s="105" t="s">
        <v>36</v>
      </c>
      <c r="E1009">
        <v>81</v>
      </c>
      <c r="F1009" s="1">
        <v>80309.16</v>
      </c>
    </row>
    <row r="1010" spans="1:6" hidden="1" x14ac:dyDescent="0.3">
      <c r="A1010">
        <v>2024</v>
      </c>
      <c r="B1010">
        <v>8</v>
      </c>
      <c r="C1010" s="105" t="s">
        <v>44</v>
      </c>
      <c r="D1010" s="105" t="s">
        <v>37</v>
      </c>
      <c r="E1010">
        <v>175</v>
      </c>
      <c r="F1010" s="1">
        <v>150058</v>
      </c>
    </row>
    <row r="1011" spans="1:6" hidden="1" x14ac:dyDescent="0.3">
      <c r="A1011">
        <v>2024</v>
      </c>
      <c r="B1011">
        <v>9</v>
      </c>
      <c r="C1011" s="105" t="s">
        <v>45</v>
      </c>
      <c r="D1011" s="105" t="s">
        <v>7</v>
      </c>
      <c r="E1011">
        <v>87</v>
      </c>
      <c r="F1011" s="1">
        <v>76306.67</v>
      </c>
    </row>
    <row r="1012" spans="1:6" hidden="1" x14ac:dyDescent="0.3">
      <c r="A1012">
        <v>2024</v>
      </c>
      <c r="B1012">
        <v>9</v>
      </c>
      <c r="C1012" s="105" t="s">
        <v>45</v>
      </c>
      <c r="D1012" s="105" t="s">
        <v>8</v>
      </c>
      <c r="E1012">
        <v>66</v>
      </c>
      <c r="F1012" s="1">
        <v>44267.74</v>
      </c>
    </row>
    <row r="1013" spans="1:6" hidden="1" x14ac:dyDescent="0.3">
      <c r="A1013">
        <v>2024</v>
      </c>
      <c r="B1013">
        <v>9</v>
      </c>
      <c r="C1013" s="105" t="s">
        <v>45</v>
      </c>
      <c r="D1013" s="105" t="s">
        <v>9</v>
      </c>
      <c r="E1013">
        <v>32</v>
      </c>
      <c r="F1013" s="1">
        <v>24206.799999999999</v>
      </c>
    </row>
    <row r="1014" spans="1:6" hidden="1" x14ac:dyDescent="0.3">
      <c r="A1014">
        <v>2024</v>
      </c>
      <c r="B1014">
        <v>9</v>
      </c>
      <c r="C1014" s="105" t="s">
        <v>45</v>
      </c>
      <c r="D1014" s="105" t="s">
        <v>10</v>
      </c>
      <c r="E1014">
        <v>140</v>
      </c>
      <c r="F1014" s="1">
        <v>124465.36</v>
      </c>
    </row>
    <row r="1015" spans="1:6" hidden="1" x14ac:dyDescent="0.3">
      <c r="A1015">
        <v>2024</v>
      </c>
      <c r="B1015">
        <v>9</v>
      </c>
      <c r="C1015" s="105" t="s">
        <v>45</v>
      </c>
      <c r="D1015" s="105" t="s">
        <v>11</v>
      </c>
      <c r="E1015">
        <v>173</v>
      </c>
      <c r="F1015" s="1">
        <v>137587.92000000001</v>
      </c>
    </row>
    <row r="1016" spans="1:6" hidden="1" x14ac:dyDescent="0.3">
      <c r="A1016">
        <v>2024</v>
      </c>
      <c r="B1016">
        <v>9</v>
      </c>
      <c r="C1016" s="105" t="s">
        <v>45</v>
      </c>
      <c r="D1016" s="105" t="s">
        <v>12</v>
      </c>
      <c r="E1016">
        <v>130</v>
      </c>
      <c r="F1016" s="1">
        <v>84389.4</v>
      </c>
    </row>
    <row r="1017" spans="1:6" hidden="1" x14ac:dyDescent="0.3">
      <c r="A1017">
        <v>2024</v>
      </c>
      <c r="B1017">
        <v>9</v>
      </c>
      <c r="C1017" s="105" t="s">
        <v>45</v>
      </c>
      <c r="D1017" s="105" t="s">
        <v>13</v>
      </c>
      <c r="E1017">
        <v>151</v>
      </c>
      <c r="F1017" s="1">
        <v>106015.87</v>
      </c>
    </row>
    <row r="1018" spans="1:6" hidden="1" x14ac:dyDescent="0.3">
      <c r="A1018">
        <v>2024</v>
      </c>
      <c r="B1018">
        <v>9</v>
      </c>
      <c r="C1018" s="105" t="s">
        <v>45</v>
      </c>
      <c r="D1018" s="105" t="s">
        <v>14</v>
      </c>
      <c r="E1018">
        <v>80</v>
      </c>
      <c r="F1018" s="1">
        <v>57281.63</v>
      </c>
    </row>
    <row r="1019" spans="1:6" hidden="1" x14ac:dyDescent="0.3">
      <c r="A1019">
        <v>2024</v>
      </c>
      <c r="B1019">
        <v>9</v>
      </c>
      <c r="C1019" s="105" t="s">
        <v>45</v>
      </c>
      <c r="D1019" s="105" t="s">
        <v>15</v>
      </c>
      <c r="E1019">
        <v>43</v>
      </c>
      <c r="F1019" s="1">
        <v>34990.629999999997</v>
      </c>
    </row>
    <row r="1020" spans="1:6" hidden="1" x14ac:dyDescent="0.3">
      <c r="A1020">
        <v>2024</v>
      </c>
      <c r="B1020">
        <v>9</v>
      </c>
      <c r="C1020" s="105" t="s">
        <v>45</v>
      </c>
      <c r="D1020" s="105" t="s">
        <v>16</v>
      </c>
      <c r="E1020">
        <v>46</v>
      </c>
      <c r="F1020" s="1">
        <v>42434.43</v>
      </c>
    </row>
    <row r="1021" spans="1:6" hidden="1" x14ac:dyDescent="0.3">
      <c r="A1021">
        <v>2024</v>
      </c>
      <c r="B1021">
        <v>9</v>
      </c>
      <c r="C1021" s="105" t="s">
        <v>45</v>
      </c>
      <c r="D1021" s="105" t="s">
        <v>17</v>
      </c>
      <c r="E1021">
        <v>330</v>
      </c>
      <c r="F1021" s="1">
        <v>253583.17</v>
      </c>
    </row>
    <row r="1022" spans="1:6" hidden="1" x14ac:dyDescent="0.3">
      <c r="A1022">
        <v>2024</v>
      </c>
      <c r="B1022">
        <v>9</v>
      </c>
      <c r="C1022" s="105" t="s">
        <v>45</v>
      </c>
      <c r="D1022" s="105" t="s">
        <v>18</v>
      </c>
      <c r="E1022">
        <v>186</v>
      </c>
      <c r="F1022" s="1">
        <v>171766.74</v>
      </c>
    </row>
    <row r="1023" spans="1:6" hidden="1" x14ac:dyDescent="0.3">
      <c r="A1023">
        <v>2024</v>
      </c>
      <c r="B1023">
        <v>9</v>
      </c>
      <c r="C1023" s="105" t="s">
        <v>45</v>
      </c>
      <c r="D1023" s="105" t="s">
        <v>50</v>
      </c>
      <c r="E1023">
        <v>9</v>
      </c>
      <c r="F1023" s="1">
        <v>6568</v>
      </c>
    </row>
    <row r="1024" spans="1:6" hidden="1" x14ac:dyDescent="0.3">
      <c r="A1024">
        <v>2024</v>
      </c>
      <c r="B1024">
        <v>9</v>
      </c>
      <c r="C1024" s="105" t="s">
        <v>45</v>
      </c>
      <c r="D1024" s="105" t="s">
        <v>19</v>
      </c>
      <c r="E1024">
        <v>37</v>
      </c>
      <c r="F1024" s="1">
        <v>24995.62</v>
      </c>
    </row>
    <row r="1025" spans="1:6" hidden="1" x14ac:dyDescent="0.3">
      <c r="A1025">
        <v>2024</v>
      </c>
      <c r="B1025">
        <v>9</v>
      </c>
      <c r="C1025" s="105" t="s">
        <v>45</v>
      </c>
      <c r="D1025" s="105" t="s">
        <v>20</v>
      </c>
      <c r="E1025">
        <v>68</v>
      </c>
      <c r="F1025" s="1">
        <v>52009.46</v>
      </c>
    </row>
    <row r="1026" spans="1:6" hidden="1" x14ac:dyDescent="0.3">
      <c r="A1026">
        <v>2024</v>
      </c>
      <c r="B1026">
        <v>9</v>
      </c>
      <c r="C1026" s="105" t="s">
        <v>45</v>
      </c>
      <c r="D1026" s="105" t="s">
        <v>21</v>
      </c>
      <c r="E1026">
        <v>247</v>
      </c>
      <c r="F1026" s="1">
        <v>222733.08</v>
      </c>
    </row>
    <row r="1027" spans="1:6" x14ac:dyDescent="0.3">
      <c r="A1027">
        <v>2024</v>
      </c>
      <c r="B1027">
        <v>9</v>
      </c>
      <c r="C1027" s="105" t="s">
        <v>45</v>
      </c>
      <c r="D1027" s="105" t="s">
        <v>22</v>
      </c>
      <c r="E1027">
        <v>95</v>
      </c>
      <c r="F1027" s="1">
        <v>63823.360000000001</v>
      </c>
    </row>
    <row r="1028" spans="1:6" hidden="1" x14ac:dyDescent="0.3">
      <c r="A1028">
        <v>2024</v>
      </c>
      <c r="B1028">
        <v>9</v>
      </c>
      <c r="C1028" s="105" t="s">
        <v>45</v>
      </c>
      <c r="D1028" s="105" t="s">
        <v>23</v>
      </c>
      <c r="E1028">
        <v>97</v>
      </c>
      <c r="F1028" s="1">
        <v>89598.18</v>
      </c>
    </row>
    <row r="1029" spans="1:6" hidden="1" x14ac:dyDescent="0.3">
      <c r="A1029">
        <v>2024</v>
      </c>
      <c r="B1029">
        <v>9</v>
      </c>
      <c r="C1029" s="105" t="s">
        <v>45</v>
      </c>
      <c r="D1029" s="105" t="s">
        <v>24</v>
      </c>
      <c r="E1029">
        <v>62</v>
      </c>
      <c r="F1029" s="1">
        <v>44037.39</v>
      </c>
    </row>
    <row r="1030" spans="1:6" hidden="1" x14ac:dyDescent="0.3">
      <c r="A1030">
        <v>2024</v>
      </c>
      <c r="B1030">
        <v>9</v>
      </c>
      <c r="C1030" s="105" t="s">
        <v>45</v>
      </c>
      <c r="D1030" s="105" t="s">
        <v>25</v>
      </c>
      <c r="E1030">
        <v>122</v>
      </c>
      <c r="F1030" s="1">
        <v>107944.39</v>
      </c>
    </row>
    <row r="1031" spans="1:6" hidden="1" x14ac:dyDescent="0.3">
      <c r="A1031">
        <v>2024</v>
      </c>
      <c r="B1031">
        <v>9</v>
      </c>
      <c r="C1031" s="105" t="s">
        <v>45</v>
      </c>
      <c r="D1031" s="105" t="s">
        <v>26</v>
      </c>
      <c r="E1031">
        <v>66</v>
      </c>
      <c r="F1031" s="1">
        <v>49179.46</v>
      </c>
    </row>
    <row r="1032" spans="1:6" hidden="1" x14ac:dyDescent="0.3">
      <c r="A1032">
        <v>2024</v>
      </c>
      <c r="B1032">
        <v>9</v>
      </c>
      <c r="C1032" s="105" t="s">
        <v>45</v>
      </c>
      <c r="D1032" s="105" t="s">
        <v>27</v>
      </c>
      <c r="E1032">
        <v>75</v>
      </c>
      <c r="F1032" s="1">
        <v>58078.86</v>
      </c>
    </row>
    <row r="1033" spans="1:6" hidden="1" x14ac:dyDescent="0.3">
      <c r="A1033">
        <v>2024</v>
      </c>
      <c r="B1033">
        <v>9</v>
      </c>
      <c r="C1033" s="105" t="s">
        <v>45</v>
      </c>
      <c r="D1033" s="105" t="s">
        <v>28</v>
      </c>
      <c r="E1033">
        <v>19</v>
      </c>
      <c r="F1033" s="1">
        <v>12932.84</v>
      </c>
    </row>
    <row r="1034" spans="1:6" hidden="1" x14ac:dyDescent="0.3">
      <c r="A1034">
        <v>2024</v>
      </c>
      <c r="B1034">
        <v>9</v>
      </c>
      <c r="C1034" s="105" t="s">
        <v>45</v>
      </c>
      <c r="D1034" s="105" t="s">
        <v>29</v>
      </c>
      <c r="E1034">
        <v>206</v>
      </c>
      <c r="F1034" s="1">
        <v>162758.92000000001</v>
      </c>
    </row>
    <row r="1035" spans="1:6" hidden="1" x14ac:dyDescent="0.3">
      <c r="A1035">
        <v>2024</v>
      </c>
      <c r="B1035">
        <v>9</v>
      </c>
      <c r="C1035" s="105" t="s">
        <v>45</v>
      </c>
      <c r="D1035" s="105" t="s">
        <v>30</v>
      </c>
      <c r="E1035">
        <v>45</v>
      </c>
      <c r="F1035" s="1">
        <v>29221.48</v>
      </c>
    </row>
    <row r="1036" spans="1:6" hidden="1" x14ac:dyDescent="0.3">
      <c r="A1036">
        <v>2024</v>
      </c>
      <c r="B1036">
        <v>9</v>
      </c>
      <c r="C1036" s="105" t="s">
        <v>45</v>
      </c>
      <c r="D1036" s="105" t="s">
        <v>31</v>
      </c>
      <c r="E1036">
        <v>307</v>
      </c>
      <c r="F1036" s="1">
        <v>293492.33</v>
      </c>
    </row>
    <row r="1037" spans="1:6" hidden="1" x14ac:dyDescent="0.3">
      <c r="A1037">
        <v>2024</v>
      </c>
      <c r="B1037">
        <v>9</v>
      </c>
      <c r="C1037" s="105" t="s">
        <v>45</v>
      </c>
      <c r="D1037" s="105" t="s">
        <v>51</v>
      </c>
      <c r="E1037">
        <v>11</v>
      </c>
      <c r="F1037" s="1">
        <v>7962</v>
      </c>
    </row>
    <row r="1038" spans="1:6" hidden="1" x14ac:dyDescent="0.3">
      <c r="A1038">
        <v>2024</v>
      </c>
      <c r="B1038">
        <v>9</v>
      </c>
      <c r="C1038" s="105" t="s">
        <v>45</v>
      </c>
      <c r="D1038" s="105" t="s">
        <v>32</v>
      </c>
      <c r="E1038">
        <v>147</v>
      </c>
      <c r="F1038" s="1">
        <v>118412</v>
      </c>
    </row>
    <row r="1039" spans="1:6" hidden="1" x14ac:dyDescent="0.3">
      <c r="A1039">
        <v>2024</v>
      </c>
      <c r="B1039">
        <v>9</v>
      </c>
      <c r="C1039" s="105" t="s">
        <v>45</v>
      </c>
      <c r="D1039" s="105" t="s">
        <v>52</v>
      </c>
      <c r="E1039">
        <v>20</v>
      </c>
      <c r="F1039" s="1">
        <v>18777.12</v>
      </c>
    </row>
    <row r="1040" spans="1:6" hidden="1" x14ac:dyDescent="0.3">
      <c r="A1040">
        <v>2024</v>
      </c>
      <c r="B1040">
        <v>9</v>
      </c>
      <c r="C1040" s="105" t="s">
        <v>45</v>
      </c>
      <c r="D1040" s="105" t="s">
        <v>33</v>
      </c>
      <c r="E1040">
        <v>284</v>
      </c>
      <c r="F1040" s="1">
        <v>246089.57</v>
      </c>
    </row>
    <row r="1041" spans="1:6" hidden="1" x14ac:dyDescent="0.3">
      <c r="A1041">
        <v>2024</v>
      </c>
      <c r="B1041">
        <v>9</v>
      </c>
      <c r="C1041" s="105" t="s">
        <v>45</v>
      </c>
      <c r="D1041" s="105" t="s">
        <v>34</v>
      </c>
      <c r="E1041">
        <v>174</v>
      </c>
      <c r="F1041" s="1">
        <v>145220.03</v>
      </c>
    </row>
    <row r="1042" spans="1:6" hidden="1" x14ac:dyDescent="0.3">
      <c r="A1042">
        <v>2024</v>
      </c>
      <c r="B1042">
        <v>9</v>
      </c>
      <c r="C1042" s="105" t="s">
        <v>45</v>
      </c>
      <c r="D1042" s="105" t="s">
        <v>53</v>
      </c>
      <c r="E1042">
        <v>13</v>
      </c>
      <c r="F1042" s="1">
        <v>10896.62</v>
      </c>
    </row>
    <row r="1043" spans="1:6" hidden="1" x14ac:dyDescent="0.3">
      <c r="A1043">
        <v>2024</v>
      </c>
      <c r="B1043">
        <v>9</v>
      </c>
      <c r="C1043" s="105" t="s">
        <v>45</v>
      </c>
      <c r="D1043" s="105" t="s">
        <v>35</v>
      </c>
      <c r="E1043">
        <v>138</v>
      </c>
      <c r="F1043" s="1">
        <v>110978.17</v>
      </c>
    </row>
    <row r="1044" spans="1:6" hidden="1" x14ac:dyDescent="0.3">
      <c r="A1044">
        <v>2024</v>
      </c>
      <c r="B1044">
        <v>9</v>
      </c>
      <c r="C1044" s="105" t="s">
        <v>45</v>
      </c>
      <c r="D1044" s="105" t="s">
        <v>36</v>
      </c>
      <c r="E1044">
        <v>89</v>
      </c>
      <c r="F1044" s="1">
        <v>73287.570000000007</v>
      </c>
    </row>
    <row r="1045" spans="1:6" hidden="1" x14ac:dyDescent="0.3">
      <c r="A1045">
        <v>2024</v>
      </c>
      <c r="B1045">
        <v>9</v>
      </c>
      <c r="C1045" s="105" t="s">
        <v>45</v>
      </c>
      <c r="D1045" s="105" t="s">
        <v>37</v>
      </c>
      <c r="E1045">
        <v>198</v>
      </c>
      <c r="F1045" s="1">
        <v>167261.03</v>
      </c>
    </row>
    <row r="1046" spans="1:6" hidden="1" x14ac:dyDescent="0.3">
      <c r="A1046">
        <v>2024</v>
      </c>
      <c r="B1046">
        <v>10</v>
      </c>
      <c r="C1046" s="105" t="s">
        <v>46</v>
      </c>
      <c r="D1046" s="105" t="s">
        <v>7</v>
      </c>
      <c r="E1046">
        <v>46</v>
      </c>
      <c r="F1046" s="1">
        <v>41145.21</v>
      </c>
    </row>
    <row r="1047" spans="1:6" hidden="1" x14ac:dyDescent="0.3">
      <c r="A1047">
        <v>2024</v>
      </c>
      <c r="B1047">
        <v>10</v>
      </c>
      <c r="C1047" s="105" t="s">
        <v>46</v>
      </c>
      <c r="D1047" s="105" t="s">
        <v>8</v>
      </c>
      <c r="E1047">
        <v>41</v>
      </c>
      <c r="F1047" s="1">
        <v>26887.24</v>
      </c>
    </row>
    <row r="1048" spans="1:6" hidden="1" x14ac:dyDescent="0.3">
      <c r="A1048">
        <v>2024</v>
      </c>
      <c r="B1048">
        <v>10</v>
      </c>
      <c r="C1048" s="105" t="s">
        <v>46</v>
      </c>
      <c r="D1048" s="105" t="s">
        <v>9</v>
      </c>
      <c r="E1048">
        <v>21</v>
      </c>
      <c r="F1048" s="1">
        <v>14623.08</v>
      </c>
    </row>
    <row r="1049" spans="1:6" hidden="1" x14ac:dyDescent="0.3">
      <c r="A1049">
        <v>2024</v>
      </c>
      <c r="B1049">
        <v>10</v>
      </c>
      <c r="C1049" s="105" t="s">
        <v>46</v>
      </c>
      <c r="D1049" s="105" t="s">
        <v>10</v>
      </c>
      <c r="E1049">
        <v>110</v>
      </c>
      <c r="F1049" s="1">
        <v>108712.98</v>
      </c>
    </row>
    <row r="1050" spans="1:6" hidden="1" x14ac:dyDescent="0.3">
      <c r="A1050">
        <v>2024</v>
      </c>
      <c r="B1050">
        <v>10</v>
      </c>
      <c r="C1050" s="105" t="s">
        <v>46</v>
      </c>
      <c r="D1050" s="105" t="s">
        <v>11</v>
      </c>
      <c r="E1050">
        <v>93</v>
      </c>
      <c r="F1050" s="1">
        <v>74405.63</v>
      </c>
    </row>
    <row r="1051" spans="1:6" hidden="1" x14ac:dyDescent="0.3">
      <c r="A1051">
        <v>2024</v>
      </c>
      <c r="B1051">
        <v>10</v>
      </c>
      <c r="C1051" s="105" t="s">
        <v>46</v>
      </c>
      <c r="D1051" s="105" t="s">
        <v>12</v>
      </c>
      <c r="E1051">
        <v>101</v>
      </c>
      <c r="F1051" s="1">
        <v>77388.84</v>
      </c>
    </row>
    <row r="1052" spans="1:6" hidden="1" x14ac:dyDescent="0.3">
      <c r="A1052">
        <v>2024</v>
      </c>
      <c r="B1052">
        <v>10</v>
      </c>
      <c r="C1052" s="105" t="s">
        <v>46</v>
      </c>
      <c r="D1052" s="105" t="s">
        <v>13</v>
      </c>
      <c r="E1052">
        <v>107</v>
      </c>
      <c r="F1052" s="1">
        <v>84710.43</v>
      </c>
    </row>
    <row r="1053" spans="1:6" hidden="1" x14ac:dyDescent="0.3">
      <c r="A1053">
        <v>2024</v>
      </c>
      <c r="B1053">
        <v>10</v>
      </c>
      <c r="C1053" s="105" t="s">
        <v>46</v>
      </c>
      <c r="D1053" s="105" t="s">
        <v>14</v>
      </c>
      <c r="E1053">
        <v>66</v>
      </c>
      <c r="F1053" s="1">
        <v>51792.19</v>
      </c>
    </row>
    <row r="1054" spans="1:6" hidden="1" x14ac:dyDescent="0.3">
      <c r="A1054">
        <v>2024</v>
      </c>
      <c r="B1054">
        <v>10</v>
      </c>
      <c r="C1054" s="105" t="s">
        <v>46</v>
      </c>
      <c r="D1054" s="105" t="s">
        <v>15</v>
      </c>
      <c r="E1054">
        <v>36</v>
      </c>
      <c r="F1054" s="1">
        <v>25620.54</v>
      </c>
    </row>
    <row r="1055" spans="1:6" hidden="1" x14ac:dyDescent="0.3">
      <c r="A1055">
        <v>2024</v>
      </c>
      <c r="B1055">
        <v>10</v>
      </c>
      <c r="C1055" s="105" t="s">
        <v>46</v>
      </c>
      <c r="D1055" s="105" t="s">
        <v>16</v>
      </c>
      <c r="E1055">
        <v>38</v>
      </c>
      <c r="F1055" s="1">
        <v>27666.39</v>
      </c>
    </row>
    <row r="1056" spans="1:6" hidden="1" x14ac:dyDescent="0.3">
      <c r="A1056">
        <v>2024</v>
      </c>
      <c r="B1056">
        <v>10</v>
      </c>
      <c r="C1056" s="105" t="s">
        <v>46</v>
      </c>
      <c r="D1056" s="105" t="s">
        <v>17</v>
      </c>
      <c r="E1056">
        <v>176</v>
      </c>
      <c r="F1056" s="1">
        <v>146108.19</v>
      </c>
    </row>
    <row r="1057" spans="1:6" hidden="1" x14ac:dyDescent="0.3">
      <c r="A1057">
        <v>2024</v>
      </c>
      <c r="B1057">
        <v>10</v>
      </c>
      <c r="C1057" s="105" t="s">
        <v>46</v>
      </c>
      <c r="D1057" s="105" t="s">
        <v>18</v>
      </c>
      <c r="E1057">
        <v>151</v>
      </c>
      <c r="F1057" s="1">
        <v>138832.91</v>
      </c>
    </row>
    <row r="1058" spans="1:6" hidden="1" x14ac:dyDescent="0.3">
      <c r="A1058">
        <v>2024</v>
      </c>
      <c r="B1058">
        <v>10</v>
      </c>
      <c r="C1058" s="105" t="s">
        <v>46</v>
      </c>
      <c r="D1058" s="105" t="s">
        <v>50</v>
      </c>
      <c r="E1058">
        <v>8</v>
      </c>
      <c r="F1058" s="1">
        <v>6727</v>
      </c>
    </row>
    <row r="1059" spans="1:6" hidden="1" x14ac:dyDescent="0.3">
      <c r="A1059">
        <v>2024</v>
      </c>
      <c r="B1059">
        <v>10</v>
      </c>
      <c r="C1059" s="105" t="s">
        <v>46</v>
      </c>
      <c r="D1059" s="105" t="s">
        <v>19</v>
      </c>
      <c r="E1059">
        <v>48</v>
      </c>
      <c r="F1059" s="1">
        <v>33521.339999999997</v>
      </c>
    </row>
    <row r="1060" spans="1:6" hidden="1" x14ac:dyDescent="0.3">
      <c r="A1060">
        <v>2024</v>
      </c>
      <c r="B1060">
        <v>10</v>
      </c>
      <c r="C1060" s="105" t="s">
        <v>46</v>
      </c>
      <c r="D1060" s="105" t="s">
        <v>20</v>
      </c>
      <c r="E1060">
        <v>74</v>
      </c>
      <c r="F1060" s="1">
        <v>66075.740000000005</v>
      </c>
    </row>
    <row r="1061" spans="1:6" hidden="1" x14ac:dyDescent="0.3">
      <c r="A1061">
        <v>2024</v>
      </c>
      <c r="B1061">
        <v>10</v>
      </c>
      <c r="C1061" s="105" t="s">
        <v>46</v>
      </c>
      <c r="D1061" s="105" t="s">
        <v>21</v>
      </c>
      <c r="E1061">
        <v>157</v>
      </c>
      <c r="F1061" s="1">
        <v>152795.06</v>
      </c>
    </row>
    <row r="1062" spans="1:6" x14ac:dyDescent="0.3">
      <c r="A1062">
        <v>2024</v>
      </c>
      <c r="B1062">
        <v>10</v>
      </c>
      <c r="C1062" s="105" t="s">
        <v>46</v>
      </c>
      <c r="D1062" s="105" t="s">
        <v>22</v>
      </c>
      <c r="E1062">
        <v>74</v>
      </c>
      <c r="F1062" s="1">
        <v>51964.01</v>
      </c>
    </row>
    <row r="1063" spans="1:6" hidden="1" x14ac:dyDescent="0.3">
      <c r="A1063">
        <v>2024</v>
      </c>
      <c r="B1063">
        <v>10</v>
      </c>
      <c r="C1063" s="105" t="s">
        <v>46</v>
      </c>
      <c r="D1063" s="105" t="s">
        <v>23</v>
      </c>
      <c r="E1063">
        <v>62</v>
      </c>
      <c r="F1063" s="1">
        <v>63581.04</v>
      </c>
    </row>
    <row r="1064" spans="1:6" hidden="1" x14ac:dyDescent="0.3">
      <c r="A1064">
        <v>2024</v>
      </c>
      <c r="B1064">
        <v>10</v>
      </c>
      <c r="C1064" s="105" t="s">
        <v>46</v>
      </c>
      <c r="D1064" s="105" t="s">
        <v>24</v>
      </c>
      <c r="E1064">
        <v>85</v>
      </c>
      <c r="F1064" s="1">
        <v>63258.57</v>
      </c>
    </row>
    <row r="1065" spans="1:6" hidden="1" x14ac:dyDescent="0.3">
      <c r="A1065">
        <v>2024</v>
      </c>
      <c r="B1065">
        <v>10</v>
      </c>
      <c r="C1065" s="105" t="s">
        <v>46</v>
      </c>
      <c r="D1065" s="105" t="s">
        <v>25</v>
      </c>
      <c r="E1065">
        <v>107</v>
      </c>
      <c r="F1065" s="1">
        <v>97136.6</v>
      </c>
    </row>
    <row r="1066" spans="1:6" hidden="1" x14ac:dyDescent="0.3">
      <c r="A1066">
        <v>2024</v>
      </c>
      <c r="B1066">
        <v>10</v>
      </c>
      <c r="C1066" s="105" t="s">
        <v>46</v>
      </c>
      <c r="D1066" s="105" t="s">
        <v>26</v>
      </c>
      <c r="E1066">
        <v>58</v>
      </c>
      <c r="F1066" s="1">
        <v>48625.54</v>
      </c>
    </row>
    <row r="1067" spans="1:6" hidden="1" x14ac:dyDescent="0.3">
      <c r="A1067">
        <v>2024</v>
      </c>
      <c r="B1067">
        <v>10</v>
      </c>
      <c r="C1067" s="105" t="s">
        <v>46</v>
      </c>
      <c r="D1067" s="105" t="s">
        <v>27</v>
      </c>
      <c r="E1067">
        <v>70</v>
      </c>
      <c r="F1067" s="1">
        <v>59461.3</v>
      </c>
    </row>
    <row r="1068" spans="1:6" hidden="1" x14ac:dyDescent="0.3">
      <c r="A1068">
        <v>2024</v>
      </c>
      <c r="B1068">
        <v>10</v>
      </c>
      <c r="C1068" s="105" t="s">
        <v>46</v>
      </c>
      <c r="D1068" s="105" t="s">
        <v>28</v>
      </c>
      <c r="E1068">
        <v>23</v>
      </c>
      <c r="F1068" s="1">
        <v>16297.49</v>
      </c>
    </row>
    <row r="1069" spans="1:6" hidden="1" x14ac:dyDescent="0.3">
      <c r="A1069">
        <v>2024</v>
      </c>
      <c r="B1069">
        <v>10</v>
      </c>
      <c r="C1069" s="105" t="s">
        <v>46</v>
      </c>
      <c r="D1069" s="105" t="s">
        <v>29</v>
      </c>
      <c r="E1069">
        <v>145</v>
      </c>
      <c r="F1069" s="1">
        <v>126394.36</v>
      </c>
    </row>
    <row r="1070" spans="1:6" hidden="1" x14ac:dyDescent="0.3">
      <c r="A1070">
        <v>2024</v>
      </c>
      <c r="B1070">
        <v>10</v>
      </c>
      <c r="C1070" s="105" t="s">
        <v>46</v>
      </c>
      <c r="D1070" s="105" t="s">
        <v>30</v>
      </c>
      <c r="E1070">
        <v>39</v>
      </c>
      <c r="F1070" s="1">
        <v>36109.480000000003</v>
      </c>
    </row>
    <row r="1071" spans="1:6" hidden="1" x14ac:dyDescent="0.3">
      <c r="A1071">
        <v>2024</v>
      </c>
      <c r="B1071">
        <v>10</v>
      </c>
      <c r="C1071" s="105" t="s">
        <v>46</v>
      </c>
      <c r="D1071" s="105" t="s">
        <v>31</v>
      </c>
      <c r="E1071">
        <v>253</v>
      </c>
      <c r="F1071" s="1">
        <v>250503.34</v>
      </c>
    </row>
    <row r="1072" spans="1:6" hidden="1" x14ac:dyDescent="0.3">
      <c r="A1072">
        <v>2024</v>
      </c>
      <c r="B1072">
        <v>10</v>
      </c>
      <c r="C1072" s="105" t="s">
        <v>46</v>
      </c>
      <c r="D1072" s="105" t="s">
        <v>51</v>
      </c>
      <c r="E1072">
        <v>15</v>
      </c>
      <c r="F1072" s="1">
        <v>9570</v>
      </c>
    </row>
    <row r="1073" spans="1:6" hidden="1" x14ac:dyDescent="0.3">
      <c r="A1073">
        <v>2024</v>
      </c>
      <c r="B1073">
        <v>10</v>
      </c>
      <c r="C1073" s="105" t="s">
        <v>46</v>
      </c>
      <c r="D1073" s="105" t="s">
        <v>32</v>
      </c>
      <c r="E1073">
        <v>101</v>
      </c>
      <c r="F1073" s="1">
        <v>87689.84</v>
      </c>
    </row>
    <row r="1074" spans="1:6" hidden="1" x14ac:dyDescent="0.3">
      <c r="A1074">
        <v>2024</v>
      </c>
      <c r="B1074">
        <v>10</v>
      </c>
      <c r="C1074" s="105" t="s">
        <v>46</v>
      </c>
      <c r="D1074" s="105" t="s">
        <v>52</v>
      </c>
      <c r="E1074">
        <v>16</v>
      </c>
      <c r="F1074" s="1">
        <v>14132.5</v>
      </c>
    </row>
    <row r="1075" spans="1:6" hidden="1" x14ac:dyDescent="0.3">
      <c r="A1075">
        <v>2024</v>
      </c>
      <c r="B1075">
        <v>10</v>
      </c>
      <c r="C1075" s="105" t="s">
        <v>46</v>
      </c>
      <c r="D1075" s="105" t="s">
        <v>33</v>
      </c>
      <c r="E1075">
        <v>230</v>
      </c>
      <c r="F1075" s="1">
        <v>191791.64</v>
      </c>
    </row>
    <row r="1076" spans="1:6" hidden="1" x14ac:dyDescent="0.3">
      <c r="A1076">
        <v>2024</v>
      </c>
      <c r="B1076">
        <v>10</v>
      </c>
      <c r="C1076" s="105" t="s">
        <v>46</v>
      </c>
      <c r="D1076" s="105" t="s">
        <v>34</v>
      </c>
      <c r="E1076">
        <v>107</v>
      </c>
      <c r="F1076" s="1">
        <v>119781.58</v>
      </c>
    </row>
    <row r="1077" spans="1:6" hidden="1" x14ac:dyDescent="0.3">
      <c r="A1077">
        <v>2024</v>
      </c>
      <c r="B1077">
        <v>10</v>
      </c>
      <c r="C1077" s="105" t="s">
        <v>46</v>
      </c>
      <c r="D1077" s="105" t="s">
        <v>53</v>
      </c>
      <c r="E1077">
        <v>22</v>
      </c>
      <c r="F1077" s="1">
        <v>18617.12</v>
      </c>
    </row>
    <row r="1078" spans="1:6" hidden="1" x14ac:dyDescent="0.3">
      <c r="A1078">
        <v>2024</v>
      </c>
      <c r="B1078">
        <v>10</v>
      </c>
      <c r="C1078" s="105" t="s">
        <v>46</v>
      </c>
      <c r="D1078" s="105" t="s">
        <v>35</v>
      </c>
      <c r="E1078">
        <v>79</v>
      </c>
      <c r="F1078" s="1">
        <v>71434.27</v>
      </c>
    </row>
    <row r="1079" spans="1:6" hidden="1" x14ac:dyDescent="0.3">
      <c r="A1079">
        <v>2024</v>
      </c>
      <c r="B1079">
        <v>10</v>
      </c>
      <c r="C1079" s="105" t="s">
        <v>46</v>
      </c>
      <c r="D1079" s="105" t="s">
        <v>36</v>
      </c>
      <c r="E1079">
        <v>93</v>
      </c>
      <c r="F1079" s="1">
        <v>71422.259999999995</v>
      </c>
    </row>
    <row r="1080" spans="1:6" hidden="1" x14ac:dyDescent="0.3">
      <c r="A1080">
        <v>2024</v>
      </c>
      <c r="B1080">
        <v>10</v>
      </c>
      <c r="C1080" s="105" t="s">
        <v>46</v>
      </c>
      <c r="D1080" s="105" t="s">
        <v>37</v>
      </c>
      <c r="E1080">
        <v>152</v>
      </c>
      <c r="F1080" s="1">
        <v>132639.35</v>
      </c>
    </row>
    <row r="1081" spans="1:6" hidden="1" x14ac:dyDescent="0.3">
      <c r="A1081">
        <v>2024</v>
      </c>
      <c r="B1081">
        <v>11</v>
      </c>
      <c r="C1081" s="105" t="s">
        <v>47</v>
      </c>
      <c r="D1081" s="105" t="s">
        <v>7</v>
      </c>
      <c r="E1081">
        <v>31</v>
      </c>
      <c r="F1081" s="1">
        <v>28397.52</v>
      </c>
    </row>
    <row r="1082" spans="1:6" hidden="1" x14ac:dyDescent="0.3">
      <c r="A1082">
        <v>2024</v>
      </c>
      <c r="B1082">
        <v>11</v>
      </c>
      <c r="C1082" s="105" t="s">
        <v>47</v>
      </c>
      <c r="D1082" s="105" t="s">
        <v>8</v>
      </c>
      <c r="E1082">
        <v>39</v>
      </c>
      <c r="F1082" s="1">
        <v>27306.5</v>
      </c>
    </row>
    <row r="1083" spans="1:6" hidden="1" x14ac:dyDescent="0.3">
      <c r="A1083">
        <v>2024</v>
      </c>
      <c r="B1083">
        <v>11</v>
      </c>
      <c r="C1083" s="105" t="s">
        <v>47</v>
      </c>
      <c r="D1083" s="105" t="s">
        <v>9</v>
      </c>
      <c r="E1083">
        <v>24</v>
      </c>
      <c r="F1083" s="1">
        <v>17439</v>
      </c>
    </row>
    <row r="1084" spans="1:6" hidden="1" x14ac:dyDescent="0.3">
      <c r="A1084">
        <v>2024</v>
      </c>
      <c r="B1084">
        <v>11</v>
      </c>
      <c r="C1084" s="105" t="s">
        <v>47</v>
      </c>
      <c r="D1084" s="105" t="s">
        <v>10</v>
      </c>
      <c r="E1084">
        <v>76</v>
      </c>
      <c r="F1084" s="1">
        <v>82270.720000000001</v>
      </c>
    </row>
    <row r="1085" spans="1:6" hidden="1" x14ac:dyDescent="0.3">
      <c r="A1085">
        <v>2024</v>
      </c>
      <c r="B1085">
        <v>11</v>
      </c>
      <c r="C1085" s="105" t="s">
        <v>47</v>
      </c>
      <c r="D1085" s="105" t="s">
        <v>11</v>
      </c>
      <c r="E1085">
        <v>42</v>
      </c>
      <c r="F1085" s="1">
        <v>38401.85</v>
      </c>
    </row>
    <row r="1086" spans="1:6" hidden="1" x14ac:dyDescent="0.3">
      <c r="A1086">
        <v>2024</v>
      </c>
      <c r="B1086">
        <v>11</v>
      </c>
      <c r="C1086" s="105" t="s">
        <v>47</v>
      </c>
      <c r="D1086" s="105" t="s">
        <v>12</v>
      </c>
      <c r="E1086">
        <v>53</v>
      </c>
      <c r="F1086" s="1">
        <v>50327.7</v>
      </c>
    </row>
    <row r="1087" spans="1:6" hidden="1" x14ac:dyDescent="0.3">
      <c r="A1087">
        <v>2024</v>
      </c>
      <c r="B1087">
        <v>11</v>
      </c>
      <c r="C1087" s="105" t="s">
        <v>47</v>
      </c>
      <c r="D1087" s="105" t="s">
        <v>13</v>
      </c>
      <c r="E1087">
        <v>100</v>
      </c>
      <c r="F1087" s="1">
        <v>78602.52</v>
      </c>
    </row>
    <row r="1088" spans="1:6" hidden="1" x14ac:dyDescent="0.3">
      <c r="A1088">
        <v>2024</v>
      </c>
      <c r="B1088">
        <v>11</v>
      </c>
      <c r="C1088" s="105" t="s">
        <v>47</v>
      </c>
      <c r="D1088" s="105" t="s">
        <v>14</v>
      </c>
      <c r="E1088">
        <v>64</v>
      </c>
      <c r="F1088" s="1">
        <v>49760.66</v>
      </c>
    </row>
    <row r="1089" spans="1:6" hidden="1" x14ac:dyDescent="0.3">
      <c r="A1089">
        <v>2024</v>
      </c>
      <c r="B1089">
        <v>11</v>
      </c>
      <c r="C1089" s="105" t="s">
        <v>47</v>
      </c>
      <c r="D1089" s="105" t="s">
        <v>15</v>
      </c>
      <c r="E1089">
        <v>42</v>
      </c>
      <c r="F1089" s="1">
        <v>43633.14</v>
      </c>
    </row>
    <row r="1090" spans="1:6" hidden="1" x14ac:dyDescent="0.3">
      <c r="A1090">
        <v>2024</v>
      </c>
      <c r="B1090">
        <v>11</v>
      </c>
      <c r="C1090" s="105" t="s">
        <v>47</v>
      </c>
      <c r="D1090" s="105" t="s">
        <v>16</v>
      </c>
      <c r="E1090">
        <v>27</v>
      </c>
      <c r="F1090" s="1">
        <v>30629.439999999999</v>
      </c>
    </row>
    <row r="1091" spans="1:6" hidden="1" x14ac:dyDescent="0.3">
      <c r="A1091">
        <v>2024</v>
      </c>
      <c r="B1091">
        <v>11</v>
      </c>
      <c r="C1091" s="105" t="s">
        <v>47</v>
      </c>
      <c r="D1091" s="105" t="s">
        <v>17</v>
      </c>
      <c r="E1091">
        <v>93</v>
      </c>
      <c r="F1091" s="1">
        <v>85116.42</v>
      </c>
    </row>
    <row r="1092" spans="1:6" hidden="1" x14ac:dyDescent="0.3">
      <c r="A1092">
        <v>2024</v>
      </c>
      <c r="B1092">
        <v>11</v>
      </c>
      <c r="C1092" s="105" t="s">
        <v>47</v>
      </c>
      <c r="D1092" s="105" t="s">
        <v>18</v>
      </c>
      <c r="E1092">
        <v>110</v>
      </c>
      <c r="F1092" s="1">
        <v>106806.01</v>
      </c>
    </row>
    <row r="1093" spans="1:6" hidden="1" x14ac:dyDescent="0.3">
      <c r="A1093">
        <v>2024</v>
      </c>
      <c r="B1093">
        <v>11</v>
      </c>
      <c r="C1093" s="105" t="s">
        <v>47</v>
      </c>
      <c r="D1093" s="105" t="s">
        <v>50</v>
      </c>
      <c r="E1093">
        <v>12</v>
      </c>
      <c r="F1093" s="1">
        <v>10419</v>
      </c>
    </row>
    <row r="1094" spans="1:6" hidden="1" x14ac:dyDescent="0.3">
      <c r="A1094">
        <v>2024</v>
      </c>
      <c r="B1094">
        <v>11</v>
      </c>
      <c r="C1094" s="105" t="s">
        <v>47</v>
      </c>
      <c r="D1094" s="105" t="s">
        <v>19</v>
      </c>
      <c r="E1094">
        <v>43</v>
      </c>
      <c r="F1094" s="1">
        <v>32509.47</v>
      </c>
    </row>
    <row r="1095" spans="1:6" hidden="1" x14ac:dyDescent="0.3">
      <c r="A1095">
        <v>2024</v>
      </c>
      <c r="B1095">
        <v>11</v>
      </c>
      <c r="C1095" s="105" t="s">
        <v>47</v>
      </c>
      <c r="D1095" s="105" t="s">
        <v>20</v>
      </c>
      <c r="E1095">
        <v>50</v>
      </c>
      <c r="F1095" s="1">
        <v>47204.6</v>
      </c>
    </row>
    <row r="1096" spans="1:6" hidden="1" x14ac:dyDescent="0.3">
      <c r="A1096">
        <v>2024</v>
      </c>
      <c r="B1096">
        <v>11</v>
      </c>
      <c r="C1096" s="105" t="s">
        <v>47</v>
      </c>
      <c r="D1096" s="105" t="s">
        <v>21</v>
      </c>
      <c r="E1096">
        <v>73</v>
      </c>
      <c r="F1096" s="1">
        <v>78867.600000000006</v>
      </c>
    </row>
    <row r="1097" spans="1:6" x14ac:dyDescent="0.3">
      <c r="A1097">
        <v>2024</v>
      </c>
      <c r="B1097">
        <v>11</v>
      </c>
      <c r="C1097" s="105" t="s">
        <v>47</v>
      </c>
      <c r="D1097" s="105" t="s">
        <v>22</v>
      </c>
      <c r="E1097">
        <v>53</v>
      </c>
      <c r="F1097" s="1">
        <v>40803.35</v>
      </c>
    </row>
    <row r="1098" spans="1:6" hidden="1" x14ac:dyDescent="0.3">
      <c r="A1098">
        <v>2024</v>
      </c>
      <c r="B1098">
        <v>11</v>
      </c>
      <c r="C1098" s="105" t="s">
        <v>47</v>
      </c>
      <c r="D1098" s="105" t="s">
        <v>23</v>
      </c>
      <c r="E1098">
        <v>29</v>
      </c>
      <c r="F1098" s="1">
        <v>25371.119999999999</v>
      </c>
    </row>
    <row r="1099" spans="1:6" hidden="1" x14ac:dyDescent="0.3">
      <c r="A1099">
        <v>2024</v>
      </c>
      <c r="B1099">
        <v>11</v>
      </c>
      <c r="C1099" s="105" t="s">
        <v>47</v>
      </c>
      <c r="D1099" s="105" t="s">
        <v>24</v>
      </c>
      <c r="E1099">
        <v>97</v>
      </c>
      <c r="F1099" s="1">
        <v>74143.350000000006</v>
      </c>
    </row>
    <row r="1100" spans="1:6" hidden="1" x14ac:dyDescent="0.3">
      <c r="A1100">
        <v>2024</v>
      </c>
      <c r="B1100">
        <v>11</v>
      </c>
      <c r="C1100" s="105" t="s">
        <v>47</v>
      </c>
      <c r="D1100" s="105" t="s">
        <v>25</v>
      </c>
      <c r="E1100">
        <v>54</v>
      </c>
      <c r="F1100" s="1">
        <v>49488.91</v>
      </c>
    </row>
    <row r="1101" spans="1:6" hidden="1" x14ac:dyDescent="0.3">
      <c r="A1101">
        <v>2024</v>
      </c>
      <c r="B1101">
        <v>11</v>
      </c>
      <c r="C1101" s="105" t="s">
        <v>47</v>
      </c>
      <c r="D1101" s="105" t="s">
        <v>26</v>
      </c>
      <c r="E1101">
        <v>30</v>
      </c>
      <c r="F1101" s="1">
        <v>25396.77</v>
      </c>
    </row>
    <row r="1102" spans="1:6" hidden="1" x14ac:dyDescent="0.3">
      <c r="A1102">
        <v>2024</v>
      </c>
      <c r="B1102">
        <v>11</v>
      </c>
      <c r="C1102" s="105" t="s">
        <v>47</v>
      </c>
      <c r="D1102" s="105" t="s">
        <v>27</v>
      </c>
      <c r="E1102">
        <v>46</v>
      </c>
      <c r="F1102" s="1">
        <v>40240.879999999997</v>
      </c>
    </row>
    <row r="1103" spans="1:6" hidden="1" x14ac:dyDescent="0.3">
      <c r="A1103">
        <v>2024</v>
      </c>
      <c r="B1103">
        <v>11</v>
      </c>
      <c r="C1103" s="105" t="s">
        <v>47</v>
      </c>
      <c r="D1103" s="105" t="s">
        <v>28</v>
      </c>
      <c r="E1103">
        <v>23</v>
      </c>
      <c r="F1103" s="1">
        <v>16224.4</v>
      </c>
    </row>
    <row r="1104" spans="1:6" hidden="1" x14ac:dyDescent="0.3">
      <c r="A1104">
        <v>2024</v>
      </c>
      <c r="B1104">
        <v>11</v>
      </c>
      <c r="C1104" s="105" t="s">
        <v>47</v>
      </c>
      <c r="D1104" s="105" t="s">
        <v>29</v>
      </c>
      <c r="E1104">
        <v>71</v>
      </c>
      <c r="F1104" s="1">
        <v>68629.72</v>
      </c>
    </row>
    <row r="1105" spans="1:6" hidden="1" x14ac:dyDescent="0.3">
      <c r="A1105">
        <v>2024</v>
      </c>
      <c r="B1105">
        <v>11</v>
      </c>
      <c r="C1105" s="105" t="s">
        <v>47</v>
      </c>
      <c r="D1105" s="105" t="s">
        <v>30</v>
      </c>
      <c r="E1105">
        <v>30</v>
      </c>
      <c r="F1105" s="1">
        <v>28857.02</v>
      </c>
    </row>
    <row r="1106" spans="1:6" hidden="1" x14ac:dyDescent="0.3">
      <c r="A1106">
        <v>2024</v>
      </c>
      <c r="B1106">
        <v>11</v>
      </c>
      <c r="C1106" s="105" t="s">
        <v>47</v>
      </c>
      <c r="D1106" s="105" t="s">
        <v>31</v>
      </c>
      <c r="E1106">
        <v>140</v>
      </c>
      <c r="F1106" s="1">
        <v>159320.76</v>
      </c>
    </row>
    <row r="1107" spans="1:6" hidden="1" x14ac:dyDescent="0.3">
      <c r="A1107">
        <v>2024</v>
      </c>
      <c r="B1107">
        <v>11</v>
      </c>
      <c r="C1107" s="105" t="s">
        <v>47</v>
      </c>
      <c r="D1107" s="105" t="s">
        <v>51</v>
      </c>
      <c r="E1107">
        <v>12</v>
      </c>
      <c r="F1107" s="1">
        <v>9895.6299999999992</v>
      </c>
    </row>
    <row r="1108" spans="1:6" hidden="1" x14ac:dyDescent="0.3">
      <c r="A1108">
        <v>2024</v>
      </c>
      <c r="B1108">
        <v>11</v>
      </c>
      <c r="C1108" s="105" t="s">
        <v>47</v>
      </c>
      <c r="D1108" s="105" t="s">
        <v>32</v>
      </c>
      <c r="E1108">
        <v>43</v>
      </c>
      <c r="F1108" s="1">
        <v>39267.85</v>
      </c>
    </row>
    <row r="1109" spans="1:6" hidden="1" x14ac:dyDescent="0.3">
      <c r="A1109">
        <v>2024</v>
      </c>
      <c r="B1109">
        <v>11</v>
      </c>
      <c r="C1109" s="105" t="s">
        <v>47</v>
      </c>
      <c r="D1109" s="105" t="s">
        <v>52</v>
      </c>
      <c r="E1109">
        <v>9</v>
      </c>
      <c r="F1109" s="1">
        <v>9255.3799999999992</v>
      </c>
    </row>
    <row r="1110" spans="1:6" hidden="1" x14ac:dyDescent="0.3">
      <c r="A1110">
        <v>2024</v>
      </c>
      <c r="B1110">
        <v>11</v>
      </c>
      <c r="C1110" s="105" t="s">
        <v>47</v>
      </c>
      <c r="D1110" s="105" t="s">
        <v>33</v>
      </c>
      <c r="E1110">
        <v>124</v>
      </c>
      <c r="F1110" s="1">
        <v>117827.89</v>
      </c>
    </row>
    <row r="1111" spans="1:6" hidden="1" x14ac:dyDescent="0.3">
      <c r="A1111">
        <v>2024</v>
      </c>
      <c r="B1111">
        <v>11</v>
      </c>
      <c r="C1111" s="105" t="s">
        <v>47</v>
      </c>
      <c r="D1111" s="105" t="s">
        <v>34</v>
      </c>
      <c r="E1111">
        <v>59</v>
      </c>
      <c r="F1111" s="1">
        <v>54380.45</v>
      </c>
    </row>
    <row r="1112" spans="1:6" hidden="1" x14ac:dyDescent="0.3">
      <c r="A1112">
        <v>2024</v>
      </c>
      <c r="B1112">
        <v>11</v>
      </c>
      <c r="C1112" s="105" t="s">
        <v>47</v>
      </c>
      <c r="D1112" s="105" t="s">
        <v>53</v>
      </c>
      <c r="E1112">
        <v>13</v>
      </c>
      <c r="F1112" s="1">
        <v>11701.38</v>
      </c>
    </row>
    <row r="1113" spans="1:6" hidden="1" x14ac:dyDescent="0.3">
      <c r="A1113">
        <v>2024</v>
      </c>
      <c r="B1113">
        <v>11</v>
      </c>
      <c r="C1113" s="105" t="s">
        <v>47</v>
      </c>
      <c r="D1113" s="105" t="s">
        <v>35</v>
      </c>
      <c r="E1113">
        <v>43</v>
      </c>
      <c r="F1113" s="1">
        <v>38812.85</v>
      </c>
    </row>
    <row r="1114" spans="1:6" hidden="1" x14ac:dyDescent="0.3">
      <c r="A1114">
        <v>2024</v>
      </c>
      <c r="B1114">
        <v>11</v>
      </c>
      <c r="C1114" s="105" t="s">
        <v>47</v>
      </c>
      <c r="D1114" s="105" t="s">
        <v>36</v>
      </c>
      <c r="E1114">
        <v>57</v>
      </c>
      <c r="F1114" s="1">
        <v>47901.89</v>
      </c>
    </row>
    <row r="1115" spans="1:6" hidden="1" x14ac:dyDescent="0.3">
      <c r="A1115">
        <v>2024</v>
      </c>
      <c r="B1115">
        <v>11</v>
      </c>
      <c r="C1115" s="105" t="s">
        <v>47</v>
      </c>
      <c r="D1115" s="105" t="s">
        <v>37</v>
      </c>
      <c r="E1115">
        <v>69</v>
      </c>
      <c r="F1115" s="1">
        <v>67808.42</v>
      </c>
    </row>
    <row r="1116" spans="1:6" hidden="1" x14ac:dyDescent="0.3">
      <c r="A1116">
        <v>2024</v>
      </c>
      <c r="B1116">
        <v>12</v>
      </c>
      <c r="C1116" s="105" t="s">
        <v>48</v>
      </c>
      <c r="D1116" s="105" t="s">
        <v>7</v>
      </c>
      <c r="E1116">
        <v>16</v>
      </c>
      <c r="F1116" s="1">
        <v>16214.33</v>
      </c>
    </row>
    <row r="1117" spans="1:6" hidden="1" x14ac:dyDescent="0.3">
      <c r="A1117">
        <v>2024</v>
      </c>
      <c r="B1117">
        <v>12</v>
      </c>
      <c r="C1117" s="105" t="s">
        <v>48</v>
      </c>
      <c r="D1117" s="105" t="s">
        <v>8</v>
      </c>
      <c r="E1117">
        <v>55</v>
      </c>
      <c r="F1117" s="1">
        <v>46724.75</v>
      </c>
    </row>
    <row r="1118" spans="1:6" hidden="1" x14ac:dyDescent="0.3">
      <c r="A1118">
        <v>2024</v>
      </c>
      <c r="B1118">
        <v>12</v>
      </c>
      <c r="C1118" s="105" t="s">
        <v>48</v>
      </c>
      <c r="D1118" s="105" t="s">
        <v>9</v>
      </c>
      <c r="E1118">
        <v>17</v>
      </c>
      <c r="F1118" s="1">
        <v>11663.5</v>
      </c>
    </row>
    <row r="1119" spans="1:6" hidden="1" x14ac:dyDescent="0.3">
      <c r="A1119">
        <v>2024</v>
      </c>
      <c r="B1119">
        <v>12</v>
      </c>
      <c r="C1119" s="105" t="s">
        <v>48</v>
      </c>
      <c r="D1119" s="105" t="s">
        <v>10</v>
      </c>
      <c r="E1119">
        <v>45</v>
      </c>
      <c r="F1119" s="1">
        <v>45085.69</v>
      </c>
    </row>
    <row r="1120" spans="1:6" hidden="1" x14ac:dyDescent="0.3">
      <c r="A1120">
        <v>2024</v>
      </c>
      <c r="B1120">
        <v>12</v>
      </c>
      <c r="C1120" s="105" t="s">
        <v>48</v>
      </c>
      <c r="D1120" s="105" t="s">
        <v>11</v>
      </c>
      <c r="E1120">
        <v>27</v>
      </c>
      <c r="F1120" s="1">
        <v>23048.15</v>
      </c>
    </row>
    <row r="1121" spans="1:6" hidden="1" x14ac:dyDescent="0.3">
      <c r="A1121">
        <v>2024</v>
      </c>
      <c r="B1121">
        <v>12</v>
      </c>
      <c r="C1121" s="105" t="s">
        <v>48</v>
      </c>
      <c r="D1121" s="105" t="s">
        <v>12</v>
      </c>
      <c r="E1121">
        <v>36</v>
      </c>
      <c r="F1121" s="1">
        <v>27158.799999999999</v>
      </c>
    </row>
    <row r="1122" spans="1:6" hidden="1" x14ac:dyDescent="0.3">
      <c r="A1122">
        <v>2024</v>
      </c>
      <c r="B1122">
        <v>12</v>
      </c>
      <c r="C1122" s="105" t="s">
        <v>48</v>
      </c>
      <c r="D1122" s="105" t="s">
        <v>13</v>
      </c>
      <c r="E1122">
        <v>47</v>
      </c>
      <c r="F1122" s="1">
        <v>38274.46</v>
      </c>
    </row>
    <row r="1123" spans="1:6" hidden="1" x14ac:dyDescent="0.3">
      <c r="A1123">
        <v>2024</v>
      </c>
      <c r="B1123">
        <v>12</v>
      </c>
      <c r="C1123" s="105" t="s">
        <v>48</v>
      </c>
      <c r="D1123" s="105" t="s">
        <v>14</v>
      </c>
      <c r="E1123">
        <v>55</v>
      </c>
      <c r="F1123" s="1">
        <v>36337.33</v>
      </c>
    </row>
    <row r="1124" spans="1:6" hidden="1" x14ac:dyDescent="0.3">
      <c r="A1124">
        <v>2024</v>
      </c>
      <c r="B1124">
        <v>12</v>
      </c>
      <c r="C1124" s="105" t="s">
        <v>48</v>
      </c>
      <c r="D1124" s="105" t="s">
        <v>15</v>
      </c>
      <c r="E1124">
        <v>22</v>
      </c>
      <c r="F1124" s="1">
        <v>14754.05</v>
      </c>
    </row>
    <row r="1125" spans="1:6" hidden="1" x14ac:dyDescent="0.3">
      <c r="A1125">
        <v>2024</v>
      </c>
      <c r="B1125">
        <v>12</v>
      </c>
      <c r="C1125" s="105" t="s">
        <v>48</v>
      </c>
      <c r="D1125" s="105" t="s">
        <v>16</v>
      </c>
      <c r="E1125">
        <v>12</v>
      </c>
      <c r="F1125" s="1">
        <v>9172.7199999999993</v>
      </c>
    </row>
    <row r="1126" spans="1:6" hidden="1" x14ac:dyDescent="0.3">
      <c r="A1126">
        <v>2024</v>
      </c>
      <c r="B1126">
        <v>12</v>
      </c>
      <c r="C1126" s="105" t="s">
        <v>48</v>
      </c>
      <c r="D1126" s="105" t="s">
        <v>17</v>
      </c>
      <c r="E1126">
        <v>70</v>
      </c>
      <c r="F1126" s="1">
        <v>71022.47</v>
      </c>
    </row>
    <row r="1127" spans="1:6" hidden="1" x14ac:dyDescent="0.3">
      <c r="A1127">
        <v>2024</v>
      </c>
      <c r="B1127">
        <v>12</v>
      </c>
      <c r="C1127" s="105" t="s">
        <v>48</v>
      </c>
      <c r="D1127" s="105" t="s">
        <v>18</v>
      </c>
      <c r="E1127">
        <v>81</v>
      </c>
      <c r="F1127" s="1">
        <v>83619.7</v>
      </c>
    </row>
    <row r="1128" spans="1:6" hidden="1" x14ac:dyDescent="0.3">
      <c r="A1128">
        <v>2024</v>
      </c>
      <c r="B1128">
        <v>12</v>
      </c>
      <c r="C1128" s="105" t="s">
        <v>48</v>
      </c>
      <c r="D1128" s="105" t="s">
        <v>50</v>
      </c>
      <c r="E1128">
        <v>10</v>
      </c>
      <c r="F1128" s="1">
        <v>8731</v>
      </c>
    </row>
    <row r="1129" spans="1:6" hidden="1" x14ac:dyDescent="0.3">
      <c r="A1129">
        <v>2024</v>
      </c>
      <c r="B1129">
        <v>12</v>
      </c>
      <c r="C1129" s="105" t="s">
        <v>48</v>
      </c>
      <c r="D1129" s="105" t="s">
        <v>19</v>
      </c>
      <c r="E1129">
        <v>24</v>
      </c>
      <c r="F1129" s="1">
        <v>17198.419999999998</v>
      </c>
    </row>
    <row r="1130" spans="1:6" hidden="1" x14ac:dyDescent="0.3">
      <c r="A1130">
        <v>2024</v>
      </c>
      <c r="B1130">
        <v>12</v>
      </c>
      <c r="C1130" s="105" t="s">
        <v>48</v>
      </c>
      <c r="D1130" s="105" t="s">
        <v>20</v>
      </c>
      <c r="E1130">
        <v>23</v>
      </c>
      <c r="F1130" s="1">
        <v>21043.16</v>
      </c>
    </row>
    <row r="1131" spans="1:6" hidden="1" x14ac:dyDescent="0.3">
      <c r="A1131">
        <v>2024</v>
      </c>
      <c r="B1131">
        <v>12</v>
      </c>
      <c r="C1131" s="105" t="s">
        <v>48</v>
      </c>
      <c r="D1131" s="105" t="s">
        <v>21</v>
      </c>
      <c r="E1131">
        <v>46</v>
      </c>
      <c r="F1131" s="1">
        <v>44636.41</v>
      </c>
    </row>
    <row r="1132" spans="1:6" x14ac:dyDescent="0.3">
      <c r="A1132">
        <v>2024</v>
      </c>
      <c r="B1132">
        <v>12</v>
      </c>
      <c r="C1132" s="105" t="s">
        <v>48</v>
      </c>
      <c r="D1132" s="105" t="s">
        <v>22</v>
      </c>
      <c r="E1132">
        <v>45</v>
      </c>
      <c r="F1132" s="1">
        <v>36154.629999999997</v>
      </c>
    </row>
    <row r="1133" spans="1:6" hidden="1" x14ac:dyDescent="0.3">
      <c r="A1133">
        <v>2024</v>
      </c>
      <c r="B1133">
        <v>12</v>
      </c>
      <c r="C1133" s="105" t="s">
        <v>48</v>
      </c>
      <c r="D1133" s="105" t="s">
        <v>23</v>
      </c>
      <c r="E1133">
        <v>23</v>
      </c>
      <c r="F1133" s="1">
        <v>25392.99</v>
      </c>
    </row>
    <row r="1134" spans="1:6" hidden="1" x14ac:dyDescent="0.3">
      <c r="A1134">
        <v>2024</v>
      </c>
      <c r="B1134">
        <v>12</v>
      </c>
      <c r="C1134" s="105" t="s">
        <v>48</v>
      </c>
      <c r="D1134" s="105" t="s">
        <v>24</v>
      </c>
      <c r="E1134">
        <v>54</v>
      </c>
      <c r="F1134" s="1">
        <v>37882.53</v>
      </c>
    </row>
    <row r="1135" spans="1:6" hidden="1" x14ac:dyDescent="0.3">
      <c r="A1135">
        <v>2024</v>
      </c>
      <c r="B1135">
        <v>12</v>
      </c>
      <c r="C1135" s="105" t="s">
        <v>48</v>
      </c>
      <c r="D1135" s="105" t="s">
        <v>25</v>
      </c>
      <c r="E1135">
        <v>48</v>
      </c>
      <c r="F1135" s="1">
        <v>43447.78</v>
      </c>
    </row>
    <row r="1136" spans="1:6" hidden="1" x14ac:dyDescent="0.3">
      <c r="A1136">
        <v>2024</v>
      </c>
      <c r="B1136">
        <v>12</v>
      </c>
      <c r="C1136" s="105" t="s">
        <v>48</v>
      </c>
      <c r="D1136" s="105" t="s">
        <v>26</v>
      </c>
      <c r="E1136">
        <v>27</v>
      </c>
      <c r="F1136" s="1">
        <v>24670.11</v>
      </c>
    </row>
    <row r="1137" spans="1:6" hidden="1" x14ac:dyDescent="0.3">
      <c r="A1137">
        <v>2024</v>
      </c>
      <c r="B1137">
        <v>12</v>
      </c>
      <c r="C1137" s="105" t="s">
        <v>48</v>
      </c>
      <c r="D1137" s="105" t="s">
        <v>27</v>
      </c>
      <c r="E1137">
        <v>29</v>
      </c>
      <c r="F1137" s="1">
        <v>25141.67</v>
      </c>
    </row>
    <row r="1138" spans="1:6" hidden="1" x14ac:dyDescent="0.3">
      <c r="A1138">
        <v>2024</v>
      </c>
      <c r="B1138">
        <v>12</v>
      </c>
      <c r="C1138" s="105" t="s">
        <v>48</v>
      </c>
      <c r="D1138" s="105" t="s">
        <v>28</v>
      </c>
      <c r="E1138">
        <v>12</v>
      </c>
      <c r="F1138" s="1">
        <v>16079.44</v>
      </c>
    </row>
    <row r="1139" spans="1:6" hidden="1" x14ac:dyDescent="0.3">
      <c r="A1139">
        <v>2024</v>
      </c>
      <c r="B1139">
        <v>12</v>
      </c>
      <c r="C1139" s="105" t="s">
        <v>48</v>
      </c>
      <c r="D1139" s="105" t="s">
        <v>29</v>
      </c>
      <c r="E1139">
        <v>58</v>
      </c>
      <c r="F1139" s="1">
        <v>50084.02</v>
      </c>
    </row>
    <row r="1140" spans="1:6" hidden="1" x14ac:dyDescent="0.3">
      <c r="A1140">
        <v>2024</v>
      </c>
      <c r="B1140">
        <v>12</v>
      </c>
      <c r="C1140" s="105" t="s">
        <v>48</v>
      </c>
      <c r="D1140" s="105" t="s">
        <v>30</v>
      </c>
      <c r="E1140">
        <v>16</v>
      </c>
      <c r="F1140" s="1">
        <v>17149.189999999999</v>
      </c>
    </row>
    <row r="1141" spans="1:6" hidden="1" x14ac:dyDescent="0.3">
      <c r="A1141">
        <v>2024</v>
      </c>
      <c r="B1141">
        <v>12</v>
      </c>
      <c r="C1141" s="105" t="s">
        <v>48</v>
      </c>
      <c r="D1141" s="105" t="s">
        <v>31</v>
      </c>
      <c r="E1141">
        <v>137</v>
      </c>
      <c r="F1141" s="1">
        <v>134565.24</v>
      </c>
    </row>
    <row r="1142" spans="1:6" hidden="1" x14ac:dyDescent="0.3">
      <c r="A1142">
        <v>2024</v>
      </c>
      <c r="B1142">
        <v>12</v>
      </c>
      <c r="C1142" s="105" t="s">
        <v>48</v>
      </c>
      <c r="D1142" s="105" t="s">
        <v>51</v>
      </c>
      <c r="E1142">
        <v>12</v>
      </c>
      <c r="F1142" s="1">
        <v>9163.5</v>
      </c>
    </row>
    <row r="1143" spans="1:6" hidden="1" x14ac:dyDescent="0.3">
      <c r="A1143">
        <v>2024</v>
      </c>
      <c r="B1143">
        <v>12</v>
      </c>
      <c r="C1143" s="105" t="s">
        <v>48</v>
      </c>
      <c r="D1143" s="105" t="s">
        <v>32</v>
      </c>
      <c r="E1143">
        <v>26</v>
      </c>
      <c r="F1143" s="1">
        <v>23795.33</v>
      </c>
    </row>
    <row r="1144" spans="1:6" hidden="1" x14ac:dyDescent="0.3">
      <c r="A1144">
        <v>2024</v>
      </c>
      <c r="B1144">
        <v>12</v>
      </c>
      <c r="C1144" s="105" t="s">
        <v>48</v>
      </c>
      <c r="D1144" s="105" t="s">
        <v>52</v>
      </c>
      <c r="E1144">
        <v>6</v>
      </c>
      <c r="F1144" s="1">
        <v>6173.5</v>
      </c>
    </row>
    <row r="1145" spans="1:6" hidden="1" x14ac:dyDescent="0.3">
      <c r="A1145">
        <v>2024</v>
      </c>
      <c r="B1145">
        <v>12</v>
      </c>
      <c r="C1145" s="105" t="s">
        <v>48</v>
      </c>
      <c r="D1145" s="105" t="s">
        <v>33</v>
      </c>
      <c r="E1145">
        <v>113</v>
      </c>
      <c r="F1145" s="1">
        <v>121518.79</v>
      </c>
    </row>
    <row r="1146" spans="1:6" hidden="1" x14ac:dyDescent="0.3">
      <c r="A1146">
        <v>2024</v>
      </c>
      <c r="B1146">
        <v>12</v>
      </c>
      <c r="C1146" s="105" t="s">
        <v>48</v>
      </c>
      <c r="D1146" s="105" t="s">
        <v>34</v>
      </c>
      <c r="E1146">
        <v>38</v>
      </c>
      <c r="F1146" s="1">
        <v>36680.120000000003</v>
      </c>
    </row>
    <row r="1147" spans="1:6" hidden="1" x14ac:dyDescent="0.3">
      <c r="A1147">
        <v>2024</v>
      </c>
      <c r="B1147">
        <v>12</v>
      </c>
      <c r="C1147" s="105" t="s">
        <v>48</v>
      </c>
      <c r="D1147" s="105" t="s">
        <v>53</v>
      </c>
      <c r="E1147">
        <v>9</v>
      </c>
      <c r="F1147" s="1">
        <v>8691.74</v>
      </c>
    </row>
    <row r="1148" spans="1:6" hidden="1" x14ac:dyDescent="0.3">
      <c r="A1148">
        <v>2024</v>
      </c>
      <c r="B1148">
        <v>12</v>
      </c>
      <c r="C1148" s="105" t="s">
        <v>48</v>
      </c>
      <c r="D1148" s="105" t="s">
        <v>35</v>
      </c>
      <c r="E1148">
        <v>32</v>
      </c>
      <c r="F1148" s="1">
        <v>36830.97</v>
      </c>
    </row>
    <row r="1149" spans="1:6" hidden="1" x14ac:dyDescent="0.3">
      <c r="A1149">
        <v>2024</v>
      </c>
      <c r="B1149">
        <v>12</v>
      </c>
      <c r="C1149" s="105" t="s">
        <v>48</v>
      </c>
      <c r="D1149" s="105" t="s">
        <v>36</v>
      </c>
      <c r="E1149">
        <v>42</v>
      </c>
      <c r="F1149" s="1">
        <v>35308.94</v>
      </c>
    </row>
    <row r="1150" spans="1:6" hidden="1" x14ac:dyDescent="0.3">
      <c r="A1150">
        <v>2024</v>
      </c>
      <c r="B1150">
        <v>12</v>
      </c>
      <c r="C1150" s="105" t="s">
        <v>48</v>
      </c>
      <c r="D1150" s="105" t="s">
        <v>37</v>
      </c>
      <c r="E1150">
        <v>39</v>
      </c>
      <c r="F1150" s="1">
        <v>36350.75</v>
      </c>
    </row>
    <row r="1151" spans="1:6" hidden="1" x14ac:dyDescent="0.3">
      <c r="A1151">
        <v>2025</v>
      </c>
      <c r="B1151">
        <v>1</v>
      </c>
      <c r="C1151" s="105" t="s">
        <v>6</v>
      </c>
      <c r="D1151" s="105" t="s">
        <v>7</v>
      </c>
      <c r="E1151">
        <v>17</v>
      </c>
      <c r="F1151" s="1">
        <v>26670</v>
      </c>
    </row>
    <row r="1152" spans="1:6" hidden="1" x14ac:dyDescent="0.3">
      <c r="A1152">
        <v>2025</v>
      </c>
      <c r="B1152">
        <v>1</v>
      </c>
      <c r="C1152" s="105" t="s">
        <v>6</v>
      </c>
      <c r="D1152" s="105" t="s">
        <v>8</v>
      </c>
      <c r="E1152">
        <v>66</v>
      </c>
      <c r="F1152" s="1">
        <v>62891.16</v>
      </c>
    </row>
    <row r="1153" spans="1:6" hidden="1" x14ac:dyDescent="0.3">
      <c r="A1153">
        <v>2025</v>
      </c>
      <c r="B1153">
        <v>1</v>
      </c>
      <c r="C1153" s="105" t="s">
        <v>6</v>
      </c>
      <c r="D1153" s="105" t="s">
        <v>9</v>
      </c>
      <c r="E1153">
        <v>10</v>
      </c>
      <c r="F1153" s="1">
        <v>7050</v>
      </c>
    </row>
    <row r="1154" spans="1:6" hidden="1" x14ac:dyDescent="0.3">
      <c r="A1154">
        <v>2025</v>
      </c>
      <c r="B1154">
        <v>1</v>
      </c>
      <c r="C1154" s="105" t="s">
        <v>6</v>
      </c>
      <c r="D1154" s="105" t="s">
        <v>10</v>
      </c>
      <c r="E1154">
        <v>48</v>
      </c>
      <c r="F1154" s="1">
        <v>49716</v>
      </c>
    </row>
    <row r="1155" spans="1:6" hidden="1" x14ac:dyDescent="0.3">
      <c r="A1155">
        <v>2025</v>
      </c>
      <c r="B1155">
        <v>1</v>
      </c>
      <c r="C1155" s="105" t="s">
        <v>6</v>
      </c>
      <c r="D1155" s="105" t="s">
        <v>11</v>
      </c>
      <c r="E1155">
        <v>33</v>
      </c>
      <c r="F1155" s="1">
        <v>33191.06</v>
      </c>
    </row>
    <row r="1156" spans="1:6" hidden="1" x14ac:dyDescent="0.3">
      <c r="A1156">
        <v>2025</v>
      </c>
      <c r="B1156">
        <v>1</v>
      </c>
      <c r="C1156" s="105" t="s">
        <v>6</v>
      </c>
      <c r="D1156" s="105" t="s">
        <v>12</v>
      </c>
      <c r="E1156">
        <v>46</v>
      </c>
      <c r="F1156" s="1">
        <v>113950</v>
      </c>
    </row>
    <row r="1157" spans="1:6" hidden="1" x14ac:dyDescent="0.3">
      <c r="A1157">
        <v>2025</v>
      </c>
      <c r="B1157">
        <v>1</v>
      </c>
      <c r="C1157" s="105" t="s">
        <v>6</v>
      </c>
      <c r="D1157" s="105" t="s">
        <v>13</v>
      </c>
      <c r="E1157">
        <v>55</v>
      </c>
      <c r="F1157" s="1">
        <v>44241</v>
      </c>
    </row>
    <row r="1158" spans="1:6" hidden="1" x14ac:dyDescent="0.3">
      <c r="A1158">
        <v>2025</v>
      </c>
      <c r="B1158">
        <v>1</v>
      </c>
      <c r="C1158" s="105" t="s">
        <v>6</v>
      </c>
      <c r="D1158" s="105" t="s">
        <v>14</v>
      </c>
      <c r="E1158">
        <v>49</v>
      </c>
      <c r="F1158" s="1">
        <v>38111.89</v>
      </c>
    </row>
    <row r="1159" spans="1:6" hidden="1" x14ac:dyDescent="0.3">
      <c r="A1159">
        <v>2025</v>
      </c>
      <c r="B1159">
        <v>1</v>
      </c>
      <c r="C1159" s="105" t="s">
        <v>6</v>
      </c>
      <c r="D1159" s="105" t="s">
        <v>15</v>
      </c>
      <c r="E1159">
        <v>27</v>
      </c>
      <c r="F1159" s="1">
        <v>21003</v>
      </c>
    </row>
    <row r="1160" spans="1:6" hidden="1" x14ac:dyDescent="0.3">
      <c r="A1160">
        <v>2025</v>
      </c>
      <c r="B1160">
        <v>1</v>
      </c>
      <c r="C1160" s="105" t="s">
        <v>6</v>
      </c>
      <c r="D1160" s="105" t="s">
        <v>16</v>
      </c>
      <c r="E1160">
        <v>10</v>
      </c>
      <c r="F1160" s="1">
        <v>9802</v>
      </c>
    </row>
    <row r="1161" spans="1:6" hidden="1" x14ac:dyDescent="0.3">
      <c r="A1161">
        <v>2025</v>
      </c>
      <c r="B1161">
        <v>1</v>
      </c>
      <c r="C1161" s="105" t="s">
        <v>6</v>
      </c>
      <c r="D1161" s="105" t="s">
        <v>17</v>
      </c>
      <c r="E1161">
        <v>64</v>
      </c>
      <c r="F1161" s="1">
        <v>62491</v>
      </c>
    </row>
    <row r="1162" spans="1:6" hidden="1" x14ac:dyDescent="0.3">
      <c r="A1162">
        <v>2025</v>
      </c>
      <c r="B1162">
        <v>1</v>
      </c>
      <c r="C1162" s="105" t="s">
        <v>6</v>
      </c>
      <c r="D1162" s="105" t="s">
        <v>18</v>
      </c>
      <c r="E1162">
        <v>89</v>
      </c>
      <c r="F1162" s="1">
        <v>87198</v>
      </c>
    </row>
    <row r="1163" spans="1:6" hidden="1" x14ac:dyDescent="0.3">
      <c r="A1163">
        <v>2025</v>
      </c>
      <c r="B1163">
        <v>1</v>
      </c>
      <c r="C1163" s="105" t="s">
        <v>6</v>
      </c>
      <c r="D1163" s="105" t="s">
        <v>50</v>
      </c>
      <c r="E1163">
        <v>3</v>
      </c>
      <c r="F1163" s="1">
        <v>2637</v>
      </c>
    </row>
    <row r="1164" spans="1:6" hidden="1" x14ac:dyDescent="0.3">
      <c r="A1164">
        <v>2025</v>
      </c>
      <c r="B1164">
        <v>1</v>
      </c>
      <c r="C1164" s="105" t="s">
        <v>6</v>
      </c>
      <c r="D1164" s="105" t="s">
        <v>19</v>
      </c>
      <c r="E1164">
        <v>27</v>
      </c>
      <c r="F1164" s="1">
        <v>23156.17</v>
      </c>
    </row>
    <row r="1165" spans="1:6" hidden="1" x14ac:dyDescent="0.3">
      <c r="A1165">
        <v>2025</v>
      </c>
      <c r="B1165">
        <v>1</v>
      </c>
      <c r="C1165" s="105" t="s">
        <v>6</v>
      </c>
      <c r="D1165" s="105" t="s">
        <v>20</v>
      </c>
      <c r="E1165">
        <v>28</v>
      </c>
      <c r="F1165" s="1">
        <v>20416</v>
      </c>
    </row>
    <row r="1166" spans="1:6" hidden="1" x14ac:dyDescent="0.3">
      <c r="A1166">
        <v>2025</v>
      </c>
      <c r="B1166">
        <v>1</v>
      </c>
      <c r="C1166" s="105" t="s">
        <v>6</v>
      </c>
      <c r="D1166" s="105" t="s">
        <v>21</v>
      </c>
      <c r="E1166">
        <v>39</v>
      </c>
      <c r="F1166" s="1">
        <v>43191.33</v>
      </c>
    </row>
    <row r="1167" spans="1:6" x14ac:dyDescent="0.3">
      <c r="A1167">
        <v>2025</v>
      </c>
      <c r="B1167">
        <v>1</v>
      </c>
      <c r="C1167" s="105" t="s">
        <v>6</v>
      </c>
      <c r="D1167" s="105" t="s">
        <v>22</v>
      </c>
      <c r="E1167">
        <v>39</v>
      </c>
      <c r="F1167" s="1">
        <v>26850</v>
      </c>
    </row>
    <row r="1168" spans="1:6" hidden="1" x14ac:dyDescent="0.3">
      <c r="A1168">
        <v>2025</v>
      </c>
      <c r="B1168">
        <v>1</v>
      </c>
      <c r="C1168" s="105" t="s">
        <v>6</v>
      </c>
      <c r="D1168" s="105" t="s">
        <v>23</v>
      </c>
      <c r="E1168">
        <v>27</v>
      </c>
      <c r="F1168" s="1">
        <v>29825</v>
      </c>
    </row>
    <row r="1169" spans="1:6" hidden="1" x14ac:dyDescent="0.3">
      <c r="A1169">
        <v>2025</v>
      </c>
      <c r="B1169">
        <v>1</v>
      </c>
      <c r="C1169" s="105" t="s">
        <v>6</v>
      </c>
      <c r="D1169" s="105" t="s">
        <v>24</v>
      </c>
      <c r="E1169">
        <v>53</v>
      </c>
      <c r="F1169" s="1">
        <v>40359</v>
      </c>
    </row>
    <row r="1170" spans="1:6" hidden="1" x14ac:dyDescent="0.3">
      <c r="A1170">
        <v>2025</v>
      </c>
      <c r="B1170">
        <v>1</v>
      </c>
      <c r="C1170" s="105" t="s">
        <v>6</v>
      </c>
      <c r="D1170" s="105" t="s">
        <v>25</v>
      </c>
      <c r="E1170">
        <v>40</v>
      </c>
      <c r="F1170" s="1">
        <v>34310</v>
      </c>
    </row>
    <row r="1171" spans="1:6" hidden="1" x14ac:dyDescent="0.3">
      <c r="A1171">
        <v>2025</v>
      </c>
      <c r="B1171">
        <v>1</v>
      </c>
      <c r="C1171" s="105" t="s">
        <v>6</v>
      </c>
      <c r="D1171" s="105" t="s">
        <v>26</v>
      </c>
      <c r="E1171">
        <v>16</v>
      </c>
      <c r="F1171" s="1">
        <v>15204</v>
      </c>
    </row>
    <row r="1172" spans="1:6" hidden="1" x14ac:dyDescent="0.3">
      <c r="A1172">
        <v>2025</v>
      </c>
      <c r="B1172">
        <v>1</v>
      </c>
      <c r="C1172" s="105" t="s">
        <v>6</v>
      </c>
      <c r="D1172" s="105" t="s">
        <v>27</v>
      </c>
      <c r="E1172">
        <v>28</v>
      </c>
      <c r="F1172" s="1">
        <v>23983</v>
      </c>
    </row>
    <row r="1173" spans="1:6" hidden="1" x14ac:dyDescent="0.3">
      <c r="A1173">
        <v>2025</v>
      </c>
      <c r="B1173">
        <v>1</v>
      </c>
      <c r="C1173" s="105" t="s">
        <v>6</v>
      </c>
      <c r="D1173" s="105" t="s">
        <v>28</v>
      </c>
      <c r="E1173">
        <v>14</v>
      </c>
      <c r="F1173" s="1">
        <v>11509</v>
      </c>
    </row>
    <row r="1174" spans="1:6" hidden="1" x14ac:dyDescent="0.3">
      <c r="A1174">
        <v>2025</v>
      </c>
      <c r="B1174">
        <v>1</v>
      </c>
      <c r="C1174" s="105" t="s">
        <v>6</v>
      </c>
      <c r="D1174" s="105" t="s">
        <v>29</v>
      </c>
      <c r="E1174">
        <v>51</v>
      </c>
      <c r="F1174" s="1">
        <v>48844</v>
      </c>
    </row>
    <row r="1175" spans="1:6" hidden="1" x14ac:dyDescent="0.3">
      <c r="A1175">
        <v>2025</v>
      </c>
      <c r="B1175">
        <v>1</v>
      </c>
      <c r="C1175" s="105" t="s">
        <v>6</v>
      </c>
      <c r="D1175" s="105" t="s">
        <v>30</v>
      </c>
      <c r="E1175">
        <v>28</v>
      </c>
      <c r="F1175" s="1">
        <v>26305</v>
      </c>
    </row>
    <row r="1176" spans="1:6" hidden="1" x14ac:dyDescent="0.3">
      <c r="A1176">
        <v>2025</v>
      </c>
      <c r="B1176">
        <v>1</v>
      </c>
      <c r="C1176" s="105" t="s">
        <v>6</v>
      </c>
      <c r="D1176" s="105" t="s">
        <v>31</v>
      </c>
      <c r="E1176">
        <v>113</v>
      </c>
      <c r="F1176" s="1">
        <v>109147</v>
      </c>
    </row>
    <row r="1177" spans="1:6" hidden="1" x14ac:dyDescent="0.3">
      <c r="A1177">
        <v>2025</v>
      </c>
      <c r="B1177">
        <v>1</v>
      </c>
      <c r="C1177" s="105" t="s">
        <v>6</v>
      </c>
      <c r="D1177" s="105" t="s">
        <v>51</v>
      </c>
      <c r="E1177">
        <v>5</v>
      </c>
      <c r="F1177" s="1">
        <v>3380.25</v>
      </c>
    </row>
    <row r="1178" spans="1:6" hidden="1" x14ac:dyDescent="0.3">
      <c r="A1178">
        <v>2025</v>
      </c>
      <c r="B1178">
        <v>1</v>
      </c>
      <c r="C1178" s="105" t="s">
        <v>6</v>
      </c>
      <c r="D1178" s="105" t="s">
        <v>32</v>
      </c>
      <c r="E1178">
        <v>35</v>
      </c>
      <c r="F1178" s="1">
        <v>30213</v>
      </c>
    </row>
    <row r="1179" spans="1:6" hidden="1" x14ac:dyDescent="0.3">
      <c r="A1179">
        <v>2025</v>
      </c>
      <c r="B1179">
        <v>1</v>
      </c>
      <c r="C1179" s="105" t="s">
        <v>6</v>
      </c>
      <c r="D1179" s="105" t="s">
        <v>52</v>
      </c>
      <c r="E1179">
        <v>1</v>
      </c>
      <c r="F1179" s="1">
        <v>805</v>
      </c>
    </row>
    <row r="1180" spans="1:6" hidden="1" x14ac:dyDescent="0.3">
      <c r="A1180">
        <v>2025</v>
      </c>
      <c r="B1180">
        <v>1</v>
      </c>
      <c r="C1180" s="105" t="s">
        <v>6</v>
      </c>
      <c r="D1180" s="105" t="s">
        <v>33</v>
      </c>
      <c r="E1180">
        <v>108</v>
      </c>
      <c r="F1180" s="1">
        <v>113632.65</v>
      </c>
    </row>
    <row r="1181" spans="1:6" hidden="1" x14ac:dyDescent="0.3">
      <c r="A1181">
        <v>2025</v>
      </c>
      <c r="B1181">
        <v>1</v>
      </c>
      <c r="C1181" s="105" t="s">
        <v>6</v>
      </c>
      <c r="D1181" s="105" t="s">
        <v>34</v>
      </c>
      <c r="E1181">
        <v>35</v>
      </c>
      <c r="F1181" s="1">
        <v>34046.160000000003</v>
      </c>
    </row>
    <row r="1182" spans="1:6" hidden="1" x14ac:dyDescent="0.3">
      <c r="A1182">
        <v>2025</v>
      </c>
      <c r="B1182">
        <v>1</v>
      </c>
      <c r="C1182" s="105" t="s">
        <v>6</v>
      </c>
      <c r="D1182" s="105" t="s">
        <v>53</v>
      </c>
      <c r="E1182">
        <v>7</v>
      </c>
      <c r="F1182" s="1">
        <v>6767.62</v>
      </c>
    </row>
    <row r="1183" spans="1:6" hidden="1" x14ac:dyDescent="0.3">
      <c r="A1183">
        <v>2025</v>
      </c>
      <c r="B1183">
        <v>1</v>
      </c>
      <c r="C1183" s="105" t="s">
        <v>6</v>
      </c>
      <c r="D1183" s="105" t="s">
        <v>35</v>
      </c>
      <c r="E1183">
        <v>31</v>
      </c>
      <c r="F1183" s="1">
        <v>29773</v>
      </c>
    </row>
    <row r="1184" spans="1:6" hidden="1" x14ac:dyDescent="0.3">
      <c r="A1184">
        <v>2025</v>
      </c>
      <c r="B1184">
        <v>1</v>
      </c>
      <c r="C1184" s="105" t="s">
        <v>6</v>
      </c>
      <c r="D1184" s="105" t="s">
        <v>36</v>
      </c>
      <c r="E1184">
        <v>35</v>
      </c>
      <c r="F1184" s="1">
        <v>30246</v>
      </c>
    </row>
    <row r="1185" spans="1:6" hidden="1" x14ac:dyDescent="0.3">
      <c r="A1185">
        <v>2025</v>
      </c>
      <c r="B1185">
        <v>1</v>
      </c>
      <c r="C1185" s="105" t="s">
        <v>6</v>
      </c>
      <c r="D1185" s="105" t="s">
        <v>37</v>
      </c>
      <c r="E1185">
        <v>40</v>
      </c>
      <c r="F1185" s="1">
        <v>42210.04</v>
      </c>
    </row>
    <row r="1186" spans="1:6" hidden="1" x14ac:dyDescent="0.3">
      <c r="A1186">
        <v>2025</v>
      </c>
      <c r="B1186">
        <v>2</v>
      </c>
      <c r="C1186" s="105" t="s">
        <v>38</v>
      </c>
      <c r="D1186" s="105" t="s">
        <v>7</v>
      </c>
      <c r="E1186">
        <v>14</v>
      </c>
      <c r="F1186" s="1">
        <v>12766</v>
      </c>
    </row>
    <row r="1187" spans="1:6" hidden="1" x14ac:dyDescent="0.3">
      <c r="A1187">
        <v>2025</v>
      </c>
      <c r="B1187">
        <v>2</v>
      </c>
      <c r="C1187" s="105" t="s">
        <v>38</v>
      </c>
      <c r="D1187" s="105" t="s">
        <v>8</v>
      </c>
      <c r="E1187">
        <v>35</v>
      </c>
      <c r="F1187" s="1">
        <v>37247</v>
      </c>
    </row>
    <row r="1188" spans="1:6" hidden="1" x14ac:dyDescent="0.3">
      <c r="A1188">
        <v>2025</v>
      </c>
      <c r="B1188">
        <v>2</v>
      </c>
      <c r="C1188" s="105" t="s">
        <v>38</v>
      </c>
      <c r="D1188" s="105" t="s">
        <v>9</v>
      </c>
      <c r="E1188">
        <v>10</v>
      </c>
      <c r="F1188" s="1">
        <v>9547</v>
      </c>
    </row>
    <row r="1189" spans="1:6" hidden="1" x14ac:dyDescent="0.3">
      <c r="A1189">
        <v>2025</v>
      </c>
      <c r="B1189">
        <v>2</v>
      </c>
      <c r="C1189" s="105" t="s">
        <v>38</v>
      </c>
      <c r="D1189" s="105" t="s">
        <v>10</v>
      </c>
      <c r="E1189">
        <v>47</v>
      </c>
      <c r="F1189" s="1">
        <v>50340</v>
      </c>
    </row>
    <row r="1190" spans="1:6" hidden="1" x14ac:dyDescent="0.3">
      <c r="A1190">
        <v>2025</v>
      </c>
      <c r="B1190">
        <v>2</v>
      </c>
      <c r="C1190" s="105" t="s">
        <v>38</v>
      </c>
      <c r="D1190" s="105" t="s">
        <v>11</v>
      </c>
      <c r="E1190">
        <v>19</v>
      </c>
      <c r="F1190" s="1">
        <v>15489.48</v>
      </c>
    </row>
    <row r="1191" spans="1:6" hidden="1" x14ac:dyDescent="0.3">
      <c r="A1191">
        <v>2025</v>
      </c>
      <c r="B1191">
        <v>2</v>
      </c>
      <c r="C1191" s="105" t="s">
        <v>38</v>
      </c>
      <c r="D1191" s="105" t="s">
        <v>12</v>
      </c>
      <c r="E1191">
        <v>45</v>
      </c>
      <c r="F1191" s="1">
        <v>75608</v>
      </c>
    </row>
    <row r="1192" spans="1:6" hidden="1" x14ac:dyDescent="0.3">
      <c r="A1192">
        <v>2025</v>
      </c>
      <c r="B1192">
        <v>2</v>
      </c>
      <c r="C1192" s="105" t="s">
        <v>38</v>
      </c>
      <c r="D1192" s="105" t="s">
        <v>13</v>
      </c>
      <c r="E1192">
        <v>44</v>
      </c>
      <c r="F1192" s="1">
        <v>41659</v>
      </c>
    </row>
    <row r="1193" spans="1:6" hidden="1" x14ac:dyDescent="0.3">
      <c r="A1193">
        <v>2025</v>
      </c>
      <c r="B1193">
        <v>2</v>
      </c>
      <c r="C1193" s="105" t="s">
        <v>38</v>
      </c>
      <c r="D1193" s="105" t="s">
        <v>14</v>
      </c>
      <c r="E1193">
        <v>38</v>
      </c>
      <c r="F1193" s="1">
        <v>26650</v>
      </c>
    </row>
    <row r="1194" spans="1:6" hidden="1" x14ac:dyDescent="0.3">
      <c r="A1194">
        <v>2025</v>
      </c>
      <c r="B1194">
        <v>2</v>
      </c>
      <c r="C1194" s="105" t="s">
        <v>38</v>
      </c>
      <c r="D1194" s="105" t="s">
        <v>15</v>
      </c>
      <c r="E1194">
        <v>27</v>
      </c>
      <c r="F1194" s="1">
        <v>20497</v>
      </c>
    </row>
    <row r="1195" spans="1:6" hidden="1" x14ac:dyDescent="0.3">
      <c r="A1195">
        <v>2025</v>
      </c>
      <c r="B1195">
        <v>2</v>
      </c>
      <c r="C1195" s="105" t="s">
        <v>38</v>
      </c>
      <c r="D1195" s="105" t="s">
        <v>16</v>
      </c>
      <c r="E1195">
        <v>8</v>
      </c>
      <c r="F1195" s="1">
        <v>6356</v>
      </c>
    </row>
    <row r="1196" spans="1:6" hidden="1" x14ac:dyDescent="0.3">
      <c r="A1196">
        <v>2025</v>
      </c>
      <c r="B1196">
        <v>2</v>
      </c>
      <c r="C1196" s="105" t="s">
        <v>38</v>
      </c>
      <c r="D1196" s="105" t="s">
        <v>17</v>
      </c>
      <c r="E1196">
        <v>47</v>
      </c>
      <c r="F1196" s="1">
        <v>44202.67</v>
      </c>
    </row>
    <row r="1197" spans="1:6" hidden="1" x14ac:dyDescent="0.3">
      <c r="A1197">
        <v>2025</v>
      </c>
      <c r="B1197">
        <v>2</v>
      </c>
      <c r="C1197" s="105" t="s">
        <v>38</v>
      </c>
      <c r="D1197" s="105" t="s">
        <v>18</v>
      </c>
      <c r="E1197">
        <v>65</v>
      </c>
      <c r="F1197" s="1">
        <v>61204.75</v>
      </c>
    </row>
    <row r="1198" spans="1:6" hidden="1" x14ac:dyDescent="0.3">
      <c r="A1198">
        <v>2025</v>
      </c>
      <c r="B1198">
        <v>2</v>
      </c>
      <c r="C1198" s="105" t="s">
        <v>38</v>
      </c>
      <c r="D1198" s="105" t="s">
        <v>50</v>
      </c>
      <c r="E1198">
        <v>7</v>
      </c>
      <c r="F1198" s="1">
        <v>5383</v>
      </c>
    </row>
    <row r="1199" spans="1:6" hidden="1" x14ac:dyDescent="0.3">
      <c r="A1199">
        <v>2025</v>
      </c>
      <c r="B1199">
        <v>2</v>
      </c>
      <c r="C1199" s="105" t="s">
        <v>38</v>
      </c>
      <c r="D1199" s="105" t="s">
        <v>19</v>
      </c>
      <c r="E1199">
        <v>19</v>
      </c>
      <c r="F1199" s="1">
        <v>13006</v>
      </c>
    </row>
    <row r="1200" spans="1:6" hidden="1" x14ac:dyDescent="0.3">
      <c r="A1200">
        <v>2025</v>
      </c>
      <c r="B1200">
        <v>2</v>
      </c>
      <c r="C1200" s="105" t="s">
        <v>38</v>
      </c>
      <c r="D1200" s="105" t="s">
        <v>20</v>
      </c>
      <c r="E1200">
        <v>19</v>
      </c>
      <c r="F1200" s="1">
        <v>15674</v>
      </c>
    </row>
    <row r="1201" spans="1:6" hidden="1" x14ac:dyDescent="0.3">
      <c r="A1201">
        <v>2025</v>
      </c>
      <c r="B1201">
        <v>2</v>
      </c>
      <c r="C1201" s="105" t="s">
        <v>38</v>
      </c>
      <c r="D1201" s="105" t="s">
        <v>21</v>
      </c>
      <c r="E1201">
        <v>48</v>
      </c>
      <c r="F1201" s="1">
        <v>50331</v>
      </c>
    </row>
    <row r="1202" spans="1:6" x14ac:dyDescent="0.3">
      <c r="A1202">
        <v>2025</v>
      </c>
      <c r="B1202">
        <v>2</v>
      </c>
      <c r="C1202" s="105" t="s">
        <v>38</v>
      </c>
      <c r="D1202" s="105" t="s">
        <v>22</v>
      </c>
      <c r="E1202">
        <v>28</v>
      </c>
      <c r="F1202" s="1">
        <v>20005</v>
      </c>
    </row>
    <row r="1203" spans="1:6" hidden="1" x14ac:dyDescent="0.3">
      <c r="A1203">
        <v>2025</v>
      </c>
      <c r="B1203">
        <v>2</v>
      </c>
      <c r="C1203" s="105" t="s">
        <v>38</v>
      </c>
      <c r="D1203" s="105" t="s">
        <v>23</v>
      </c>
      <c r="E1203">
        <v>13</v>
      </c>
      <c r="F1203" s="1">
        <v>14421</v>
      </c>
    </row>
    <row r="1204" spans="1:6" hidden="1" x14ac:dyDescent="0.3">
      <c r="A1204">
        <v>2025</v>
      </c>
      <c r="B1204">
        <v>2</v>
      </c>
      <c r="C1204" s="105" t="s">
        <v>38</v>
      </c>
      <c r="D1204" s="105" t="s">
        <v>24</v>
      </c>
      <c r="E1204">
        <v>65</v>
      </c>
      <c r="F1204" s="1">
        <v>50225</v>
      </c>
    </row>
    <row r="1205" spans="1:6" hidden="1" x14ac:dyDescent="0.3">
      <c r="A1205">
        <v>2025</v>
      </c>
      <c r="B1205">
        <v>2</v>
      </c>
      <c r="C1205" s="105" t="s">
        <v>38</v>
      </c>
      <c r="D1205" s="105" t="s">
        <v>25</v>
      </c>
      <c r="E1205">
        <v>52</v>
      </c>
      <c r="F1205" s="1">
        <v>44789</v>
      </c>
    </row>
    <row r="1206" spans="1:6" hidden="1" x14ac:dyDescent="0.3">
      <c r="A1206">
        <v>2025</v>
      </c>
      <c r="B1206">
        <v>2</v>
      </c>
      <c r="C1206" s="105" t="s">
        <v>38</v>
      </c>
      <c r="D1206" s="105" t="s">
        <v>26</v>
      </c>
      <c r="E1206">
        <v>14</v>
      </c>
      <c r="F1206" s="1">
        <v>12144</v>
      </c>
    </row>
    <row r="1207" spans="1:6" hidden="1" x14ac:dyDescent="0.3">
      <c r="A1207">
        <v>2025</v>
      </c>
      <c r="B1207">
        <v>2</v>
      </c>
      <c r="C1207" s="105" t="s">
        <v>38</v>
      </c>
      <c r="D1207" s="105" t="s">
        <v>27</v>
      </c>
      <c r="E1207">
        <v>17</v>
      </c>
      <c r="F1207" s="1">
        <v>16360</v>
      </c>
    </row>
    <row r="1208" spans="1:6" hidden="1" x14ac:dyDescent="0.3">
      <c r="A1208">
        <v>2025</v>
      </c>
      <c r="B1208">
        <v>2</v>
      </c>
      <c r="C1208" s="105" t="s">
        <v>38</v>
      </c>
      <c r="D1208" s="105" t="s">
        <v>28</v>
      </c>
      <c r="E1208">
        <v>10</v>
      </c>
      <c r="F1208" s="1">
        <v>11076</v>
      </c>
    </row>
    <row r="1209" spans="1:6" hidden="1" x14ac:dyDescent="0.3">
      <c r="A1209">
        <v>2025</v>
      </c>
      <c r="B1209">
        <v>2</v>
      </c>
      <c r="C1209" s="105" t="s">
        <v>38</v>
      </c>
      <c r="D1209" s="105" t="s">
        <v>29</v>
      </c>
      <c r="E1209">
        <v>60</v>
      </c>
      <c r="F1209" s="1">
        <v>63036.88</v>
      </c>
    </row>
    <row r="1210" spans="1:6" hidden="1" x14ac:dyDescent="0.3">
      <c r="A1210">
        <v>2025</v>
      </c>
      <c r="B1210">
        <v>2</v>
      </c>
      <c r="C1210" s="105" t="s">
        <v>38</v>
      </c>
      <c r="D1210" s="105" t="s">
        <v>30</v>
      </c>
      <c r="E1210">
        <v>20</v>
      </c>
      <c r="F1210" s="1">
        <v>13398</v>
      </c>
    </row>
    <row r="1211" spans="1:6" hidden="1" x14ac:dyDescent="0.3">
      <c r="A1211">
        <v>2025</v>
      </c>
      <c r="B1211">
        <v>2</v>
      </c>
      <c r="C1211" s="105" t="s">
        <v>38</v>
      </c>
      <c r="D1211" s="105" t="s">
        <v>31</v>
      </c>
      <c r="E1211">
        <v>72</v>
      </c>
      <c r="F1211" s="1">
        <v>72159.679999999993</v>
      </c>
    </row>
    <row r="1212" spans="1:6" hidden="1" x14ac:dyDescent="0.3">
      <c r="A1212">
        <v>2025</v>
      </c>
      <c r="B1212">
        <v>2</v>
      </c>
      <c r="C1212" s="105" t="s">
        <v>38</v>
      </c>
      <c r="D1212" s="105" t="s">
        <v>51</v>
      </c>
      <c r="E1212">
        <v>7</v>
      </c>
      <c r="F1212" s="1">
        <v>4914</v>
      </c>
    </row>
    <row r="1213" spans="1:6" hidden="1" x14ac:dyDescent="0.3">
      <c r="A1213">
        <v>2025</v>
      </c>
      <c r="B1213">
        <v>2</v>
      </c>
      <c r="C1213" s="105" t="s">
        <v>38</v>
      </c>
      <c r="D1213" s="105" t="s">
        <v>32</v>
      </c>
      <c r="E1213">
        <v>22</v>
      </c>
      <c r="F1213" s="1">
        <v>20412</v>
      </c>
    </row>
    <row r="1214" spans="1:6" hidden="1" x14ac:dyDescent="0.3">
      <c r="A1214">
        <v>2025</v>
      </c>
      <c r="B1214">
        <v>2</v>
      </c>
      <c r="C1214" s="105" t="s">
        <v>38</v>
      </c>
      <c r="D1214" s="105" t="s">
        <v>52</v>
      </c>
      <c r="E1214">
        <v>5</v>
      </c>
      <c r="F1214" s="1">
        <v>5002</v>
      </c>
    </row>
    <row r="1215" spans="1:6" hidden="1" x14ac:dyDescent="0.3">
      <c r="A1215">
        <v>2025</v>
      </c>
      <c r="B1215">
        <v>2</v>
      </c>
      <c r="C1215" s="105" t="s">
        <v>38</v>
      </c>
      <c r="D1215" s="105" t="s">
        <v>33</v>
      </c>
      <c r="E1215">
        <v>91</v>
      </c>
      <c r="F1215" s="1">
        <v>88391.6</v>
      </c>
    </row>
    <row r="1216" spans="1:6" hidden="1" x14ac:dyDescent="0.3">
      <c r="A1216">
        <v>2025</v>
      </c>
      <c r="B1216">
        <v>2</v>
      </c>
      <c r="C1216" s="105" t="s">
        <v>38</v>
      </c>
      <c r="D1216" s="105" t="s">
        <v>34</v>
      </c>
      <c r="E1216">
        <v>36</v>
      </c>
      <c r="F1216" s="1">
        <v>30715.67</v>
      </c>
    </row>
    <row r="1217" spans="1:6" hidden="1" x14ac:dyDescent="0.3">
      <c r="A1217">
        <v>2025</v>
      </c>
      <c r="B1217">
        <v>2</v>
      </c>
      <c r="C1217" s="105" t="s">
        <v>38</v>
      </c>
      <c r="D1217" s="105" t="s">
        <v>53</v>
      </c>
      <c r="E1217">
        <v>10</v>
      </c>
      <c r="F1217" s="1">
        <v>9839</v>
      </c>
    </row>
    <row r="1218" spans="1:6" hidden="1" x14ac:dyDescent="0.3">
      <c r="A1218">
        <v>2025</v>
      </c>
      <c r="B1218">
        <v>2</v>
      </c>
      <c r="C1218" s="105" t="s">
        <v>38</v>
      </c>
      <c r="D1218" s="105" t="s">
        <v>35</v>
      </c>
      <c r="E1218">
        <v>24</v>
      </c>
      <c r="F1218" s="1">
        <v>20632.22</v>
      </c>
    </row>
    <row r="1219" spans="1:6" hidden="1" x14ac:dyDescent="0.3">
      <c r="A1219">
        <v>2025</v>
      </c>
      <c r="B1219">
        <v>2</v>
      </c>
      <c r="C1219" s="105" t="s">
        <v>38</v>
      </c>
      <c r="D1219" s="105" t="s">
        <v>36</v>
      </c>
      <c r="E1219">
        <v>16</v>
      </c>
      <c r="F1219" s="1">
        <v>13823</v>
      </c>
    </row>
    <row r="1220" spans="1:6" hidden="1" x14ac:dyDescent="0.3">
      <c r="A1220">
        <v>2025</v>
      </c>
      <c r="B1220">
        <v>2</v>
      </c>
      <c r="C1220" s="105" t="s">
        <v>38</v>
      </c>
      <c r="D1220" s="105" t="s">
        <v>37</v>
      </c>
      <c r="E1220">
        <v>20</v>
      </c>
      <c r="F1220" s="1">
        <v>20155</v>
      </c>
    </row>
    <row r="1221" spans="1:6" hidden="1" x14ac:dyDescent="0.3">
      <c r="A1221">
        <v>2025</v>
      </c>
      <c r="B1221">
        <v>3</v>
      </c>
      <c r="C1221" s="105" t="s">
        <v>39</v>
      </c>
      <c r="D1221" s="105" t="s">
        <v>7</v>
      </c>
      <c r="E1221">
        <v>14</v>
      </c>
      <c r="F1221" s="1">
        <v>12776</v>
      </c>
    </row>
    <row r="1222" spans="1:6" hidden="1" x14ac:dyDescent="0.3">
      <c r="A1222">
        <v>2025</v>
      </c>
      <c r="B1222">
        <v>3</v>
      </c>
      <c r="C1222" s="105" t="s">
        <v>39</v>
      </c>
      <c r="D1222" s="105" t="s">
        <v>8</v>
      </c>
      <c r="E1222">
        <v>46</v>
      </c>
      <c r="F1222" s="1">
        <v>31658.19</v>
      </c>
    </row>
    <row r="1223" spans="1:6" hidden="1" x14ac:dyDescent="0.3">
      <c r="A1223">
        <v>2025</v>
      </c>
      <c r="B1223">
        <v>3</v>
      </c>
      <c r="C1223" s="105" t="s">
        <v>39</v>
      </c>
      <c r="D1223" s="105" t="s">
        <v>9</v>
      </c>
      <c r="E1223">
        <v>19</v>
      </c>
      <c r="F1223" s="1">
        <v>12123</v>
      </c>
    </row>
    <row r="1224" spans="1:6" hidden="1" x14ac:dyDescent="0.3">
      <c r="A1224">
        <v>2025</v>
      </c>
      <c r="B1224">
        <v>3</v>
      </c>
      <c r="C1224" s="105" t="s">
        <v>39</v>
      </c>
      <c r="D1224" s="105" t="s">
        <v>10</v>
      </c>
      <c r="E1224">
        <v>65</v>
      </c>
      <c r="F1224" s="1">
        <v>66978.600000000006</v>
      </c>
    </row>
    <row r="1225" spans="1:6" hidden="1" x14ac:dyDescent="0.3">
      <c r="A1225">
        <v>2025</v>
      </c>
      <c r="B1225">
        <v>3</v>
      </c>
      <c r="C1225" s="105" t="s">
        <v>39</v>
      </c>
      <c r="D1225" s="105" t="s">
        <v>11</v>
      </c>
      <c r="E1225">
        <v>48</v>
      </c>
      <c r="F1225" s="1">
        <v>43073</v>
      </c>
    </row>
    <row r="1226" spans="1:6" hidden="1" x14ac:dyDescent="0.3">
      <c r="A1226">
        <v>2025</v>
      </c>
      <c r="B1226">
        <v>3</v>
      </c>
      <c r="C1226" s="105" t="s">
        <v>39</v>
      </c>
      <c r="D1226" s="105" t="s">
        <v>12</v>
      </c>
      <c r="E1226">
        <v>62</v>
      </c>
      <c r="F1226" s="1">
        <v>118724.99</v>
      </c>
    </row>
    <row r="1227" spans="1:6" hidden="1" x14ac:dyDescent="0.3">
      <c r="A1227">
        <v>2025</v>
      </c>
      <c r="B1227">
        <v>3</v>
      </c>
      <c r="C1227" s="105" t="s">
        <v>39</v>
      </c>
      <c r="D1227" s="105" t="s">
        <v>13</v>
      </c>
      <c r="E1227">
        <v>73</v>
      </c>
      <c r="F1227" s="1">
        <v>61513</v>
      </c>
    </row>
    <row r="1228" spans="1:6" hidden="1" x14ac:dyDescent="0.3">
      <c r="A1228">
        <v>2025</v>
      </c>
      <c r="B1228">
        <v>3</v>
      </c>
      <c r="C1228" s="105" t="s">
        <v>39</v>
      </c>
      <c r="D1228" s="105" t="s">
        <v>14</v>
      </c>
      <c r="E1228">
        <v>67</v>
      </c>
      <c r="F1228" s="1">
        <v>47336</v>
      </c>
    </row>
    <row r="1229" spans="1:6" hidden="1" x14ac:dyDescent="0.3">
      <c r="A1229">
        <v>2025</v>
      </c>
      <c r="B1229">
        <v>3</v>
      </c>
      <c r="C1229" s="105" t="s">
        <v>39</v>
      </c>
      <c r="D1229" s="105" t="s">
        <v>15</v>
      </c>
      <c r="E1229">
        <v>35</v>
      </c>
      <c r="F1229" s="1">
        <v>27330</v>
      </c>
    </row>
    <row r="1230" spans="1:6" hidden="1" x14ac:dyDescent="0.3">
      <c r="A1230">
        <v>2025</v>
      </c>
      <c r="B1230">
        <v>3</v>
      </c>
      <c r="C1230" s="105" t="s">
        <v>39</v>
      </c>
      <c r="D1230" s="105" t="s">
        <v>16</v>
      </c>
      <c r="E1230">
        <v>22</v>
      </c>
      <c r="F1230" s="1">
        <v>16087</v>
      </c>
    </row>
    <row r="1231" spans="1:6" hidden="1" x14ac:dyDescent="0.3">
      <c r="A1231">
        <v>2025</v>
      </c>
      <c r="B1231">
        <v>3</v>
      </c>
      <c r="C1231" s="105" t="s">
        <v>39</v>
      </c>
      <c r="D1231" s="105" t="s">
        <v>17</v>
      </c>
      <c r="E1231">
        <v>102</v>
      </c>
      <c r="F1231" s="1">
        <v>96725</v>
      </c>
    </row>
    <row r="1232" spans="1:6" hidden="1" x14ac:dyDescent="0.3">
      <c r="A1232">
        <v>2025</v>
      </c>
      <c r="B1232">
        <v>3</v>
      </c>
      <c r="C1232" s="105" t="s">
        <v>39</v>
      </c>
      <c r="D1232" s="105" t="s">
        <v>18</v>
      </c>
      <c r="E1232">
        <v>117</v>
      </c>
      <c r="F1232" s="1">
        <v>109725</v>
      </c>
    </row>
    <row r="1233" spans="1:6" hidden="1" x14ac:dyDescent="0.3">
      <c r="A1233">
        <v>2025</v>
      </c>
      <c r="B1233">
        <v>3</v>
      </c>
      <c r="C1233" s="105" t="s">
        <v>39</v>
      </c>
      <c r="D1233" s="105" t="s">
        <v>50</v>
      </c>
      <c r="E1233">
        <v>8</v>
      </c>
      <c r="F1233" s="1">
        <v>5811</v>
      </c>
    </row>
    <row r="1234" spans="1:6" hidden="1" x14ac:dyDescent="0.3">
      <c r="A1234">
        <v>2025</v>
      </c>
      <c r="B1234">
        <v>3</v>
      </c>
      <c r="C1234" s="105" t="s">
        <v>39</v>
      </c>
      <c r="D1234" s="105" t="s">
        <v>19</v>
      </c>
      <c r="E1234">
        <v>30</v>
      </c>
      <c r="F1234" s="1">
        <v>20880</v>
      </c>
    </row>
    <row r="1235" spans="1:6" hidden="1" x14ac:dyDescent="0.3">
      <c r="A1235">
        <v>2025</v>
      </c>
      <c r="B1235">
        <v>3</v>
      </c>
      <c r="C1235" s="105" t="s">
        <v>39</v>
      </c>
      <c r="D1235" s="105" t="s">
        <v>20</v>
      </c>
      <c r="E1235">
        <v>46</v>
      </c>
      <c r="F1235" s="1">
        <v>39468.870000000003</v>
      </c>
    </row>
    <row r="1236" spans="1:6" hidden="1" x14ac:dyDescent="0.3">
      <c r="A1236">
        <v>2025</v>
      </c>
      <c r="B1236">
        <v>3</v>
      </c>
      <c r="C1236" s="105" t="s">
        <v>39</v>
      </c>
      <c r="D1236" s="105" t="s">
        <v>21</v>
      </c>
      <c r="E1236">
        <v>105</v>
      </c>
      <c r="F1236" s="1">
        <v>106980</v>
      </c>
    </row>
    <row r="1237" spans="1:6" x14ac:dyDescent="0.3">
      <c r="A1237">
        <v>2025</v>
      </c>
      <c r="B1237">
        <v>3</v>
      </c>
      <c r="C1237" s="105" t="s">
        <v>39</v>
      </c>
      <c r="D1237" s="105" t="s">
        <v>22</v>
      </c>
      <c r="E1237">
        <v>49</v>
      </c>
      <c r="F1237" s="1">
        <v>34782</v>
      </c>
    </row>
    <row r="1238" spans="1:6" hidden="1" x14ac:dyDescent="0.3">
      <c r="A1238">
        <v>2025</v>
      </c>
      <c r="B1238">
        <v>3</v>
      </c>
      <c r="C1238" s="105" t="s">
        <v>39</v>
      </c>
      <c r="D1238" s="105" t="s">
        <v>23</v>
      </c>
      <c r="E1238">
        <v>26</v>
      </c>
      <c r="F1238" s="1">
        <v>25557</v>
      </c>
    </row>
    <row r="1239" spans="1:6" hidden="1" x14ac:dyDescent="0.3">
      <c r="A1239">
        <v>2025</v>
      </c>
      <c r="B1239">
        <v>3</v>
      </c>
      <c r="C1239" s="105" t="s">
        <v>39</v>
      </c>
      <c r="D1239" s="105" t="s">
        <v>24</v>
      </c>
      <c r="E1239">
        <v>63</v>
      </c>
      <c r="F1239" s="1">
        <v>49211.74</v>
      </c>
    </row>
    <row r="1240" spans="1:6" hidden="1" x14ac:dyDescent="0.3">
      <c r="A1240">
        <v>2025</v>
      </c>
      <c r="B1240">
        <v>3</v>
      </c>
      <c r="C1240" s="105" t="s">
        <v>39</v>
      </c>
      <c r="D1240" s="105" t="s">
        <v>25</v>
      </c>
      <c r="E1240">
        <v>76</v>
      </c>
      <c r="F1240" s="1">
        <v>66451</v>
      </c>
    </row>
    <row r="1241" spans="1:6" hidden="1" x14ac:dyDescent="0.3">
      <c r="A1241">
        <v>2025</v>
      </c>
      <c r="B1241">
        <v>3</v>
      </c>
      <c r="C1241" s="105" t="s">
        <v>39</v>
      </c>
      <c r="D1241" s="105" t="s">
        <v>26</v>
      </c>
      <c r="E1241">
        <v>31</v>
      </c>
      <c r="F1241" s="1">
        <v>24965</v>
      </c>
    </row>
    <row r="1242" spans="1:6" hidden="1" x14ac:dyDescent="0.3">
      <c r="A1242">
        <v>2025</v>
      </c>
      <c r="B1242">
        <v>3</v>
      </c>
      <c r="C1242" s="105" t="s">
        <v>39</v>
      </c>
      <c r="D1242" s="105" t="s">
        <v>27</v>
      </c>
      <c r="E1242">
        <v>40</v>
      </c>
      <c r="F1242" s="1">
        <v>41141</v>
      </c>
    </row>
    <row r="1243" spans="1:6" hidden="1" x14ac:dyDescent="0.3">
      <c r="A1243">
        <v>2025</v>
      </c>
      <c r="B1243">
        <v>3</v>
      </c>
      <c r="C1243" s="105" t="s">
        <v>39</v>
      </c>
      <c r="D1243" s="105" t="s">
        <v>28</v>
      </c>
      <c r="E1243">
        <v>16</v>
      </c>
      <c r="F1243" s="1">
        <v>20119</v>
      </c>
    </row>
    <row r="1244" spans="1:6" hidden="1" x14ac:dyDescent="0.3">
      <c r="A1244">
        <v>2025</v>
      </c>
      <c r="B1244">
        <v>3</v>
      </c>
      <c r="C1244" s="105" t="s">
        <v>39</v>
      </c>
      <c r="D1244" s="105" t="s">
        <v>29</v>
      </c>
      <c r="E1244">
        <v>73</v>
      </c>
      <c r="F1244" s="1">
        <v>63419.199999999997</v>
      </c>
    </row>
    <row r="1245" spans="1:6" hidden="1" x14ac:dyDescent="0.3">
      <c r="A1245">
        <v>2025</v>
      </c>
      <c r="B1245">
        <v>3</v>
      </c>
      <c r="C1245" s="105" t="s">
        <v>39</v>
      </c>
      <c r="D1245" s="105" t="s">
        <v>30</v>
      </c>
      <c r="E1245">
        <v>35</v>
      </c>
      <c r="F1245" s="1">
        <v>24235</v>
      </c>
    </row>
    <row r="1246" spans="1:6" hidden="1" x14ac:dyDescent="0.3">
      <c r="A1246">
        <v>2025</v>
      </c>
      <c r="B1246">
        <v>3</v>
      </c>
      <c r="C1246" s="105" t="s">
        <v>39</v>
      </c>
      <c r="D1246" s="105" t="s">
        <v>31</v>
      </c>
      <c r="E1246">
        <v>155</v>
      </c>
      <c r="F1246" s="1">
        <v>149991.18</v>
      </c>
    </row>
    <row r="1247" spans="1:6" hidden="1" x14ac:dyDescent="0.3">
      <c r="A1247">
        <v>2025</v>
      </c>
      <c r="B1247">
        <v>3</v>
      </c>
      <c r="C1247" s="105" t="s">
        <v>39</v>
      </c>
      <c r="D1247" s="105" t="s">
        <v>51</v>
      </c>
      <c r="E1247">
        <v>12</v>
      </c>
      <c r="F1247" s="1">
        <v>9569</v>
      </c>
    </row>
    <row r="1248" spans="1:6" hidden="1" x14ac:dyDescent="0.3">
      <c r="A1248">
        <v>2025</v>
      </c>
      <c r="B1248">
        <v>3</v>
      </c>
      <c r="C1248" s="105" t="s">
        <v>39</v>
      </c>
      <c r="D1248" s="105" t="s">
        <v>32</v>
      </c>
      <c r="E1248">
        <v>57</v>
      </c>
      <c r="F1248" s="1">
        <v>49081</v>
      </c>
    </row>
    <row r="1249" spans="1:6" hidden="1" x14ac:dyDescent="0.3">
      <c r="A1249">
        <v>2025</v>
      </c>
      <c r="B1249">
        <v>3</v>
      </c>
      <c r="C1249" s="105" t="s">
        <v>39</v>
      </c>
      <c r="D1249" s="105" t="s">
        <v>52</v>
      </c>
      <c r="E1249">
        <v>2</v>
      </c>
      <c r="F1249" s="1">
        <v>2995</v>
      </c>
    </row>
    <row r="1250" spans="1:6" hidden="1" x14ac:dyDescent="0.3">
      <c r="A1250">
        <v>2025</v>
      </c>
      <c r="B1250">
        <v>3</v>
      </c>
      <c r="C1250" s="105" t="s">
        <v>39</v>
      </c>
      <c r="D1250" s="105" t="s">
        <v>33</v>
      </c>
      <c r="E1250">
        <v>120</v>
      </c>
      <c r="F1250" s="1">
        <v>112065.5</v>
      </c>
    </row>
    <row r="1251" spans="1:6" hidden="1" x14ac:dyDescent="0.3">
      <c r="A1251">
        <v>2025</v>
      </c>
      <c r="B1251">
        <v>3</v>
      </c>
      <c r="C1251" s="105" t="s">
        <v>39</v>
      </c>
      <c r="D1251" s="105" t="s">
        <v>34</v>
      </c>
      <c r="E1251">
        <v>75</v>
      </c>
      <c r="F1251" s="1">
        <v>65880</v>
      </c>
    </row>
    <row r="1252" spans="1:6" hidden="1" x14ac:dyDescent="0.3">
      <c r="A1252">
        <v>2025</v>
      </c>
      <c r="B1252">
        <v>3</v>
      </c>
      <c r="C1252" s="105" t="s">
        <v>39</v>
      </c>
      <c r="D1252" s="105" t="s">
        <v>53</v>
      </c>
      <c r="E1252">
        <v>14</v>
      </c>
      <c r="F1252" s="1">
        <v>13038</v>
      </c>
    </row>
    <row r="1253" spans="1:6" hidden="1" x14ac:dyDescent="0.3">
      <c r="A1253">
        <v>2025</v>
      </c>
      <c r="B1253">
        <v>3</v>
      </c>
      <c r="C1253" s="105" t="s">
        <v>39</v>
      </c>
      <c r="D1253" s="105" t="s">
        <v>35</v>
      </c>
      <c r="E1253">
        <v>39</v>
      </c>
      <c r="F1253" s="1">
        <v>33236</v>
      </c>
    </row>
    <row r="1254" spans="1:6" hidden="1" x14ac:dyDescent="0.3">
      <c r="A1254">
        <v>2025</v>
      </c>
      <c r="B1254">
        <v>3</v>
      </c>
      <c r="C1254" s="105" t="s">
        <v>39</v>
      </c>
      <c r="D1254" s="105" t="s">
        <v>36</v>
      </c>
      <c r="E1254">
        <v>42</v>
      </c>
      <c r="F1254" s="1">
        <v>36675.4</v>
      </c>
    </row>
    <row r="1255" spans="1:6" hidden="1" x14ac:dyDescent="0.3">
      <c r="A1255">
        <v>2025</v>
      </c>
      <c r="B1255">
        <v>3</v>
      </c>
      <c r="C1255" s="105" t="s">
        <v>39</v>
      </c>
      <c r="D1255" s="105" t="s">
        <v>37</v>
      </c>
      <c r="E1255">
        <v>53</v>
      </c>
      <c r="F1255" s="1">
        <v>47058.74</v>
      </c>
    </row>
    <row r="1256" spans="1:6" hidden="1" x14ac:dyDescent="0.3">
      <c r="A1256">
        <v>2025</v>
      </c>
      <c r="B1256">
        <v>4</v>
      </c>
      <c r="C1256" s="105" t="s">
        <v>40</v>
      </c>
      <c r="D1256" s="105" t="s">
        <v>7</v>
      </c>
      <c r="E1256">
        <v>46</v>
      </c>
      <c r="F1256" s="1">
        <v>39724</v>
      </c>
    </row>
    <row r="1257" spans="1:6" hidden="1" x14ac:dyDescent="0.3">
      <c r="A1257">
        <v>2025</v>
      </c>
      <c r="B1257">
        <v>4</v>
      </c>
      <c r="C1257" s="105" t="s">
        <v>40</v>
      </c>
      <c r="D1257" s="105" t="s">
        <v>8</v>
      </c>
      <c r="E1257">
        <v>42</v>
      </c>
      <c r="F1257" s="1">
        <v>31609.99</v>
      </c>
    </row>
    <row r="1258" spans="1:6" hidden="1" x14ac:dyDescent="0.3">
      <c r="A1258">
        <v>2025</v>
      </c>
      <c r="B1258">
        <v>4</v>
      </c>
      <c r="C1258" s="105" t="s">
        <v>40</v>
      </c>
      <c r="D1258" s="105" t="s">
        <v>9</v>
      </c>
      <c r="E1258">
        <v>25</v>
      </c>
      <c r="F1258" s="1">
        <v>17754</v>
      </c>
    </row>
    <row r="1259" spans="1:6" hidden="1" x14ac:dyDescent="0.3">
      <c r="A1259">
        <v>2025</v>
      </c>
      <c r="B1259">
        <v>4</v>
      </c>
      <c r="C1259" s="105" t="s">
        <v>40</v>
      </c>
      <c r="D1259" s="105" t="s">
        <v>10</v>
      </c>
      <c r="E1259">
        <v>115</v>
      </c>
      <c r="F1259" s="1">
        <v>109808</v>
      </c>
    </row>
    <row r="1260" spans="1:6" hidden="1" x14ac:dyDescent="0.3">
      <c r="A1260">
        <v>2025</v>
      </c>
      <c r="B1260">
        <v>4</v>
      </c>
      <c r="C1260" s="105" t="s">
        <v>40</v>
      </c>
      <c r="D1260" s="105" t="s">
        <v>11</v>
      </c>
      <c r="E1260">
        <v>84</v>
      </c>
      <c r="F1260" s="1">
        <v>73144.17</v>
      </c>
    </row>
    <row r="1261" spans="1:6" hidden="1" x14ac:dyDescent="0.3">
      <c r="A1261">
        <v>2025</v>
      </c>
      <c r="B1261">
        <v>4</v>
      </c>
      <c r="C1261" s="105" t="s">
        <v>40</v>
      </c>
      <c r="D1261" s="105" t="s">
        <v>12</v>
      </c>
      <c r="E1261">
        <v>78</v>
      </c>
      <c r="F1261" s="1">
        <v>84449</v>
      </c>
    </row>
    <row r="1262" spans="1:6" hidden="1" x14ac:dyDescent="0.3">
      <c r="A1262">
        <v>2025</v>
      </c>
      <c r="B1262">
        <v>4</v>
      </c>
      <c r="C1262" s="105" t="s">
        <v>40</v>
      </c>
      <c r="D1262" s="105" t="s">
        <v>13</v>
      </c>
      <c r="E1262">
        <v>114</v>
      </c>
      <c r="F1262" s="1">
        <v>78318</v>
      </c>
    </row>
    <row r="1263" spans="1:6" hidden="1" x14ac:dyDescent="0.3">
      <c r="A1263">
        <v>2025</v>
      </c>
      <c r="B1263">
        <v>4</v>
      </c>
      <c r="C1263" s="105" t="s">
        <v>40</v>
      </c>
      <c r="D1263" s="105" t="s">
        <v>14</v>
      </c>
      <c r="E1263">
        <v>79</v>
      </c>
      <c r="F1263" s="1">
        <v>58324</v>
      </c>
    </row>
    <row r="1264" spans="1:6" hidden="1" x14ac:dyDescent="0.3">
      <c r="A1264">
        <v>2025</v>
      </c>
      <c r="B1264">
        <v>4</v>
      </c>
      <c r="C1264" s="105" t="s">
        <v>40</v>
      </c>
      <c r="D1264" s="105" t="s">
        <v>15</v>
      </c>
      <c r="E1264">
        <v>29</v>
      </c>
      <c r="F1264" s="1">
        <v>25932</v>
      </c>
    </row>
    <row r="1265" spans="1:6" hidden="1" x14ac:dyDescent="0.3">
      <c r="A1265">
        <v>2025</v>
      </c>
      <c r="B1265">
        <v>4</v>
      </c>
      <c r="C1265" s="105" t="s">
        <v>40</v>
      </c>
      <c r="D1265" s="105" t="s">
        <v>16</v>
      </c>
      <c r="E1265">
        <v>29</v>
      </c>
      <c r="F1265" s="1">
        <v>21675</v>
      </c>
    </row>
    <row r="1266" spans="1:6" hidden="1" x14ac:dyDescent="0.3">
      <c r="A1266">
        <v>2025</v>
      </c>
      <c r="B1266">
        <v>4</v>
      </c>
      <c r="C1266" s="105" t="s">
        <v>40</v>
      </c>
      <c r="D1266" s="105" t="s">
        <v>54</v>
      </c>
      <c r="E1266">
        <v>6</v>
      </c>
      <c r="F1266" s="1">
        <v>4224</v>
      </c>
    </row>
    <row r="1267" spans="1:6" hidden="1" x14ac:dyDescent="0.3">
      <c r="A1267">
        <v>2025</v>
      </c>
      <c r="B1267">
        <v>4</v>
      </c>
      <c r="C1267" s="105" t="s">
        <v>40</v>
      </c>
      <c r="D1267" s="105" t="s">
        <v>17</v>
      </c>
      <c r="E1267">
        <v>169</v>
      </c>
      <c r="F1267" s="1">
        <v>167804.35</v>
      </c>
    </row>
    <row r="1268" spans="1:6" hidden="1" x14ac:dyDescent="0.3">
      <c r="A1268">
        <v>2025</v>
      </c>
      <c r="B1268">
        <v>4</v>
      </c>
      <c r="C1268" s="105" t="s">
        <v>40</v>
      </c>
      <c r="D1268" s="105" t="s">
        <v>18</v>
      </c>
      <c r="E1268">
        <v>223</v>
      </c>
      <c r="F1268" s="1">
        <v>213723.71</v>
      </c>
    </row>
    <row r="1269" spans="1:6" hidden="1" x14ac:dyDescent="0.3">
      <c r="A1269">
        <v>2025</v>
      </c>
      <c r="B1269">
        <v>4</v>
      </c>
      <c r="C1269" s="105" t="s">
        <v>40</v>
      </c>
      <c r="D1269" s="105" t="s">
        <v>50</v>
      </c>
      <c r="E1269">
        <v>13</v>
      </c>
      <c r="F1269" s="1">
        <v>10346</v>
      </c>
    </row>
    <row r="1270" spans="1:6" hidden="1" x14ac:dyDescent="0.3">
      <c r="A1270">
        <v>2025</v>
      </c>
      <c r="B1270">
        <v>4</v>
      </c>
      <c r="C1270" s="105" t="s">
        <v>40</v>
      </c>
      <c r="D1270" s="105" t="s">
        <v>55</v>
      </c>
      <c r="E1270">
        <v>3</v>
      </c>
      <c r="F1270" s="1">
        <v>2101</v>
      </c>
    </row>
    <row r="1271" spans="1:6" hidden="1" x14ac:dyDescent="0.3">
      <c r="A1271">
        <v>2025</v>
      </c>
      <c r="B1271">
        <v>4</v>
      </c>
      <c r="C1271" s="105" t="s">
        <v>40</v>
      </c>
      <c r="D1271" s="105" t="s">
        <v>19</v>
      </c>
      <c r="E1271">
        <v>37</v>
      </c>
      <c r="F1271" s="1">
        <v>27124</v>
      </c>
    </row>
    <row r="1272" spans="1:6" hidden="1" x14ac:dyDescent="0.3">
      <c r="A1272">
        <v>2025</v>
      </c>
      <c r="B1272">
        <v>4</v>
      </c>
      <c r="C1272" s="105" t="s">
        <v>40</v>
      </c>
      <c r="D1272" s="105" t="s">
        <v>20</v>
      </c>
      <c r="E1272">
        <v>70</v>
      </c>
      <c r="F1272" s="1">
        <v>60519.87</v>
      </c>
    </row>
    <row r="1273" spans="1:6" hidden="1" x14ac:dyDescent="0.3">
      <c r="A1273">
        <v>2025</v>
      </c>
      <c r="B1273">
        <v>4</v>
      </c>
      <c r="C1273" s="105" t="s">
        <v>40</v>
      </c>
      <c r="D1273" s="105" t="s">
        <v>21</v>
      </c>
      <c r="E1273">
        <v>143</v>
      </c>
      <c r="F1273" s="1">
        <v>139699</v>
      </c>
    </row>
    <row r="1274" spans="1:6" x14ac:dyDescent="0.3">
      <c r="A1274">
        <v>2025</v>
      </c>
      <c r="B1274">
        <v>4</v>
      </c>
      <c r="C1274" s="105" t="s">
        <v>40</v>
      </c>
      <c r="D1274" s="105" t="s">
        <v>22</v>
      </c>
      <c r="E1274">
        <v>66</v>
      </c>
      <c r="F1274" s="1">
        <v>44305</v>
      </c>
    </row>
    <row r="1275" spans="1:6" hidden="1" x14ac:dyDescent="0.3">
      <c r="A1275">
        <v>2025</v>
      </c>
      <c r="B1275">
        <v>4</v>
      </c>
      <c r="C1275" s="105" t="s">
        <v>40</v>
      </c>
      <c r="D1275" s="105" t="s">
        <v>23</v>
      </c>
      <c r="E1275">
        <v>83</v>
      </c>
      <c r="F1275" s="1">
        <v>79160.5</v>
      </c>
    </row>
    <row r="1276" spans="1:6" hidden="1" x14ac:dyDescent="0.3">
      <c r="A1276">
        <v>2025</v>
      </c>
      <c r="B1276">
        <v>4</v>
      </c>
      <c r="C1276" s="105" t="s">
        <v>40</v>
      </c>
      <c r="D1276" s="105" t="s">
        <v>24</v>
      </c>
      <c r="E1276">
        <v>61</v>
      </c>
      <c r="F1276" s="1">
        <v>46900.88</v>
      </c>
    </row>
    <row r="1277" spans="1:6" hidden="1" x14ac:dyDescent="0.3">
      <c r="A1277">
        <v>2025</v>
      </c>
      <c r="B1277">
        <v>4</v>
      </c>
      <c r="C1277" s="105" t="s">
        <v>40</v>
      </c>
      <c r="D1277" s="105" t="s">
        <v>25</v>
      </c>
      <c r="E1277">
        <v>100</v>
      </c>
      <c r="F1277" s="1">
        <v>83446</v>
      </c>
    </row>
    <row r="1278" spans="1:6" hidden="1" x14ac:dyDescent="0.3">
      <c r="A1278">
        <v>2025</v>
      </c>
      <c r="B1278">
        <v>4</v>
      </c>
      <c r="C1278" s="105" t="s">
        <v>40</v>
      </c>
      <c r="D1278" s="105" t="s">
        <v>26</v>
      </c>
      <c r="E1278">
        <v>72</v>
      </c>
      <c r="F1278" s="1">
        <v>58353</v>
      </c>
    </row>
    <row r="1279" spans="1:6" hidden="1" x14ac:dyDescent="0.3">
      <c r="A1279">
        <v>2025</v>
      </c>
      <c r="B1279">
        <v>4</v>
      </c>
      <c r="C1279" s="105" t="s">
        <v>40</v>
      </c>
      <c r="D1279" s="105" t="s">
        <v>27</v>
      </c>
      <c r="E1279">
        <v>60</v>
      </c>
      <c r="F1279" s="1">
        <v>47350</v>
      </c>
    </row>
    <row r="1280" spans="1:6" hidden="1" x14ac:dyDescent="0.3">
      <c r="A1280">
        <v>2025</v>
      </c>
      <c r="B1280">
        <v>4</v>
      </c>
      <c r="C1280" s="105" t="s">
        <v>40</v>
      </c>
      <c r="D1280" s="105" t="s">
        <v>28</v>
      </c>
      <c r="E1280">
        <v>27</v>
      </c>
      <c r="F1280" s="1">
        <v>23940</v>
      </c>
    </row>
    <row r="1281" spans="1:6" hidden="1" x14ac:dyDescent="0.3">
      <c r="A1281">
        <v>2025</v>
      </c>
      <c r="B1281">
        <v>4</v>
      </c>
      <c r="C1281" s="105" t="s">
        <v>40</v>
      </c>
      <c r="D1281" s="105" t="s">
        <v>29</v>
      </c>
      <c r="E1281">
        <v>124</v>
      </c>
      <c r="F1281" s="1">
        <v>105299</v>
      </c>
    </row>
    <row r="1282" spans="1:6" hidden="1" x14ac:dyDescent="0.3">
      <c r="A1282">
        <v>2025</v>
      </c>
      <c r="B1282">
        <v>4</v>
      </c>
      <c r="C1282" s="105" t="s">
        <v>40</v>
      </c>
      <c r="D1282" s="105" t="s">
        <v>30</v>
      </c>
      <c r="E1282">
        <v>34</v>
      </c>
      <c r="F1282" s="1">
        <v>38472</v>
      </c>
    </row>
    <row r="1283" spans="1:6" hidden="1" x14ac:dyDescent="0.3">
      <c r="A1283">
        <v>2025</v>
      </c>
      <c r="B1283">
        <v>4</v>
      </c>
      <c r="C1283" s="105" t="s">
        <v>40</v>
      </c>
      <c r="D1283" s="105" t="s">
        <v>31</v>
      </c>
      <c r="E1283">
        <v>205</v>
      </c>
      <c r="F1283" s="1">
        <v>213382.49</v>
      </c>
    </row>
    <row r="1284" spans="1:6" hidden="1" x14ac:dyDescent="0.3">
      <c r="A1284">
        <v>2025</v>
      </c>
      <c r="B1284">
        <v>4</v>
      </c>
      <c r="C1284" s="105" t="s">
        <v>40</v>
      </c>
      <c r="D1284" s="105" t="s">
        <v>51</v>
      </c>
      <c r="E1284">
        <v>15</v>
      </c>
      <c r="F1284" s="1">
        <v>11326</v>
      </c>
    </row>
    <row r="1285" spans="1:6" hidden="1" x14ac:dyDescent="0.3">
      <c r="A1285">
        <v>2025</v>
      </c>
      <c r="B1285">
        <v>4</v>
      </c>
      <c r="C1285" s="105" t="s">
        <v>40</v>
      </c>
      <c r="D1285" s="105" t="s">
        <v>32</v>
      </c>
      <c r="E1285">
        <v>104</v>
      </c>
      <c r="F1285" s="1">
        <v>82150.64</v>
      </c>
    </row>
    <row r="1286" spans="1:6" hidden="1" x14ac:dyDescent="0.3">
      <c r="A1286">
        <v>2025</v>
      </c>
      <c r="B1286">
        <v>4</v>
      </c>
      <c r="C1286" s="105" t="s">
        <v>40</v>
      </c>
      <c r="D1286" s="105" t="s">
        <v>52</v>
      </c>
      <c r="E1286">
        <v>21</v>
      </c>
      <c r="F1286" s="1">
        <v>19407</v>
      </c>
    </row>
    <row r="1287" spans="1:6" hidden="1" x14ac:dyDescent="0.3">
      <c r="A1287">
        <v>2025</v>
      </c>
      <c r="B1287">
        <v>4</v>
      </c>
      <c r="C1287" s="105" t="s">
        <v>40</v>
      </c>
      <c r="D1287" s="105" t="s">
        <v>33</v>
      </c>
      <c r="E1287">
        <v>231</v>
      </c>
      <c r="F1287" s="1">
        <v>210587.35</v>
      </c>
    </row>
    <row r="1288" spans="1:6" hidden="1" x14ac:dyDescent="0.3">
      <c r="A1288">
        <v>2025</v>
      </c>
      <c r="B1288">
        <v>4</v>
      </c>
      <c r="C1288" s="105" t="s">
        <v>40</v>
      </c>
      <c r="D1288" s="105" t="s">
        <v>34</v>
      </c>
      <c r="E1288">
        <v>108</v>
      </c>
      <c r="F1288" s="1">
        <v>104014.58</v>
      </c>
    </row>
    <row r="1289" spans="1:6" hidden="1" x14ac:dyDescent="0.3">
      <c r="A1289">
        <v>2025</v>
      </c>
      <c r="B1289">
        <v>4</v>
      </c>
      <c r="C1289" s="105" t="s">
        <v>40</v>
      </c>
      <c r="D1289" s="105" t="s">
        <v>56</v>
      </c>
      <c r="E1289">
        <v>1</v>
      </c>
      <c r="F1289" s="1">
        <v>840</v>
      </c>
    </row>
    <row r="1290" spans="1:6" hidden="1" x14ac:dyDescent="0.3">
      <c r="A1290">
        <v>2025</v>
      </c>
      <c r="B1290">
        <v>4</v>
      </c>
      <c r="C1290" s="105" t="s">
        <v>40</v>
      </c>
      <c r="D1290" s="105" t="s">
        <v>57</v>
      </c>
      <c r="E1290">
        <v>3</v>
      </c>
      <c r="F1290" s="1">
        <v>1615</v>
      </c>
    </row>
    <row r="1291" spans="1:6" hidden="1" x14ac:dyDescent="0.3">
      <c r="A1291">
        <v>2025</v>
      </c>
      <c r="B1291">
        <v>4</v>
      </c>
      <c r="C1291" s="105" t="s">
        <v>40</v>
      </c>
      <c r="D1291" s="105" t="s">
        <v>49</v>
      </c>
      <c r="E1291">
        <v>4</v>
      </c>
      <c r="F1291" s="1">
        <v>2789</v>
      </c>
    </row>
    <row r="1292" spans="1:6" hidden="1" x14ac:dyDescent="0.3">
      <c r="A1292">
        <v>2025</v>
      </c>
      <c r="B1292">
        <v>4</v>
      </c>
      <c r="C1292" s="105" t="s">
        <v>40</v>
      </c>
      <c r="D1292" s="105" t="s">
        <v>53</v>
      </c>
      <c r="E1292">
        <v>27</v>
      </c>
      <c r="F1292" s="1">
        <v>25272</v>
      </c>
    </row>
    <row r="1293" spans="1:6" hidden="1" x14ac:dyDescent="0.3">
      <c r="A1293">
        <v>2025</v>
      </c>
      <c r="B1293">
        <v>4</v>
      </c>
      <c r="C1293" s="105" t="s">
        <v>40</v>
      </c>
      <c r="D1293" s="105" t="s">
        <v>35</v>
      </c>
      <c r="E1293">
        <v>71</v>
      </c>
      <c r="F1293" s="1">
        <v>59022</v>
      </c>
    </row>
    <row r="1294" spans="1:6" hidden="1" x14ac:dyDescent="0.3">
      <c r="A1294">
        <v>2025</v>
      </c>
      <c r="B1294">
        <v>4</v>
      </c>
      <c r="C1294" s="105" t="s">
        <v>40</v>
      </c>
      <c r="D1294" s="105" t="s">
        <v>36</v>
      </c>
      <c r="E1294">
        <v>59</v>
      </c>
      <c r="F1294" s="1">
        <v>53670</v>
      </c>
    </row>
    <row r="1295" spans="1:6" hidden="1" x14ac:dyDescent="0.3">
      <c r="A1295">
        <v>2025</v>
      </c>
      <c r="B1295">
        <v>4</v>
      </c>
      <c r="C1295" s="105" t="s">
        <v>40</v>
      </c>
      <c r="D1295" s="105" t="s">
        <v>37</v>
      </c>
      <c r="E1295">
        <v>122</v>
      </c>
      <c r="F1295" s="1">
        <v>115311.08</v>
      </c>
    </row>
    <row r="1296" spans="1:6" hidden="1" x14ac:dyDescent="0.3">
      <c r="A1296">
        <v>2025</v>
      </c>
      <c r="B1296">
        <v>5</v>
      </c>
      <c r="C1296" s="105" t="s">
        <v>41</v>
      </c>
      <c r="D1296" s="105" t="s">
        <v>7</v>
      </c>
      <c r="E1296">
        <v>69</v>
      </c>
      <c r="F1296" s="1">
        <v>59469</v>
      </c>
    </row>
    <row r="1297" spans="1:6" hidden="1" x14ac:dyDescent="0.3">
      <c r="A1297">
        <v>2025</v>
      </c>
      <c r="B1297">
        <v>5</v>
      </c>
      <c r="C1297" s="105" t="s">
        <v>41</v>
      </c>
      <c r="D1297" s="105" t="s">
        <v>8</v>
      </c>
      <c r="E1297">
        <v>60</v>
      </c>
      <c r="F1297" s="1">
        <v>63028</v>
      </c>
    </row>
    <row r="1298" spans="1:6" hidden="1" x14ac:dyDescent="0.3">
      <c r="A1298">
        <v>2025</v>
      </c>
      <c r="B1298">
        <v>5</v>
      </c>
      <c r="C1298" s="105" t="s">
        <v>41</v>
      </c>
      <c r="D1298" s="105" t="s">
        <v>9</v>
      </c>
      <c r="E1298">
        <v>28</v>
      </c>
      <c r="F1298" s="1">
        <v>20972</v>
      </c>
    </row>
    <row r="1299" spans="1:6" hidden="1" x14ac:dyDescent="0.3">
      <c r="A1299">
        <v>2025</v>
      </c>
      <c r="B1299">
        <v>5</v>
      </c>
      <c r="C1299" s="105" t="s">
        <v>41</v>
      </c>
      <c r="D1299" s="105" t="s">
        <v>10</v>
      </c>
      <c r="E1299">
        <v>104</v>
      </c>
      <c r="F1299" s="1">
        <v>99260.5</v>
      </c>
    </row>
    <row r="1300" spans="1:6" hidden="1" x14ac:dyDescent="0.3">
      <c r="A1300">
        <v>2025</v>
      </c>
      <c r="B1300">
        <v>5</v>
      </c>
      <c r="C1300" s="105" t="s">
        <v>41</v>
      </c>
      <c r="D1300" s="105" t="s">
        <v>11</v>
      </c>
      <c r="E1300">
        <v>70</v>
      </c>
      <c r="F1300" s="1">
        <v>57096</v>
      </c>
    </row>
    <row r="1301" spans="1:6" hidden="1" x14ac:dyDescent="0.3">
      <c r="A1301">
        <v>2025</v>
      </c>
      <c r="B1301">
        <v>5</v>
      </c>
      <c r="C1301" s="105" t="s">
        <v>41</v>
      </c>
      <c r="D1301" s="105" t="s">
        <v>12</v>
      </c>
      <c r="E1301">
        <v>60</v>
      </c>
      <c r="F1301" s="1">
        <v>49675.51</v>
      </c>
    </row>
    <row r="1302" spans="1:6" hidden="1" x14ac:dyDescent="0.3">
      <c r="A1302">
        <v>2025</v>
      </c>
      <c r="B1302">
        <v>5</v>
      </c>
      <c r="C1302" s="105" t="s">
        <v>41</v>
      </c>
      <c r="D1302" s="105" t="s">
        <v>13</v>
      </c>
      <c r="E1302">
        <v>106</v>
      </c>
      <c r="F1302" s="1">
        <v>82960.3</v>
      </c>
    </row>
    <row r="1303" spans="1:6" hidden="1" x14ac:dyDescent="0.3">
      <c r="A1303">
        <v>2025</v>
      </c>
      <c r="B1303">
        <v>5</v>
      </c>
      <c r="C1303" s="105" t="s">
        <v>41</v>
      </c>
      <c r="D1303" s="105" t="s">
        <v>14</v>
      </c>
      <c r="E1303">
        <v>79</v>
      </c>
      <c r="F1303" s="1">
        <v>104452</v>
      </c>
    </row>
    <row r="1304" spans="1:6" hidden="1" x14ac:dyDescent="0.3">
      <c r="A1304">
        <v>2025</v>
      </c>
      <c r="B1304">
        <v>5</v>
      </c>
      <c r="C1304" s="105" t="s">
        <v>41</v>
      </c>
      <c r="D1304" s="105" t="s">
        <v>15</v>
      </c>
      <c r="E1304">
        <v>36</v>
      </c>
      <c r="F1304" s="1">
        <v>26356</v>
      </c>
    </row>
    <row r="1305" spans="1:6" hidden="1" x14ac:dyDescent="0.3">
      <c r="A1305">
        <v>2025</v>
      </c>
      <c r="B1305">
        <v>5</v>
      </c>
      <c r="C1305" s="105" t="s">
        <v>41</v>
      </c>
      <c r="D1305" s="105" t="s">
        <v>16</v>
      </c>
      <c r="E1305">
        <v>27</v>
      </c>
      <c r="F1305" s="1">
        <v>20280</v>
      </c>
    </row>
    <row r="1306" spans="1:6" hidden="1" x14ac:dyDescent="0.3">
      <c r="A1306">
        <v>2025</v>
      </c>
      <c r="B1306">
        <v>5</v>
      </c>
      <c r="C1306" s="105" t="s">
        <v>41</v>
      </c>
      <c r="D1306" s="105" t="s">
        <v>54</v>
      </c>
      <c r="E1306">
        <v>5</v>
      </c>
      <c r="F1306" s="1">
        <v>3278</v>
      </c>
    </row>
    <row r="1307" spans="1:6" hidden="1" x14ac:dyDescent="0.3">
      <c r="A1307">
        <v>2025</v>
      </c>
      <c r="B1307">
        <v>5</v>
      </c>
      <c r="C1307" s="105" t="s">
        <v>41</v>
      </c>
      <c r="D1307" s="105" t="s">
        <v>17</v>
      </c>
      <c r="E1307">
        <v>158</v>
      </c>
      <c r="F1307" s="1">
        <v>137719</v>
      </c>
    </row>
    <row r="1308" spans="1:6" hidden="1" x14ac:dyDescent="0.3">
      <c r="A1308">
        <v>2025</v>
      </c>
      <c r="B1308">
        <v>5</v>
      </c>
      <c r="C1308" s="105" t="s">
        <v>41</v>
      </c>
      <c r="D1308" s="105" t="s">
        <v>18</v>
      </c>
      <c r="E1308">
        <v>204</v>
      </c>
      <c r="F1308" s="1">
        <v>185235.41</v>
      </c>
    </row>
    <row r="1309" spans="1:6" hidden="1" x14ac:dyDescent="0.3">
      <c r="A1309">
        <v>2025</v>
      </c>
      <c r="B1309">
        <v>5</v>
      </c>
      <c r="C1309" s="105" t="s">
        <v>41</v>
      </c>
      <c r="D1309" s="105" t="s">
        <v>50</v>
      </c>
      <c r="E1309">
        <v>19</v>
      </c>
      <c r="F1309" s="1">
        <v>16997</v>
      </c>
    </row>
    <row r="1310" spans="1:6" hidden="1" x14ac:dyDescent="0.3">
      <c r="A1310">
        <v>2025</v>
      </c>
      <c r="B1310">
        <v>5</v>
      </c>
      <c r="C1310" s="105" t="s">
        <v>41</v>
      </c>
      <c r="D1310" s="105" t="s">
        <v>55</v>
      </c>
      <c r="E1310">
        <v>6</v>
      </c>
      <c r="F1310" s="1">
        <v>4432</v>
      </c>
    </row>
    <row r="1311" spans="1:6" hidden="1" x14ac:dyDescent="0.3">
      <c r="A1311">
        <v>2025</v>
      </c>
      <c r="B1311">
        <v>5</v>
      </c>
      <c r="C1311" s="105" t="s">
        <v>41</v>
      </c>
      <c r="D1311" s="105" t="s">
        <v>19</v>
      </c>
      <c r="E1311">
        <v>41</v>
      </c>
      <c r="F1311" s="1">
        <v>35197</v>
      </c>
    </row>
    <row r="1312" spans="1:6" hidden="1" x14ac:dyDescent="0.3">
      <c r="A1312">
        <v>2025</v>
      </c>
      <c r="B1312">
        <v>5</v>
      </c>
      <c r="C1312" s="105" t="s">
        <v>41</v>
      </c>
      <c r="D1312" s="105" t="s">
        <v>20</v>
      </c>
      <c r="E1312">
        <v>45</v>
      </c>
      <c r="F1312" s="1">
        <v>38208.959999999999</v>
      </c>
    </row>
    <row r="1313" spans="1:6" hidden="1" x14ac:dyDescent="0.3">
      <c r="A1313">
        <v>2025</v>
      </c>
      <c r="B1313">
        <v>5</v>
      </c>
      <c r="C1313" s="105" t="s">
        <v>41</v>
      </c>
      <c r="D1313" s="105" t="s">
        <v>21</v>
      </c>
      <c r="E1313">
        <v>117</v>
      </c>
      <c r="F1313" s="1">
        <v>111256.7</v>
      </c>
    </row>
    <row r="1314" spans="1:6" x14ac:dyDescent="0.3">
      <c r="A1314">
        <v>2025</v>
      </c>
      <c r="B1314">
        <v>5</v>
      </c>
      <c r="C1314" s="105" t="s">
        <v>41</v>
      </c>
      <c r="D1314" s="105" t="s">
        <v>22</v>
      </c>
      <c r="E1314">
        <v>59</v>
      </c>
      <c r="F1314" s="1">
        <v>42124.23</v>
      </c>
    </row>
    <row r="1315" spans="1:6" hidden="1" x14ac:dyDescent="0.3">
      <c r="A1315">
        <v>2025</v>
      </c>
      <c r="B1315">
        <v>5</v>
      </c>
      <c r="C1315" s="105" t="s">
        <v>41</v>
      </c>
      <c r="D1315" s="105" t="s">
        <v>23</v>
      </c>
      <c r="E1315">
        <v>94</v>
      </c>
      <c r="F1315" s="1">
        <v>91419</v>
      </c>
    </row>
    <row r="1316" spans="1:6" hidden="1" x14ac:dyDescent="0.3">
      <c r="A1316">
        <v>2025</v>
      </c>
      <c r="B1316">
        <v>5</v>
      </c>
      <c r="C1316" s="105" t="s">
        <v>41</v>
      </c>
      <c r="D1316" s="105" t="s">
        <v>24</v>
      </c>
      <c r="E1316">
        <v>73</v>
      </c>
      <c r="F1316" s="1">
        <v>57457</v>
      </c>
    </row>
    <row r="1317" spans="1:6" hidden="1" x14ac:dyDescent="0.3">
      <c r="A1317">
        <v>2025</v>
      </c>
      <c r="B1317">
        <v>5</v>
      </c>
      <c r="C1317" s="105" t="s">
        <v>41</v>
      </c>
      <c r="D1317" s="105" t="s">
        <v>25</v>
      </c>
      <c r="E1317">
        <v>104</v>
      </c>
      <c r="F1317" s="1">
        <v>82929</v>
      </c>
    </row>
    <row r="1318" spans="1:6" hidden="1" x14ac:dyDescent="0.3">
      <c r="A1318">
        <v>2025</v>
      </c>
      <c r="B1318">
        <v>5</v>
      </c>
      <c r="C1318" s="105" t="s">
        <v>41</v>
      </c>
      <c r="D1318" s="105" t="s">
        <v>26</v>
      </c>
      <c r="E1318">
        <v>51</v>
      </c>
      <c r="F1318" s="1">
        <v>40777</v>
      </c>
    </row>
    <row r="1319" spans="1:6" hidden="1" x14ac:dyDescent="0.3">
      <c r="A1319">
        <v>2025</v>
      </c>
      <c r="B1319">
        <v>5</v>
      </c>
      <c r="C1319" s="105" t="s">
        <v>41</v>
      </c>
      <c r="D1319" s="105" t="s">
        <v>27</v>
      </c>
      <c r="E1319">
        <v>48</v>
      </c>
      <c r="F1319" s="1">
        <v>41897</v>
      </c>
    </row>
    <row r="1320" spans="1:6" hidden="1" x14ac:dyDescent="0.3">
      <c r="A1320">
        <v>2025</v>
      </c>
      <c r="B1320">
        <v>5</v>
      </c>
      <c r="C1320" s="105" t="s">
        <v>41</v>
      </c>
      <c r="D1320" s="105" t="s">
        <v>28</v>
      </c>
      <c r="E1320">
        <v>46</v>
      </c>
      <c r="F1320" s="1">
        <v>44128</v>
      </c>
    </row>
    <row r="1321" spans="1:6" hidden="1" x14ac:dyDescent="0.3">
      <c r="A1321">
        <v>2025</v>
      </c>
      <c r="B1321">
        <v>5</v>
      </c>
      <c r="C1321" s="105" t="s">
        <v>41</v>
      </c>
      <c r="D1321" s="105" t="s">
        <v>29</v>
      </c>
      <c r="E1321">
        <v>110</v>
      </c>
      <c r="F1321" s="1">
        <v>91176</v>
      </c>
    </row>
    <row r="1322" spans="1:6" hidden="1" x14ac:dyDescent="0.3">
      <c r="A1322">
        <v>2025</v>
      </c>
      <c r="B1322">
        <v>5</v>
      </c>
      <c r="C1322" s="105" t="s">
        <v>41</v>
      </c>
      <c r="D1322" s="105" t="s">
        <v>30</v>
      </c>
      <c r="E1322">
        <v>32</v>
      </c>
      <c r="F1322" s="1">
        <v>28322</v>
      </c>
    </row>
    <row r="1323" spans="1:6" hidden="1" x14ac:dyDescent="0.3">
      <c r="A1323">
        <v>2025</v>
      </c>
      <c r="B1323">
        <v>5</v>
      </c>
      <c r="C1323" s="105" t="s">
        <v>41</v>
      </c>
      <c r="D1323" s="105" t="s">
        <v>31</v>
      </c>
      <c r="E1323">
        <v>247</v>
      </c>
      <c r="F1323" s="1">
        <v>250487.63</v>
      </c>
    </row>
    <row r="1324" spans="1:6" hidden="1" x14ac:dyDescent="0.3">
      <c r="A1324">
        <v>2025</v>
      </c>
      <c r="B1324">
        <v>5</v>
      </c>
      <c r="C1324" s="105" t="s">
        <v>41</v>
      </c>
      <c r="D1324" s="105" t="s">
        <v>51</v>
      </c>
      <c r="E1324">
        <v>26</v>
      </c>
      <c r="F1324" s="1">
        <v>24107</v>
      </c>
    </row>
    <row r="1325" spans="1:6" hidden="1" x14ac:dyDescent="0.3">
      <c r="A1325">
        <v>2025</v>
      </c>
      <c r="B1325">
        <v>5</v>
      </c>
      <c r="C1325" s="105" t="s">
        <v>41</v>
      </c>
      <c r="D1325" s="105" t="s">
        <v>32</v>
      </c>
      <c r="E1325">
        <v>77</v>
      </c>
      <c r="F1325" s="1">
        <v>63333</v>
      </c>
    </row>
    <row r="1326" spans="1:6" hidden="1" x14ac:dyDescent="0.3">
      <c r="A1326">
        <v>2025</v>
      </c>
      <c r="B1326">
        <v>5</v>
      </c>
      <c r="C1326" s="105" t="s">
        <v>41</v>
      </c>
      <c r="D1326" s="105" t="s">
        <v>52</v>
      </c>
      <c r="E1326">
        <v>27</v>
      </c>
      <c r="F1326" s="1">
        <v>23164</v>
      </c>
    </row>
    <row r="1327" spans="1:6" hidden="1" x14ac:dyDescent="0.3">
      <c r="A1327">
        <v>2025</v>
      </c>
      <c r="B1327">
        <v>5</v>
      </c>
      <c r="C1327" s="105" t="s">
        <v>41</v>
      </c>
      <c r="D1327" s="105" t="s">
        <v>33</v>
      </c>
      <c r="E1327">
        <v>215</v>
      </c>
      <c r="F1327" s="1">
        <v>193761.95</v>
      </c>
    </row>
    <row r="1328" spans="1:6" hidden="1" x14ac:dyDescent="0.3">
      <c r="A1328">
        <v>2025</v>
      </c>
      <c r="B1328">
        <v>5</v>
      </c>
      <c r="C1328" s="105" t="s">
        <v>41</v>
      </c>
      <c r="D1328" s="105" t="s">
        <v>58</v>
      </c>
      <c r="E1328">
        <v>2</v>
      </c>
      <c r="F1328" s="1">
        <v>1628</v>
      </c>
    </row>
    <row r="1329" spans="1:6" hidden="1" x14ac:dyDescent="0.3">
      <c r="A1329">
        <v>2025</v>
      </c>
      <c r="B1329">
        <v>5</v>
      </c>
      <c r="C1329" s="105" t="s">
        <v>41</v>
      </c>
      <c r="D1329" s="105" t="s">
        <v>34</v>
      </c>
      <c r="E1329">
        <v>124</v>
      </c>
      <c r="F1329" s="1">
        <v>114298</v>
      </c>
    </row>
    <row r="1330" spans="1:6" hidden="1" x14ac:dyDescent="0.3">
      <c r="A1330">
        <v>2025</v>
      </c>
      <c r="B1330">
        <v>5</v>
      </c>
      <c r="C1330" s="105" t="s">
        <v>41</v>
      </c>
      <c r="D1330" s="105" t="s">
        <v>56</v>
      </c>
      <c r="E1330">
        <v>7</v>
      </c>
      <c r="F1330" s="1">
        <v>5445</v>
      </c>
    </row>
    <row r="1331" spans="1:6" hidden="1" x14ac:dyDescent="0.3">
      <c r="A1331">
        <v>2025</v>
      </c>
      <c r="B1331">
        <v>5</v>
      </c>
      <c r="C1331" s="105" t="s">
        <v>41</v>
      </c>
      <c r="D1331" s="105" t="s">
        <v>57</v>
      </c>
      <c r="E1331">
        <v>9</v>
      </c>
      <c r="F1331" s="1">
        <v>6245</v>
      </c>
    </row>
    <row r="1332" spans="1:6" hidden="1" x14ac:dyDescent="0.3">
      <c r="A1332">
        <v>2025</v>
      </c>
      <c r="B1332">
        <v>5</v>
      </c>
      <c r="C1332" s="105" t="s">
        <v>41</v>
      </c>
      <c r="D1332" s="105" t="s">
        <v>49</v>
      </c>
      <c r="E1332">
        <v>5</v>
      </c>
      <c r="F1332" s="1">
        <v>3292.99</v>
      </c>
    </row>
    <row r="1333" spans="1:6" hidden="1" x14ac:dyDescent="0.3">
      <c r="A1333">
        <v>2025</v>
      </c>
      <c r="B1333">
        <v>5</v>
      </c>
      <c r="C1333" s="105" t="s">
        <v>41</v>
      </c>
      <c r="D1333" s="105" t="s">
        <v>53</v>
      </c>
      <c r="E1333">
        <v>34</v>
      </c>
      <c r="F1333" s="1">
        <v>34965</v>
      </c>
    </row>
    <row r="1334" spans="1:6" hidden="1" x14ac:dyDescent="0.3">
      <c r="A1334">
        <v>2025</v>
      </c>
      <c r="B1334">
        <v>5</v>
      </c>
      <c r="C1334" s="105" t="s">
        <v>41</v>
      </c>
      <c r="D1334" s="105" t="s">
        <v>35</v>
      </c>
      <c r="E1334">
        <v>82</v>
      </c>
      <c r="F1334" s="1">
        <v>65849</v>
      </c>
    </row>
    <row r="1335" spans="1:6" hidden="1" x14ac:dyDescent="0.3">
      <c r="A1335">
        <v>2025</v>
      </c>
      <c r="B1335">
        <v>5</v>
      </c>
      <c r="C1335" s="105" t="s">
        <v>41</v>
      </c>
      <c r="D1335" s="105" t="s">
        <v>36</v>
      </c>
      <c r="E1335">
        <v>56</v>
      </c>
      <c r="F1335" s="1">
        <v>46312.87</v>
      </c>
    </row>
    <row r="1336" spans="1:6" hidden="1" x14ac:dyDescent="0.3">
      <c r="A1336">
        <v>2025</v>
      </c>
      <c r="B1336">
        <v>5</v>
      </c>
      <c r="C1336" s="105" t="s">
        <v>41</v>
      </c>
      <c r="D1336" s="105" t="s">
        <v>37</v>
      </c>
      <c r="E1336">
        <v>116</v>
      </c>
      <c r="F1336" s="1">
        <v>103567.47</v>
      </c>
    </row>
    <row r="1337" spans="1:6" hidden="1" x14ac:dyDescent="0.3">
      <c r="A1337">
        <v>2025</v>
      </c>
      <c r="B1337">
        <v>6</v>
      </c>
      <c r="C1337" s="105" t="s">
        <v>42</v>
      </c>
      <c r="D1337" s="105" t="s">
        <v>7</v>
      </c>
      <c r="E1337">
        <v>55</v>
      </c>
      <c r="F1337" s="1">
        <v>43774</v>
      </c>
    </row>
    <row r="1338" spans="1:6" hidden="1" x14ac:dyDescent="0.3">
      <c r="A1338">
        <v>2025</v>
      </c>
      <c r="B1338">
        <v>6</v>
      </c>
      <c r="C1338" s="105" t="s">
        <v>42</v>
      </c>
      <c r="D1338" s="105" t="s">
        <v>8</v>
      </c>
      <c r="E1338">
        <v>48</v>
      </c>
      <c r="F1338" s="1">
        <v>45154</v>
      </c>
    </row>
    <row r="1339" spans="1:6" hidden="1" x14ac:dyDescent="0.3">
      <c r="A1339">
        <v>2025</v>
      </c>
      <c r="B1339">
        <v>6</v>
      </c>
      <c r="C1339" s="105" t="s">
        <v>42</v>
      </c>
      <c r="D1339" s="105" t="s">
        <v>9</v>
      </c>
      <c r="E1339">
        <v>22</v>
      </c>
      <c r="F1339" s="1">
        <v>18156</v>
      </c>
    </row>
    <row r="1340" spans="1:6" hidden="1" x14ac:dyDescent="0.3">
      <c r="A1340">
        <v>2025</v>
      </c>
      <c r="B1340">
        <v>6</v>
      </c>
      <c r="C1340" s="105" t="s">
        <v>42</v>
      </c>
      <c r="D1340" s="105" t="s">
        <v>10</v>
      </c>
      <c r="E1340">
        <v>93</v>
      </c>
      <c r="F1340" s="1">
        <v>80273</v>
      </c>
    </row>
    <row r="1341" spans="1:6" hidden="1" x14ac:dyDescent="0.3">
      <c r="A1341">
        <v>2025</v>
      </c>
      <c r="B1341">
        <v>6</v>
      </c>
      <c r="C1341" s="105" t="s">
        <v>42</v>
      </c>
      <c r="D1341" s="105" t="s">
        <v>11</v>
      </c>
      <c r="E1341">
        <v>74</v>
      </c>
      <c r="F1341" s="1">
        <v>60948</v>
      </c>
    </row>
    <row r="1342" spans="1:6" hidden="1" x14ac:dyDescent="0.3">
      <c r="A1342">
        <v>2025</v>
      </c>
      <c r="B1342">
        <v>6</v>
      </c>
      <c r="C1342" s="105" t="s">
        <v>42</v>
      </c>
      <c r="D1342" s="105" t="s">
        <v>59</v>
      </c>
      <c r="E1342">
        <v>4</v>
      </c>
      <c r="F1342" s="1">
        <v>3933</v>
      </c>
    </row>
    <row r="1343" spans="1:6" hidden="1" x14ac:dyDescent="0.3">
      <c r="A1343">
        <v>2025</v>
      </c>
      <c r="B1343">
        <v>6</v>
      </c>
      <c r="C1343" s="105" t="s">
        <v>42</v>
      </c>
      <c r="D1343" s="105" t="s">
        <v>12</v>
      </c>
      <c r="E1343">
        <v>80</v>
      </c>
      <c r="F1343" s="1">
        <v>92082</v>
      </c>
    </row>
    <row r="1344" spans="1:6" hidden="1" x14ac:dyDescent="0.3">
      <c r="A1344">
        <v>2025</v>
      </c>
      <c r="B1344">
        <v>6</v>
      </c>
      <c r="C1344" s="105" t="s">
        <v>42</v>
      </c>
      <c r="D1344" s="105" t="s">
        <v>13</v>
      </c>
      <c r="E1344">
        <v>72</v>
      </c>
      <c r="F1344" s="1">
        <v>75615.899999999994</v>
      </c>
    </row>
    <row r="1345" spans="1:6" hidden="1" x14ac:dyDescent="0.3">
      <c r="A1345">
        <v>2025</v>
      </c>
      <c r="B1345">
        <v>6</v>
      </c>
      <c r="C1345" s="105" t="s">
        <v>42</v>
      </c>
      <c r="D1345" s="105" t="s">
        <v>14</v>
      </c>
      <c r="E1345">
        <v>74</v>
      </c>
      <c r="F1345" s="1">
        <v>56098.5</v>
      </c>
    </row>
    <row r="1346" spans="1:6" hidden="1" x14ac:dyDescent="0.3">
      <c r="A1346">
        <v>2025</v>
      </c>
      <c r="B1346">
        <v>6</v>
      </c>
      <c r="C1346" s="105" t="s">
        <v>42</v>
      </c>
      <c r="D1346" s="105" t="s">
        <v>15</v>
      </c>
      <c r="E1346">
        <v>34</v>
      </c>
      <c r="F1346" s="1">
        <v>29971</v>
      </c>
    </row>
    <row r="1347" spans="1:6" hidden="1" x14ac:dyDescent="0.3">
      <c r="A1347">
        <v>2025</v>
      </c>
      <c r="B1347">
        <v>6</v>
      </c>
      <c r="C1347" s="105" t="s">
        <v>42</v>
      </c>
      <c r="D1347" s="105" t="s">
        <v>16</v>
      </c>
      <c r="E1347">
        <v>35</v>
      </c>
      <c r="F1347" s="1">
        <v>26116</v>
      </c>
    </row>
    <row r="1348" spans="1:6" hidden="1" x14ac:dyDescent="0.3">
      <c r="A1348">
        <v>2025</v>
      </c>
      <c r="B1348">
        <v>6</v>
      </c>
      <c r="C1348" s="105" t="s">
        <v>42</v>
      </c>
      <c r="D1348" s="105" t="s">
        <v>54</v>
      </c>
      <c r="E1348">
        <v>8</v>
      </c>
      <c r="F1348" s="1">
        <v>6187</v>
      </c>
    </row>
    <row r="1349" spans="1:6" hidden="1" x14ac:dyDescent="0.3">
      <c r="A1349">
        <v>2025</v>
      </c>
      <c r="B1349">
        <v>6</v>
      </c>
      <c r="C1349" s="105" t="s">
        <v>42</v>
      </c>
      <c r="D1349" s="105" t="s">
        <v>17</v>
      </c>
      <c r="E1349">
        <v>174</v>
      </c>
      <c r="F1349" s="1">
        <v>148443</v>
      </c>
    </row>
    <row r="1350" spans="1:6" hidden="1" x14ac:dyDescent="0.3">
      <c r="A1350">
        <v>2025</v>
      </c>
      <c r="B1350">
        <v>6</v>
      </c>
      <c r="C1350" s="105" t="s">
        <v>42</v>
      </c>
      <c r="D1350" s="105" t="s">
        <v>18</v>
      </c>
      <c r="E1350">
        <v>198</v>
      </c>
      <c r="F1350" s="1">
        <v>176219.9</v>
      </c>
    </row>
    <row r="1351" spans="1:6" hidden="1" x14ac:dyDescent="0.3">
      <c r="A1351">
        <v>2025</v>
      </c>
      <c r="B1351">
        <v>6</v>
      </c>
      <c r="C1351" s="105" t="s">
        <v>42</v>
      </c>
      <c r="D1351" s="105" t="s">
        <v>50</v>
      </c>
      <c r="E1351">
        <v>15</v>
      </c>
      <c r="F1351" s="1">
        <v>11428</v>
      </c>
    </row>
    <row r="1352" spans="1:6" hidden="1" x14ac:dyDescent="0.3">
      <c r="A1352">
        <v>2025</v>
      </c>
      <c r="B1352">
        <v>6</v>
      </c>
      <c r="C1352" s="105" t="s">
        <v>42</v>
      </c>
      <c r="D1352" s="105" t="s">
        <v>55</v>
      </c>
      <c r="E1352">
        <v>6</v>
      </c>
      <c r="F1352" s="1">
        <v>5943</v>
      </c>
    </row>
    <row r="1353" spans="1:6" hidden="1" x14ac:dyDescent="0.3">
      <c r="A1353">
        <v>2025</v>
      </c>
      <c r="B1353">
        <v>6</v>
      </c>
      <c r="C1353" s="105" t="s">
        <v>42</v>
      </c>
      <c r="D1353" s="105" t="s">
        <v>19</v>
      </c>
      <c r="E1353">
        <v>39</v>
      </c>
      <c r="F1353" s="1">
        <v>27157.24</v>
      </c>
    </row>
    <row r="1354" spans="1:6" hidden="1" x14ac:dyDescent="0.3">
      <c r="A1354">
        <v>2025</v>
      </c>
      <c r="B1354">
        <v>6</v>
      </c>
      <c r="C1354" s="105" t="s">
        <v>42</v>
      </c>
      <c r="D1354" s="105" t="s">
        <v>20</v>
      </c>
      <c r="E1354">
        <v>81</v>
      </c>
      <c r="F1354" s="1">
        <v>70119</v>
      </c>
    </row>
    <row r="1355" spans="1:6" hidden="1" x14ac:dyDescent="0.3">
      <c r="A1355">
        <v>2025</v>
      </c>
      <c r="B1355">
        <v>6</v>
      </c>
      <c r="C1355" s="105" t="s">
        <v>42</v>
      </c>
      <c r="D1355" s="105" t="s">
        <v>21</v>
      </c>
      <c r="E1355">
        <v>113</v>
      </c>
      <c r="F1355" s="1">
        <v>96414</v>
      </c>
    </row>
    <row r="1356" spans="1:6" x14ac:dyDescent="0.3">
      <c r="A1356">
        <v>2025</v>
      </c>
      <c r="B1356">
        <v>6</v>
      </c>
      <c r="C1356" s="105" t="s">
        <v>42</v>
      </c>
      <c r="D1356" s="105" t="s">
        <v>22</v>
      </c>
      <c r="E1356">
        <v>67</v>
      </c>
      <c r="F1356" s="1">
        <v>46973</v>
      </c>
    </row>
    <row r="1357" spans="1:6" hidden="1" x14ac:dyDescent="0.3">
      <c r="A1357">
        <v>2025</v>
      </c>
      <c r="B1357">
        <v>6</v>
      </c>
      <c r="C1357" s="105" t="s">
        <v>42</v>
      </c>
      <c r="D1357" s="105" t="s">
        <v>23</v>
      </c>
      <c r="E1357">
        <v>87</v>
      </c>
      <c r="F1357" s="1">
        <v>89734.5</v>
      </c>
    </row>
    <row r="1358" spans="1:6" hidden="1" x14ac:dyDescent="0.3">
      <c r="A1358">
        <v>2025</v>
      </c>
      <c r="B1358">
        <v>6</v>
      </c>
      <c r="C1358" s="105" t="s">
        <v>42</v>
      </c>
      <c r="D1358" s="105" t="s">
        <v>24</v>
      </c>
      <c r="E1358">
        <v>56</v>
      </c>
      <c r="F1358" s="1">
        <v>41112.080000000002</v>
      </c>
    </row>
    <row r="1359" spans="1:6" hidden="1" x14ac:dyDescent="0.3">
      <c r="A1359">
        <v>2025</v>
      </c>
      <c r="B1359">
        <v>6</v>
      </c>
      <c r="C1359" s="105" t="s">
        <v>42</v>
      </c>
      <c r="D1359" s="105" t="s">
        <v>25</v>
      </c>
      <c r="E1359">
        <v>122</v>
      </c>
      <c r="F1359" s="1">
        <v>95991</v>
      </c>
    </row>
    <row r="1360" spans="1:6" hidden="1" x14ac:dyDescent="0.3">
      <c r="A1360">
        <v>2025</v>
      </c>
      <c r="B1360">
        <v>6</v>
      </c>
      <c r="C1360" s="105" t="s">
        <v>42</v>
      </c>
      <c r="D1360" s="105" t="s">
        <v>26</v>
      </c>
      <c r="E1360">
        <v>40</v>
      </c>
      <c r="F1360" s="1">
        <v>33571</v>
      </c>
    </row>
    <row r="1361" spans="1:6" hidden="1" x14ac:dyDescent="0.3">
      <c r="A1361">
        <v>2025</v>
      </c>
      <c r="B1361">
        <v>6</v>
      </c>
      <c r="C1361" s="105" t="s">
        <v>42</v>
      </c>
      <c r="D1361" s="105" t="s">
        <v>27</v>
      </c>
      <c r="E1361">
        <v>70</v>
      </c>
      <c r="F1361" s="1">
        <v>54912</v>
      </c>
    </row>
    <row r="1362" spans="1:6" hidden="1" x14ac:dyDescent="0.3">
      <c r="A1362">
        <v>2025</v>
      </c>
      <c r="B1362">
        <v>6</v>
      </c>
      <c r="C1362" s="105" t="s">
        <v>42</v>
      </c>
      <c r="D1362" s="105" t="s">
        <v>28</v>
      </c>
      <c r="E1362">
        <v>24</v>
      </c>
      <c r="F1362" s="1">
        <v>17658.5</v>
      </c>
    </row>
    <row r="1363" spans="1:6" hidden="1" x14ac:dyDescent="0.3">
      <c r="A1363">
        <v>2025</v>
      </c>
      <c r="B1363">
        <v>6</v>
      </c>
      <c r="C1363" s="105" t="s">
        <v>42</v>
      </c>
      <c r="D1363" s="105" t="s">
        <v>29</v>
      </c>
      <c r="E1363">
        <v>99</v>
      </c>
      <c r="F1363" s="1">
        <v>81485</v>
      </c>
    </row>
    <row r="1364" spans="1:6" hidden="1" x14ac:dyDescent="0.3">
      <c r="A1364">
        <v>2025</v>
      </c>
      <c r="B1364">
        <v>6</v>
      </c>
      <c r="C1364" s="105" t="s">
        <v>42</v>
      </c>
      <c r="D1364" s="105" t="s">
        <v>30</v>
      </c>
      <c r="E1364">
        <v>42</v>
      </c>
      <c r="F1364" s="1">
        <v>26411</v>
      </c>
    </row>
    <row r="1365" spans="1:6" hidden="1" x14ac:dyDescent="0.3">
      <c r="A1365">
        <v>2025</v>
      </c>
      <c r="B1365">
        <v>6</v>
      </c>
      <c r="C1365" s="105" t="s">
        <v>42</v>
      </c>
      <c r="D1365" s="105" t="s">
        <v>31</v>
      </c>
      <c r="E1365">
        <v>229</v>
      </c>
      <c r="F1365" s="1">
        <v>228949.48</v>
      </c>
    </row>
    <row r="1366" spans="1:6" hidden="1" x14ac:dyDescent="0.3">
      <c r="A1366">
        <v>2025</v>
      </c>
      <c r="B1366">
        <v>6</v>
      </c>
      <c r="C1366" s="105" t="s">
        <v>42</v>
      </c>
      <c r="D1366" s="105" t="s">
        <v>51</v>
      </c>
      <c r="E1366">
        <v>13</v>
      </c>
      <c r="F1366" s="1">
        <v>9758</v>
      </c>
    </row>
    <row r="1367" spans="1:6" hidden="1" x14ac:dyDescent="0.3">
      <c r="A1367">
        <v>2025</v>
      </c>
      <c r="B1367">
        <v>6</v>
      </c>
      <c r="C1367" s="105" t="s">
        <v>42</v>
      </c>
      <c r="D1367" s="105" t="s">
        <v>32</v>
      </c>
      <c r="E1367">
        <v>70</v>
      </c>
      <c r="F1367" s="1">
        <v>57363.15</v>
      </c>
    </row>
    <row r="1368" spans="1:6" hidden="1" x14ac:dyDescent="0.3">
      <c r="A1368">
        <v>2025</v>
      </c>
      <c r="B1368">
        <v>6</v>
      </c>
      <c r="C1368" s="105" t="s">
        <v>42</v>
      </c>
      <c r="D1368" s="105" t="s">
        <v>52</v>
      </c>
      <c r="E1368">
        <v>39</v>
      </c>
      <c r="F1368" s="1">
        <v>32713</v>
      </c>
    </row>
    <row r="1369" spans="1:6" hidden="1" x14ac:dyDescent="0.3">
      <c r="A1369">
        <v>2025</v>
      </c>
      <c r="B1369">
        <v>6</v>
      </c>
      <c r="C1369" s="105" t="s">
        <v>42</v>
      </c>
      <c r="D1369" s="105" t="s">
        <v>33</v>
      </c>
      <c r="E1369">
        <v>174</v>
      </c>
      <c r="F1369" s="1">
        <v>164357.63</v>
      </c>
    </row>
    <row r="1370" spans="1:6" hidden="1" x14ac:dyDescent="0.3">
      <c r="A1370">
        <v>2025</v>
      </c>
      <c r="B1370">
        <v>6</v>
      </c>
      <c r="C1370" s="105" t="s">
        <v>42</v>
      </c>
      <c r="D1370" s="105" t="s">
        <v>58</v>
      </c>
      <c r="E1370">
        <v>12</v>
      </c>
      <c r="F1370" s="1">
        <v>9721</v>
      </c>
    </row>
    <row r="1371" spans="1:6" hidden="1" x14ac:dyDescent="0.3">
      <c r="A1371">
        <v>2025</v>
      </c>
      <c r="B1371">
        <v>6</v>
      </c>
      <c r="C1371" s="105" t="s">
        <v>42</v>
      </c>
      <c r="D1371" s="105" t="s">
        <v>34</v>
      </c>
      <c r="E1371">
        <v>121</v>
      </c>
      <c r="F1371" s="1">
        <v>99112.5</v>
      </c>
    </row>
    <row r="1372" spans="1:6" hidden="1" x14ac:dyDescent="0.3">
      <c r="A1372">
        <v>2025</v>
      </c>
      <c r="B1372">
        <v>6</v>
      </c>
      <c r="C1372" s="105" t="s">
        <v>42</v>
      </c>
      <c r="D1372" s="105" t="s">
        <v>56</v>
      </c>
      <c r="E1372">
        <v>3</v>
      </c>
      <c r="F1372" s="1">
        <v>1179.99</v>
      </c>
    </row>
    <row r="1373" spans="1:6" hidden="1" x14ac:dyDescent="0.3">
      <c r="A1373">
        <v>2025</v>
      </c>
      <c r="B1373">
        <v>6</v>
      </c>
      <c r="C1373" s="105" t="s">
        <v>42</v>
      </c>
      <c r="D1373" s="105" t="s">
        <v>57</v>
      </c>
      <c r="E1373">
        <v>13</v>
      </c>
      <c r="F1373" s="1">
        <v>9310</v>
      </c>
    </row>
    <row r="1374" spans="1:6" hidden="1" x14ac:dyDescent="0.3">
      <c r="A1374">
        <v>2025</v>
      </c>
      <c r="B1374">
        <v>6</v>
      </c>
      <c r="C1374" s="105" t="s">
        <v>42</v>
      </c>
      <c r="D1374" s="105" t="s">
        <v>49</v>
      </c>
      <c r="E1374">
        <v>8</v>
      </c>
      <c r="F1374" s="1">
        <v>5741.88</v>
      </c>
    </row>
    <row r="1375" spans="1:6" hidden="1" x14ac:dyDescent="0.3">
      <c r="A1375">
        <v>2025</v>
      </c>
      <c r="B1375">
        <v>6</v>
      </c>
      <c r="C1375" s="105" t="s">
        <v>42</v>
      </c>
      <c r="D1375" s="105" t="s">
        <v>53</v>
      </c>
      <c r="E1375">
        <v>34</v>
      </c>
      <c r="F1375" s="1">
        <v>30832</v>
      </c>
    </row>
    <row r="1376" spans="1:6" hidden="1" x14ac:dyDescent="0.3">
      <c r="A1376">
        <v>2025</v>
      </c>
      <c r="B1376">
        <v>6</v>
      </c>
      <c r="C1376" s="105" t="s">
        <v>42</v>
      </c>
      <c r="D1376" s="105" t="s">
        <v>35</v>
      </c>
      <c r="E1376">
        <v>77</v>
      </c>
      <c r="F1376" s="1">
        <v>62099</v>
      </c>
    </row>
    <row r="1377" spans="1:6" hidden="1" x14ac:dyDescent="0.3">
      <c r="A1377">
        <v>2025</v>
      </c>
      <c r="B1377">
        <v>6</v>
      </c>
      <c r="C1377" s="105" t="s">
        <v>42</v>
      </c>
      <c r="D1377" s="105" t="s">
        <v>36</v>
      </c>
      <c r="E1377">
        <v>50</v>
      </c>
      <c r="F1377" s="1">
        <v>38030</v>
      </c>
    </row>
    <row r="1378" spans="1:6" hidden="1" x14ac:dyDescent="0.3">
      <c r="A1378">
        <v>2025</v>
      </c>
      <c r="B1378">
        <v>6</v>
      </c>
      <c r="C1378" s="105" t="s">
        <v>42</v>
      </c>
      <c r="D1378" s="105" t="s">
        <v>37</v>
      </c>
      <c r="E1378">
        <v>96</v>
      </c>
      <c r="F1378" s="1">
        <v>88885.52</v>
      </c>
    </row>
    <row r="1379" spans="1:6" hidden="1" x14ac:dyDescent="0.3">
      <c r="A1379">
        <v>2025</v>
      </c>
      <c r="B1379">
        <v>7</v>
      </c>
      <c r="C1379" s="105" t="s">
        <v>43</v>
      </c>
      <c r="D1379" s="105" t="s">
        <v>7</v>
      </c>
      <c r="E1379">
        <v>76</v>
      </c>
      <c r="F1379" s="1">
        <v>62442.55</v>
      </c>
    </row>
    <row r="1380" spans="1:6" hidden="1" x14ac:dyDescent="0.3">
      <c r="A1380">
        <v>2025</v>
      </c>
      <c r="B1380">
        <v>7</v>
      </c>
      <c r="C1380" s="105" t="s">
        <v>43</v>
      </c>
      <c r="D1380" s="105" t="s">
        <v>8</v>
      </c>
      <c r="E1380">
        <v>49</v>
      </c>
      <c r="F1380" s="1">
        <v>36966</v>
      </c>
    </row>
    <row r="1381" spans="1:6" hidden="1" x14ac:dyDescent="0.3">
      <c r="A1381">
        <v>2025</v>
      </c>
      <c r="B1381">
        <v>7</v>
      </c>
      <c r="C1381" s="105" t="s">
        <v>43</v>
      </c>
      <c r="D1381" s="105" t="s">
        <v>9</v>
      </c>
      <c r="E1381">
        <v>29</v>
      </c>
      <c r="F1381" s="1">
        <v>20158</v>
      </c>
    </row>
    <row r="1382" spans="1:6" hidden="1" x14ac:dyDescent="0.3">
      <c r="A1382">
        <v>2025</v>
      </c>
      <c r="B1382">
        <v>7</v>
      </c>
      <c r="C1382" s="105" t="s">
        <v>43</v>
      </c>
      <c r="D1382" s="105" t="s">
        <v>10</v>
      </c>
      <c r="E1382">
        <v>132</v>
      </c>
      <c r="F1382" s="1">
        <v>117578</v>
      </c>
    </row>
    <row r="1383" spans="1:6" hidden="1" x14ac:dyDescent="0.3">
      <c r="A1383">
        <v>2025</v>
      </c>
      <c r="B1383">
        <v>7</v>
      </c>
      <c r="C1383" s="105" t="s">
        <v>43</v>
      </c>
      <c r="D1383" s="105" t="s">
        <v>11</v>
      </c>
      <c r="E1383">
        <v>87</v>
      </c>
      <c r="F1383" s="1">
        <v>71969</v>
      </c>
    </row>
    <row r="1384" spans="1:6" hidden="1" x14ac:dyDescent="0.3">
      <c r="A1384">
        <v>2025</v>
      </c>
      <c r="B1384">
        <v>7</v>
      </c>
      <c r="C1384" s="105" t="s">
        <v>43</v>
      </c>
      <c r="D1384" s="105" t="s">
        <v>59</v>
      </c>
      <c r="E1384">
        <v>20</v>
      </c>
      <c r="F1384" s="1">
        <v>15430</v>
      </c>
    </row>
    <row r="1385" spans="1:6" hidden="1" x14ac:dyDescent="0.3">
      <c r="A1385">
        <v>2025</v>
      </c>
      <c r="B1385">
        <v>7</v>
      </c>
      <c r="C1385" s="105" t="s">
        <v>43</v>
      </c>
      <c r="D1385" s="105" t="s">
        <v>12</v>
      </c>
      <c r="E1385">
        <v>89</v>
      </c>
      <c r="F1385" s="1">
        <v>84732</v>
      </c>
    </row>
    <row r="1386" spans="1:6" hidden="1" x14ac:dyDescent="0.3">
      <c r="A1386">
        <v>2025</v>
      </c>
      <c r="B1386">
        <v>7</v>
      </c>
      <c r="C1386" s="105" t="s">
        <v>43</v>
      </c>
      <c r="D1386" s="105" t="s">
        <v>13</v>
      </c>
      <c r="E1386">
        <v>137</v>
      </c>
      <c r="F1386" s="1">
        <v>152248</v>
      </c>
    </row>
    <row r="1387" spans="1:6" hidden="1" x14ac:dyDescent="0.3">
      <c r="A1387">
        <v>2025</v>
      </c>
      <c r="B1387">
        <v>7</v>
      </c>
      <c r="C1387" s="105" t="s">
        <v>43</v>
      </c>
      <c r="D1387" s="105" t="s">
        <v>14</v>
      </c>
      <c r="E1387">
        <v>75</v>
      </c>
      <c r="F1387" s="1">
        <v>51502</v>
      </c>
    </row>
    <row r="1388" spans="1:6" hidden="1" x14ac:dyDescent="0.3">
      <c r="A1388">
        <v>2025</v>
      </c>
      <c r="B1388">
        <v>7</v>
      </c>
      <c r="C1388" s="105" t="s">
        <v>43</v>
      </c>
      <c r="D1388" s="105" t="s">
        <v>15</v>
      </c>
      <c r="E1388">
        <v>43</v>
      </c>
      <c r="F1388" s="1">
        <v>33095</v>
      </c>
    </row>
    <row r="1389" spans="1:6" hidden="1" x14ac:dyDescent="0.3">
      <c r="A1389">
        <v>2025</v>
      </c>
      <c r="B1389">
        <v>7</v>
      </c>
      <c r="C1389" s="105" t="s">
        <v>43</v>
      </c>
      <c r="D1389" s="105" t="s">
        <v>16</v>
      </c>
      <c r="E1389">
        <v>46</v>
      </c>
      <c r="F1389" s="1">
        <v>28623</v>
      </c>
    </row>
    <row r="1390" spans="1:6" hidden="1" x14ac:dyDescent="0.3">
      <c r="A1390">
        <v>2025</v>
      </c>
      <c r="B1390">
        <v>7</v>
      </c>
      <c r="C1390" s="105" t="s">
        <v>43</v>
      </c>
      <c r="D1390" s="105" t="s">
        <v>54</v>
      </c>
      <c r="E1390">
        <v>6</v>
      </c>
      <c r="F1390" s="1">
        <v>4018</v>
      </c>
    </row>
    <row r="1391" spans="1:6" hidden="1" x14ac:dyDescent="0.3">
      <c r="A1391">
        <v>2025</v>
      </c>
      <c r="B1391">
        <v>7</v>
      </c>
      <c r="C1391" s="105" t="s">
        <v>43</v>
      </c>
      <c r="D1391" s="105" t="s">
        <v>17</v>
      </c>
      <c r="E1391">
        <v>250</v>
      </c>
      <c r="F1391" s="1">
        <v>190309</v>
      </c>
    </row>
    <row r="1392" spans="1:6" hidden="1" x14ac:dyDescent="0.3">
      <c r="A1392">
        <v>2025</v>
      </c>
      <c r="B1392">
        <v>7</v>
      </c>
      <c r="C1392" s="105" t="s">
        <v>43</v>
      </c>
      <c r="D1392" s="105" t="s">
        <v>18</v>
      </c>
      <c r="E1392">
        <v>255</v>
      </c>
      <c r="F1392" s="1">
        <v>208071</v>
      </c>
    </row>
    <row r="1393" spans="1:6" hidden="1" x14ac:dyDescent="0.3">
      <c r="A1393">
        <v>2025</v>
      </c>
      <c r="B1393">
        <v>7</v>
      </c>
      <c r="C1393" s="105" t="s">
        <v>43</v>
      </c>
      <c r="D1393" s="105" t="s">
        <v>50</v>
      </c>
      <c r="E1393">
        <v>28</v>
      </c>
      <c r="F1393" s="1">
        <v>22228</v>
      </c>
    </row>
    <row r="1394" spans="1:6" hidden="1" x14ac:dyDescent="0.3">
      <c r="A1394">
        <v>2025</v>
      </c>
      <c r="B1394">
        <v>7</v>
      </c>
      <c r="C1394" s="105" t="s">
        <v>43</v>
      </c>
      <c r="D1394" s="105" t="s">
        <v>55</v>
      </c>
      <c r="E1394">
        <v>7</v>
      </c>
      <c r="F1394" s="1">
        <v>5499</v>
      </c>
    </row>
    <row r="1395" spans="1:6" hidden="1" x14ac:dyDescent="0.3">
      <c r="A1395">
        <v>2025</v>
      </c>
      <c r="B1395">
        <v>7</v>
      </c>
      <c r="C1395" s="105" t="s">
        <v>43</v>
      </c>
      <c r="D1395" s="105" t="s">
        <v>19</v>
      </c>
      <c r="E1395">
        <v>32</v>
      </c>
      <c r="F1395" s="1">
        <v>22809</v>
      </c>
    </row>
    <row r="1396" spans="1:6" hidden="1" x14ac:dyDescent="0.3">
      <c r="A1396">
        <v>2025</v>
      </c>
      <c r="B1396">
        <v>7</v>
      </c>
      <c r="C1396" s="105" t="s">
        <v>43</v>
      </c>
      <c r="D1396" s="105" t="s">
        <v>20</v>
      </c>
      <c r="E1396">
        <v>67</v>
      </c>
      <c r="F1396" s="1">
        <v>67751.759999999995</v>
      </c>
    </row>
    <row r="1397" spans="1:6" hidden="1" x14ac:dyDescent="0.3">
      <c r="A1397">
        <v>2025</v>
      </c>
      <c r="B1397">
        <v>7</v>
      </c>
      <c r="C1397" s="105" t="s">
        <v>43</v>
      </c>
      <c r="D1397" s="105" t="s">
        <v>21</v>
      </c>
      <c r="E1397">
        <v>182</v>
      </c>
      <c r="F1397" s="1">
        <v>165632</v>
      </c>
    </row>
    <row r="1398" spans="1:6" x14ac:dyDescent="0.3">
      <c r="A1398">
        <v>2025</v>
      </c>
      <c r="B1398">
        <v>7</v>
      </c>
      <c r="C1398" s="105" t="s">
        <v>43</v>
      </c>
      <c r="D1398" s="105" t="s">
        <v>22</v>
      </c>
      <c r="E1398">
        <v>73</v>
      </c>
      <c r="F1398" s="1">
        <v>50408</v>
      </c>
    </row>
    <row r="1399" spans="1:6" hidden="1" x14ac:dyDescent="0.3">
      <c r="A1399">
        <v>2025</v>
      </c>
      <c r="B1399">
        <v>7</v>
      </c>
      <c r="C1399" s="105" t="s">
        <v>43</v>
      </c>
      <c r="D1399" s="105" t="s">
        <v>23</v>
      </c>
      <c r="E1399">
        <v>114</v>
      </c>
      <c r="F1399" s="1">
        <v>91593.41</v>
      </c>
    </row>
    <row r="1400" spans="1:6" hidden="1" x14ac:dyDescent="0.3">
      <c r="A1400">
        <v>2025</v>
      </c>
      <c r="B1400">
        <v>7</v>
      </c>
      <c r="C1400" s="105" t="s">
        <v>43</v>
      </c>
      <c r="D1400" s="105" t="s">
        <v>24</v>
      </c>
      <c r="E1400">
        <v>70</v>
      </c>
      <c r="F1400" s="1">
        <v>51110</v>
      </c>
    </row>
    <row r="1401" spans="1:6" hidden="1" x14ac:dyDescent="0.3">
      <c r="A1401">
        <v>2025</v>
      </c>
      <c r="B1401">
        <v>7</v>
      </c>
      <c r="C1401" s="105" t="s">
        <v>43</v>
      </c>
      <c r="D1401" s="105" t="s">
        <v>25</v>
      </c>
      <c r="E1401">
        <v>151</v>
      </c>
      <c r="F1401" s="1">
        <v>121142.6</v>
      </c>
    </row>
    <row r="1402" spans="1:6" hidden="1" x14ac:dyDescent="0.3">
      <c r="A1402">
        <v>2025</v>
      </c>
      <c r="B1402">
        <v>7</v>
      </c>
      <c r="C1402" s="105" t="s">
        <v>43</v>
      </c>
      <c r="D1402" s="105" t="s">
        <v>26</v>
      </c>
      <c r="E1402">
        <v>49</v>
      </c>
      <c r="F1402" s="1">
        <v>36003.19</v>
      </c>
    </row>
    <row r="1403" spans="1:6" hidden="1" x14ac:dyDescent="0.3">
      <c r="A1403">
        <v>2025</v>
      </c>
      <c r="B1403">
        <v>7</v>
      </c>
      <c r="C1403" s="105" t="s">
        <v>43</v>
      </c>
      <c r="D1403" s="105" t="s">
        <v>27</v>
      </c>
      <c r="E1403">
        <v>47</v>
      </c>
      <c r="F1403" s="1">
        <v>37927</v>
      </c>
    </row>
    <row r="1404" spans="1:6" hidden="1" x14ac:dyDescent="0.3">
      <c r="A1404">
        <v>2025</v>
      </c>
      <c r="B1404">
        <v>7</v>
      </c>
      <c r="C1404" s="105" t="s">
        <v>43</v>
      </c>
      <c r="D1404" s="105" t="s">
        <v>28</v>
      </c>
      <c r="E1404">
        <v>21</v>
      </c>
      <c r="F1404" s="1">
        <v>19573</v>
      </c>
    </row>
    <row r="1405" spans="1:6" hidden="1" x14ac:dyDescent="0.3">
      <c r="A1405">
        <v>2025</v>
      </c>
      <c r="B1405">
        <v>7</v>
      </c>
      <c r="C1405" s="105" t="s">
        <v>43</v>
      </c>
      <c r="D1405" s="105" t="s">
        <v>29</v>
      </c>
      <c r="E1405">
        <v>181</v>
      </c>
      <c r="F1405" s="1">
        <v>145706.62</v>
      </c>
    </row>
    <row r="1406" spans="1:6" hidden="1" x14ac:dyDescent="0.3">
      <c r="A1406">
        <v>2025</v>
      </c>
      <c r="B1406">
        <v>7</v>
      </c>
      <c r="C1406" s="105" t="s">
        <v>43</v>
      </c>
      <c r="D1406" s="105" t="s">
        <v>30</v>
      </c>
      <c r="E1406">
        <v>42</v>
      </c>
      <c r="F1406" s="1">
        <v>27545</v>
      </c>
    </row>
    <row r="1407" spans="1:6" hidden="1" x14ac:dyDescent="0.3">
      <c r="A1407">
        <v>2025</v>
      </c>
      <c r="B1407">
        <v>7</v>
      </c>
      <c r="C1407" s="105" t="s">
        <v>43</v>
      </c>
      <c r="D1407" s="105" t="s">
        <v>31</v>
      </c>
      <c r="E1407">
        <v>269</v>
      </c>
      <c r="F1407" s="1">
        <v>238157.14</v>
      </c>
    </row>
    <row r="1408" spans="1:6" hidden="1" x14ac:dyDescent="0.3">
      <c r="A1408">
        <v>2025</v>
      </c>
      <c r="B1408">
        <v>7</v>
      </c>
      <c r="C1408" s="105" t="s">
        <v>43</v>
      </c>
      <c r="D1408" s="105" t="s">
        <v>51</v>
      </c>
      <c r="E1408">
        <v>26</v>
      </c>
      <c r="F1408" s="1">
        <v>18900</v>
      </c>
    </row>
    <row r="1409" spans="1:6" hidden="1" x14ac:dyDescent="0.3">
      <c r="A1409">
        <v>2025</v>
      </c>
      <c r="B1409">
        <v>7</v>
      </c>
      <c r="C1409" s="105" t="s">
        <v>43</v>
      </c>
      <c r="D1409" s="105" t="s">
        <v>32</v>
      </c>
      <c r="E1409">
        <v>98</v>
      </c>
      <c r="F1409" s="1">
        <v>76788.990000000005</v>
      </c>
    </row>
    <row r="1410" spans="1:6" hidden="1" x14ac:dyDescent="0.3">
      <c r="A1410">
        <v>2025</v>
      </c>
      <c r="B1410">
        <v>7</v>
      </c>
      <c r="C1410" s="105" t="s">
        <v>43</v>
      </c>
      <c r="D1410" s="105" t="s">
        <v>52</v>
      </c>
      <c r="E1410">
        <v>31</v>
      </c>
      <c r="F1410" s="1">
        <v>32412</v>
      </c>
    </row>
    <row r="1411" spans="1:6" hidden="1" x14ac:dyDescent="0.3">
      <c r="A1411">
        <v>2025</v>
      </c>
      <c r="B1411">
        <v>7</v>
      </c>
      <c r="C1411" s="105" t="s">
        <v>43</v>
      </c>
      <c r="D1411" s="105" t="s">
        <v>33</v>
      </c>
      <c r="E1411">
        <v>307</v>
      </c>
      <c r="F1411" s="1">
        <v>259269.25</v>
      </c>
    </row>
    <row r="1412" spans="1:6" hidden="1" x14ac:dyDescent="0.3">
      <c r="A1412">
        <v>2025</v>
      </c>
      <c r="B1412">
        <v>7</v>
      </c>
      <c r="C1412" s="105" t="s">
        <v>43</v>
      </c>
      <c r="D1412" s="105" t="s">
        <v>58</v>
      </c>
      <c r="E1412">
        <v>19</v>
      </c>
      <c r="F1412" s="1">
        <v>12929</v>
      </c>
    </row>
    <row r="1413" spans="1:6" hidden="1" x14ac:dyDescent="0.3">
      <c r="A1413">
        <v>2025</v>
      </c>
      <c r="B1413">
        <v>7</v>
      </c>
      <c r="C1413" s="105" t="s">
        <v>43</v>
      </c>
      <c r="D1413" s="105" t="s">
        <v>34</v>
      </c>
      <c r="E1413">
        <v>110</v>
      </c>
      <c r="F1413" s="1">
        <v>92806</v>
      </c>
    </row>
    <row r="1414" spans="1:6" hidden="1" x14ac:dyDescent="0.3">
      <c r="A1414">
        <v>2025</v>
      </c>
      <c r="B1414">
        <v>7</v>
      </c>
      <c r="C1414" s="105" t="s">
        <v>43</v>
      </c>
      <c r="D1414" s="105" t="s">
        <v>56</v>
      </c>
      <c r="E1414">
        <v>17</v>
      </c>
      <c r="F1414" s="1">
        <v>12841</v>
      </c>
    </row>
    <row r="1415" spans="1:6" hidden="1" x14ac:dyDescent="0.3">
      <c r="A1415">
        <v>2025</v>
      </c>
      <c r="B1415">
        <v>7</v>
      </c>
      <c r="C1415" s="105" t="s">
        <v>43</v>
      </c>
      <c r="D1415" s="105" t="s">
        <v>57</v>
      </c>
      <c r="E1415">
        <v>23</v>
      </c>
      <c r="F1415" s="1">
        <v>15255</v>
      </c>
    </row>
    <row r="1416" spans="1:6" hidden="1" x14ac:dyDescent="0.3">
      <c r="A1416">
        <v>2025</v>
      </c>
      <c r="B1416">
        <v>7</v>
      </c>
      <c r="C1416" s="105" t="s">
        <v>43</v>
      </c>
      <c r="D1416" s="105" t="s">
        <v>49</v>
      </c>
      <c r="E1416">
        <v>10</v>
      </c>
      <c r="F1416" s="1">
        <v>7095</v>
      </c>
    </row>
    <row r="1417" spans="1:6" hidden="1" x14ac:dyDescent="0.3">
      <c r="A1417">
        <v>2025</v>
      </c>
      <c r="B1417">
        <v>7</v>
      </c>
      <c r="C1417" s="105" t="s">
        <v>43</v>
      </c>
      <c r="D1417" s="105" t="s">
        <v>53</v>
      </c>
      <c r="E1417">
        <v>38</v>
      </c>
      <c r="F1417" s="1">
        <v>34085</v>
      </c>
    </row>
    <row r="1418" spans="1:6" hidden="1" x14ac:dyDescent="0.3">
      <c r="A1418">
        <v>2025</v>
      </c>
      <c r="B1418">
        <v>7</v>
      </c>
      <c r="C1418" s="105" t="s">
        <v>43</v>
      </c>
      <c r="D1418" s="105" t="s">
        <v>35</v>
      </c>
      <c r="E1418">
        <v>116</v>
      </c>
      <c r="F1418" s="1">
        <v>95031</v>
      </c>
    </row>
    <row r="1419" spans="1:6" hidden="1" x14ac:dyDescent="0.3">
      <c r="A1419">
        <v>2025</v>
      </c>
      <c r="B1419">
        <v>7</v>
      </c>
      <c r="C1419" s="105" t="s">
        <v>43</v>
      </c>
      <c r="D1419" s="105" t="s">
        <v>36</v>
      </c>
      <c r="E1419">
        <v>44</v>
      </c>
      <c r="F1419" s="1">
        <v>33956</v>
      </c>
    </row>
    <row r="1420" spans="1:6" hidden="1" x14ac:dyDescent="0.3">
      <c r="A1420">
        <v>2025</v>
      </c>
      <c r="B1420">
        <v>7</v>
      </c>
      <c r="C1420" s="105" t="s">
        <v>43</v>
      </c>
      <c r="D1420" s="105" t="s">
        <v>37</v>
      </c>
      <c r="E1420">
        <v>138</v>
      </c>
      <c r="F1420" s="1">
        <v>111246</v>
      </c>
    </row>
    <row r="1421" spans="1:6" hidden="1" x14ac:dyDescent="0.3">
      <c r="A1421">
        <v>2025</v>
      </c>
      <c r="B1421">
        <v>8</v>
      </c>
      <c r="C1421" s="105" t="s">
        <v>44</v>
      </c>
      <c r="D1421" s="105" t="s">
        <v>7</v>
      </c>
      <c r="E1421">
        <v>109</v>
      </c>
      <c r="F1421" s="1">
        <v>84372</v>
      </c>
    </row>
    <row r="1422" spans="1:6" hidden="1" x14ac:dyDescent="0.3">
      <c r="A1422">
        <v>2025</v>
      </c>
      <c r="B1422">
        <v>8</v>
      </c>
      <c r="C1422" s="105" t="s">
        <v>44</v>
      </c>
      <c r="D1422" s="105" t="s">
        <v>8</v>
      </c>
      <c r="E1422">
        <v>40</v>
      </c>
      <c r="F1422" s="1">
        <v>26225</v>
      </c>
    </row>
    <row r="1423" spans="1:6" hidden="1" x14ac:dyDescent="0.3">
      <c r="A1423">
        <v>2025</v>
      </c>
      <c r="B1423">
        <v>8</v>
      </c>
      <c r="C1423" s="105" t="s">
        <v>44</v>
      </c>
      <c r="D1423" s="105" t="s">
        <v>9</v>
      </c>
      <c r="E1423">
        <v>34</v>
      </c>
      <c r="F1423" s="1">
        <v>24615</v>
      </c>
    </row>
    <row r="1424" spans="1:6" hidden="1" x14ac:dyDescent="0.3">
      <c r="A1424">
        <v>2025</v>
      </c>
      <c r="B1424">
        <v>8</v>
      </c>
      <c r="C1424" s="105" t="s">
        <v>44</v>
      </c>
      <c r="D1424" s="105" t="s">
        <v>10</v>
      </c>
      <c r="E1424">
        <v>167</v>
      </c>
      <c r="F1424" s="1">
        <v>141796</v>
      </c>
    </row>
    <row r="1425" spans="1:6" hidden="1" x14ac:dyDescent="0.3">
      <c r="A1425">
        <v>2025</v>
      </c>
      <c r="B1425">
        <v>8</v>
      </c>
      <c r="C1425" s="105" t="s">
        <v>44</v>
      </c>
      <c r="D1425" s="105" t="s">
        <v>11</v>
      </c>
      <c r="E1425">
        <v>137</v>
      </c>
      <c r="F1425" s="1">
        <v>112532.75</v>
      </c>
    </row>
    <row r="1426" spans="1:6" hidden="1" x14ac:dyDescent="0.3">
      <c r="A1426">
        <v>2025</v>
      </c>
      <c r="B1426">
        <v>8</v>
      </c>
      <c r="C1426" s="105" t="s">
        <v>44</v>
      </c>
      <c r="D1426" s="105" t="s">
        <v>59</v>
      </c>
      <c r="E1426">
        <v>14</v>
      </c>
      <c r="F1426" s="1">
        <v>11481</v>
      </c>
    </row>
    <row r="1427" spans="1:6" hidden="1" x14ac:dyDescent="0.3">
      <c r="A1427">
        <v>2025</v>
      </c>
      <c r="B1427">
        <v>8</v>
      </c>
      <c r="C1427" s="105" t="s">
        <v>44</v>
      </c>
      <c r="D1427" s="105" t="s">
        <v>12</v>
      </c>
      <c r="E1427">
        <v>131</v>
      </c>
      <c r="F1427" s="1">
        <v>167051</v>
      </c>
    </row>
    <row r="1428" spans="1:6" hidden="1" x14ac:dyDescent="0.3">
      <c r="A1428">
        <v>2025</v>
      </c>
      <c r="B1428">
        <v>8</v>
      </c>
      <c r="C1428" s="105" t="s">
        <v>44</v>
      </c>
      <c r="D1428" s="105" t="s">
        <v>13</v>
      </c>
      <c r="E1428">
        <v>158</v>
      </c>
      <c r="F1428" s="1">
        <v>109411</v>
      </c>
    </row>
    <row r="1429" spans="1:6" hidden="1" x14ac:dyDescent="0.3">
      <c r="A1429">
        <v>2025</v>
      </c>
      <c r="B1429">
        <v>8</v>
      </c>
      <c r="C1429" s="105" t="s">
        <v>44</v>
      </c>
      <c r="D1429" s="105" t="s">
        <v>14</v>
      </c>
      <c r="E1429">
        <v>73</v>
      </c>
      <c r="F1429" s="1">
        <v>51563.71</v>
      </c>
    </row>
    <row r="1430" spans="1:6" hidden="1" x14ac:dyDescent="0.3">
      <c r="A1430">
        <v>2025</v>
      </c>
      <c r="B1430">
        <v>8</v>
      </c>
      <c r="C1430" s="105" t="s">
        <v>44</v>
      </c>
      <c r="D1430" s="105" t="s">
        <v>15</v>
      </c>
      <c r="E1430">
        <v>28</v>
      </c>
      <c r="F1430" s="1">
        <v>22028</v>
      </c>
    </row>
    <row r="1431" spans="1:6" hidden="1" x14ac:dyDescent="0.3">
      <c r="A1431">
        <v>2025</v>
      </c>
      <c r="B1431">
        <v>8</v>
      </c>
      <c r="C1431" s="105" t="s">
        <v>44</v>
      </c>
      <c r="D1431" s="105" t="s">
        <v>16</v>
      </c>
      <c r="E1431">
        <v>74</v>
      </c>
      <c r="F1431" s="1">
        <v>48132</v>
      </c>
    </row>
    <row r="1432" spans="1:6" hidden="1" x14ac:dyDescent="0.3">
      <c r="A1432">
        <v>2025</v>
      </c>
      <c r="B1432">
        <v>8</v>
      </c>
      <c r="C1432" s="105" t="s">
        <v>44</v>
      </c>
      <c r="D1432" s="105" t="s">
        <v>54</v>
      </c>
      <c r="E1432">
        <v>11</v>
      </c>
      <c r="F1432" s="1">
        <v>9592</v>
      </c>
    </row>
    <row r="1433" spans="1:6" hidden="1" x14ac:dyDescent="0.3">
      <c r="A1433">
        <v>2025</v>
      </c>
      <c r="B1433">
        <v>8</v>
      </c>
      <c r="C1433" s="105" t="s">
        <v>44</v>
      </c>
      <c r="D1433" s="105" t="s">
        <v>17</v>
      </c>
      <c r="E1433">
        <v>372</v>
      </c>
      <c r="F1433" s="1">
        <v>283325.53000000003</v>
      </c>
    </row>
    <row r="1434" spans="1:6" hidden="1" x14ac:dyDescent="0.3">
      <c r="A1434">
        <v>2025</v>
      </c>
      <c r="B1434">
        <v>8</v>
      </c>
      <c r="C1434" s="105" t="s">
        <v>44</v>
      </c>
      <c r="D1434" s="105" t="s">
        <v>18</v>
      </c>
      <c r="E1434">
        <v>340</v>
      </c>
      <c r="F1434" s="1">
        <v>289606.39</v>
      </c>
    </row>
    <row r="1435" spans="1:6" hidden="1" x14ac:dyDescent="0.3">
      <c r="A1435">
        <v>2025</v>
      </c>
      <c r="B1435">
        <v>8</v>
      </c>
      <c r="C1435" s="105" t="s">
        <v>44</v>
      </c>
      <c r="D1435" s="105" t="s">
        <v>50</v>
      </c>
      <c r="E1435">
        <v>27</v>
      </c>
      <c r="F1435" s="1">
        <v>20007</v>
      </c>
    </row>
    <row r="1436" spans="1:6" hidden="1" x14ac:dyDescent="0.3">
      <c r="A1436">
        <v>2025</v>
      </c>
      <c r="B1436">
        <v>8</v>
      </c>
      <c r="C1436" s="105" t="s">
        <v>44</v>
      </c>
      <c r="D1436" s="105" t="s">
        <v>55</v>
      </c>
      <c r="E1436">
        <v>11</v>
      </c>
      <c r="F1436" s="1">
        <v>8448</v>
      </c>
    </row>
    <row r="1437" spans="1:6" hidden="1" x14ac:dyDescent="0.3">
      <c r="A1437">
        <v>2025</v>
      </c>
      <c r="B1437">
        <v>8</v>
      </c>
      <c r="C1437" s="105" t="s">
        <v>44</v>
      </c>
      <c r="D1437" s="105" t="s">
        <v>19</v>
      </c>
      <c r="E1437">
        <v>29</v>
      </c>
      <c r="F1437" s="1">
        <v>18554</v>
      </c>
    </row>
    <row r="1438" spans="1:6" hidden="1" x14ac:dyDescent="0.3">
      <c r="A1438">
        <v>2025</v>
      </c>
      <c r="B1438">
        <v>8</v>
      </c>
      <c r="C1438" s="105" t="s">
        <v>44</v>
      </c>
      <c r="D1438" s="105" t="s">
        <v>20</v>
      </c>
      <c r="E1438">
        <v>42</v>
      </c>
      <c r="F1438" s="1">
        <v>49080</v>
      </c>
    </row>
    <row r="1439" spans="1:6" hidden="1" x14ac:dyDescent="0.3">
      <c r="A1439">
        <v>2025</v>
      </c>
      <c r="B1439">
        <v>8</v>
      </c>
      <c r="C1439" s="105" t="s">
        <v>44</v>
      </c>
      <c r="D1439" s="105" t="s">
        <v>21</v>
      </c>
      <c r="E1439">
        <v>247</v>
      </c>
      <c r="F1439" s="1">
        <v>210264.87</v>
      </c>
    </row>
    <row r="1440" spans="1:6" x14ac:dyDescent="0.3">
      <c r="A1440">
        <v>2025</v>
      </c>
      <c r="B1440">
        <v>8</v>
      </c>
      <c r="C1440" s="105" t="s">
        <v>44</v>
      </c>
      <c r="D1440" s="105" t="s">
        <v>22</v>
      </c>
      <c r="E1440">
        <v>75</v>
      </c>
      <c r="F1440" s="1">
        <v>50434</v>
      </c>
    </row>
    <row r="1441" spans="1:6" hidden="1" x14ac:dyDescent="0.3">
      <c r="A1441">
        <v>2025</v>
      </c>
      <c r="B1441">
        <v>8</v>
      </c>
      <c r="C1441" s="105" t="s">
        <v>44</v>
      </c>
      <c r="D1441" s="105" t="s">
        <v>23</v>
      </c>
      <c r="E1441">
        <v>169</v>
      </c>
      <c r="F1441" s="1">
        <v>141524</v>
      </c>
    </row>
    <row r="1442" spans="1:6" hidden="1" x14ac:dyDescent="0.3">
      <c r="A1442">
        <v>2025</v>
      </c>
      <c r="B1442">
        <v>8</v>
      </c>
      <c r="C1442" s="105" t="s">
        <v>44</v>
      </c>
      <c r="D1442" s="105" t="s">
        <v>24</v>
      </c>
      <c r="E1442">
        <v>52</v>
      </c>
      <c r="F1442" s="1">
        <v>35518</v>
      </c>
    </row>
    <row r="1443" spans="1:6" hidden="1" x14ac:dyDescent="0.3">
      <c r="A1443">
        <v>2025</v>
      </c>
      <c r="B1443">
        <v>8</v>
      </c>
      <c r="C1443" s="105" t="s">
        <v>44</v>
      </c>
      <c r="D1443" s="105" t="s">
        <v>25</v>
      </c>
      <c r="E1443">
        <v>107</v>
      </c>
      <c r="F1443" s="1">
        <v>95293</v>
      </c>
    </row>
    <row r="1444" spans="1:6" hidden="1" x14ac:dyDescent="0.3">
      <c r="A1444">
        <v>2025</v>
      </c>
      <c r="B1444">
        <v>8</v>
      </c>
      <c r="C1444" s="105" t="s">
        <v>44</v>
      </c>
      <c r="D1444" s="105" t="s">
        <v>26</v>
      </c>
      <c r="E1444">
        <v>85</v>
      </c>
      <c r="F1444" s="1">
        <v>65952</v>
      </c>
    </row>
    <row r="1445" spans="1:6" hidden="1" x14ac:dyDescent="0.3">
      <c r="A1445">
        <v>2025</v>
      </c>
      <c r="B1445">
        <v>8</v>
      </c>
      <c r="C1445" s="105" t="s">
        <v>44</v>
      </c>
      <c r="D1445" s="105" t="s">
        <v>27</v>
      </c>
      <c r="E1445">
        <v>41</v>
      </c>
      <c r="F1445" s="1">
        <v>33699</v>
      </c>
    </row>
    <row r="1446" spans="1:6" hidden="1" x14ac:dyDescent="0.3">
      <c r="A1446">
        <v>2025</v>
      </c>
      <c r="B1446">
        <v>8</v>
      </c>
      <c r="C1446" s="105" t="s">
        <v>44</v>
      </c>
      <c r="D1446" s="105" t="s">
        <v>28</v>
      </c>
      <c r="E1446">
        <v>12</v>
      </c>
      <c r="F1446" s="1">
        <v>10491</v>
      </c>
    </row>
    <row r="1447" spans="1:6" hidden="1" x14ac:dyDescent="0.3">
      <c r="A1447">
        <v>2025</v>
      </c>
      <c r="B1447">
        <v>8</v>
      </c>
      <c r="C1447" s="105" t="s">
        <v>44</v>
      </c>
      <c r="D1447" s="105" t="s">
        <v>29</v>
      </c>
      <c r="E1447">
        <v>210</v>
      </c>
      <c r="F1447" s="1">
        <v>167438</v>
      </c>
    </row>
    <row r="1448" spans="1:6" hidden="1" x14ac:dyDescent="0.3">
      <c r="A1448">
        <v>2025</v>
      </c>
      <c r="B1448">
        <v>8</v>
      </c>
      <c r="C1448" s="105" t="s">
        <v>44</v>
      </c>
      <c r="D1448" s="105" t="s">
        <v>30</v>
      </c>
      <c r="E1448">
        <v>41</v>
      </c>
      <c r="F1448" s="1">
        <v>30968.5</v>
      </c>
    </row>
    <row r="1449" spans="1:6" hidden="1" x14ac:dyDescent="0.3">
      <c r="A1449">
        <v>2025</v>
      </c>
      <c r="B1449">
        <v>8</v>
      </c>
      <c r="C1449" s="105" t="s">
        <v>44</v>
      </c>
      <c r="D1449" s="105" t="s">
        <v>31</v>
      </c>
      <c r="E1449">
        <v>444</v>
      </c>
      <c r="F1449" s="1">
        <v>387249</v>
      </c>
    </row>
    <row r="1450" spans="1:6" hidden="1" x14ac:dyDescent="0.3">
      <c r="A1450">
        <v>2025</v>
      </c>
      <c r="B1450">
        <v>8</v>
      </c>
      <c r="C1450" s="105" t="s">
        <v>44</v>
      </c>
      <c r="D1450" s="105" t="s">
        <v>51</v>
      </c>
      <c r="E1450">
        <v>27</v>
      </c>
      <c r="F1450" s="1">
        <v>19796</v>
      </c>
    </row>
    <row r="1451" spans="1:6" hidden="1" x14ac:dyDescent="0.3">
      <c r="A1451">
        <v>2025</v>
      </c>
      <c r="B1451">
        <v>8</v>
      </c>
      <c r="C1451" s="105" t="s">
        <v>44</v>
      </c>
      <c r="D1451" s="105" t="s">
        <v>32</v>
      </c>
      <c r="E1451">
        <v>121</v>
      </c>
      <c r="F1451" s="1">
        <v>87501</v>
      </c>
    </row>
    <row r="1452" spans="1:6" hidden="1" x14ac:dyDescent="0.3">
      <c r="A1452">
        <v>2025</v>
      </c>
      <c r="B1452">
        <v>8</v>
      </c>
      <c r="C1452" s="105" t="s">
        <v>44</v>
      </c>
      <c r="D1452" s="105" t="s">
        <v>52</v>
      </c>
      <c r="E1452">
        <v>46</v>
      </c>
      <c r="F1452" s="1">
        <v>39857</v>
      </c>
    </row>
    <row r="1453" spans="1:6" hidden="1" x14ac:dyDescent="0.3">
      <c r="A1453">
        <v>2025</v>
      </c>
      <c r="B1453">
        <v>8</v>
      </c>
      <c r="C1453" s="105" t="s">
        <v>44</v>
      </c>
      <c r="D1453" s="105" t="s">
        <v>33</v>
      </c>
      <c r="E1453">
        <v>383</v>
      </c>
      <c r="F1453" s="1">
        <v>311246.7</v>
      </c>
    </row>
    <row r="1454" spans="1:6" hidden="1" x14ac:dyDescent="0.3">
      <c r="A1454">
        <v>2025</v>
      </c>
      <c r="B1454">
        <v>8</v>
      </c>
      <c r="C1454" s="105" t="s">
        <v>44</v>
      </c>
      <c r="D1454" s="105" t="s">
        <v>58</v>
      </c>
      <c r="E1454">
        <v>9</v>
      </c>
      <c r="F1454" s="1">
        <v>6692</v>
      </c>
    </row>
    <row r="1455" spans="1:6" hidden="1" x14ac:dyDescent="0.3">
      <c r="A1455">
        <v>2025</v>
      </c>
      <c r="B1455">
        <v>8</v>
      </c>
      <c r="C1455" s="105" t="s">
        <v>44</v>
      </c>
      <c r="D1455" s="105" t="s">
        <v>34</v>
      </c>
      <c r="E1455">
        <v>196</v>
      </c>
      <c r="F1455" s="1">
        <v>143473</v>
      </c>
    </row>
    <row r="1456" spans="1:6" hidden="1" x14ac:dyDescent="0.3">
      <c r="A1456">
        <v>2025</v>
      </c>
      <c r="B1456">
        <v>8</v>
      </c>
      <c r="C1456" s="105" t="s">
        <v>44</v>
      </c>
      <c r="D1456" s="105" t="s">
        <v>56</v>
      </c>
      <c r="E1456">
        <v>14</v>
      </c>
      <c r="F1456" s="1">
        <v>10585</v>
      </c>
    </row>
    <row r="1457" spans="1:6" hidden="1" x14ac:dyDescent="0.3">
      <c r="A1457">
        <v>2025</v>
      </c>
      <c r="B1457">
        <v>8</v>
      </c>
      <c r="C1457" s="105" t="s">
        <v>44</v>
      </c>
      <c r="D1457" s="105" t="s">
        <v>57</v>
      </c>
      <c r="E1457">
        <v>16</v>
      </c>
      <c r="F1457" s="1">
        <v>11223</v>
      </c>
    </row>
    <row r="1458" spans="1:6" hidden="1" x14ac:dyDescent="0.3">
      <c r="A1458">
        <v>2025</v>
      </c>
      <c r="B1458">
        <v>8</v>
      </c>
      <c r="C1458" s="105" t="s">
        <v>44</v>
      </c>
      <c r="D1458" s="105" t="s">
        <v>49</v>
      </c>
      <c r="E1458">
        <v>3</v>
      </c>
      <c r="F1458" s="1">
        <v>2582</v>
      </c>
    </row>
    <row r="1459" spans="1:6" hidden="1" x14ac:dyDescent="0.3">
      <c r="A1459">
        <v>2025</v>
      </c>
      <c r="B1459">
        <v>8</v>
      </c>
      <c r="C1459" s="105" t="s">
        <v>44</v>
      </c>
      <c r="D1459" s="105" t="s">
        <v>53</v>
      </c>
      <c r="E1459">
        <v>60</v>
      </c>
      <c r="F1459" s="1">
        <v>54157</v>
      </c>
    </row>
    <row r="1460" spans="1:6" hidden="1" x14ac:dyDescent="0.3">
      <c r="A1460">
        <v>2025</v>
      </c>
      <c r="B1460">
        <v>8</v>
      </c>
      <c r="C1460" s="105" t="s">
        <v>44</v>
      </c>
      <c r="D1460" s="105" t="s">
        <v>35</v>
      </c>
      <c r="E1460">
        <v>152</v>
      </c>
      <c r="F1460" s="1">
        <v>115948.99</v>
      </c>
    </row>
    <row r="1461" spans="1:6" hidden="1" x14ac:dyDescent="0.3">
      <c r="A1461">
        <v>2025</v>
      </c>
      <c r="B1461">
        <v>8</v>
      </c>
      <c r="C1461" s="105" t="s">
        <v>44</v>
      </c>
      <c r="D1461" s="105" t="s">
        <v>36</v>
      </c>
      <c r="E1461">
        <v>54</v>
      </c>
      <c r="F1461" s="1">
        <v>50710</v>
      </c>
    </row>
    <row r="1462" spans="1:6" hidden="1" x14ac:dyDescent="0.3">
      <c r="A1462">
        <v>2025</v>
      </c>
      <c r="B1462">
        <v>8</v>
      </c>
      <c r="C1462" s="105" t="s">
        <v>44</v>
      </c>
      <c r="D1462" s="105" t="s">
        <v>37</v>
      </c>
      <c r="E1462">
        <v>237</v>
      </c>
      <c r="F1462" s="1">
        <v>200910.63</v>
      </c>
    </row>
    <row r="1463" spans="1:6" hidden="1" x14ac:dyDescent="0.3">
      <c r="A1463">
        <v>2025</v>
      </c>
      <c r="B1463">
        <v>9</v>
      </c>
      <c r="C1463" s="105" t="s">
        <v>45</v>
      </c>
      <c r="D1463" s="105" t="s">
        <v>7</v>
      </c>
      <c r="E1463">
        <v>63</v>
      </c>
      <c r="F1463" s="1">
        <v>50407.39</v>
      </c>
    </row>
    <row r="1464" spans="1:6" hidden="1" x14ac:dyDescent="0.3">
      <c r="A1464">
        <v>2025</v>
      </c>
      <c r="B1464">
        <v>9</v>
      </c>
      <c r="C1464" s="105" t="s">
        <v>45</v>
      </c>
      <c r="D1464" s="105" t="s">
        <v>8</v>
      </c>
      <c r="E1464">
        <v>33</v>
      </c>
      <c r="F1464" s="1">
        <v>34298</v>
      </c>
    </row>
    <row r="1465" spans="1:6" hidden="1" x14ac:dyDescent="0.3">
      <c r="A1465">
        <v>2025</v>
      </c>
      <c r="B1465">
        <v>9</v>
      </c>
      <c r="C1465" s="105" t="s">
        <v>45</v>
      </c>
      <c r="D1465" s="105" t="s">
        <v>9</v>
      </c>
      <c r="E1465">
        <v>13</v>
      </c>
      <c r="F1465" s="1">
        <v>18381</v>
      </c>
    </row>
    <row r="1466" spans="1:6" hidden="1" x14ac:dyDescent="0.3">
      <c r="A1466">
        <v>2025</v>
      </c>
      <c r="B1466">
        <v>9</v>
      </c>
      <c r="C1466" s="105" t="s">
        <v>45</v>
      </c>
      <c r="D1466" s="105" t="s">
        <v>10</v>
      </c>
      <c r="E1466">
        <v>101</v>
      </c>
      <c r="F1466" s="1">
        <v>91296</v>
      </c>
    </row>
    <row r="1467" spans="1:6" hidden="1" x14ac:dyDescent="0.3">
      <c r="A1467">
        <v>2025</v>
      </c>
      <c r="B1467">
        <v>9</v>
      </c>
      <c r="C1467" s="105" t="s">
        <v>45</v>
      </c>
      <c r="D1467" s="105" t="s">
        <v>11</v>
      </c>
      <c r="E1467">
        <v>99</v>
      </c>
      <c r="F1467" s="1">
        <v>88729.88</v>
      </c>
    </row>
    <row r="1468" spans="1:6" hidden="1" x14ac:dyDescent="0.3">
      <c r="A1468">
        <v>2025</v>
      </c>
      <c r="B1468">
        <v>9</v>
      </c>
      <c r="C1468" s="105" t="s">
        <v>45</v>
      </c>
      <c r="D1468" s="105" t="s">
        <v>59</v>
      </c>
      <c r="E1468">
        <v>24</v>
      </c>
      <c r="F1468" s="1">
        <v>22712</v>
      </c>
    </row>
    <row r="1469" spans="1:6" hidden="1" x14ac:dyDescent="0.3">
      <c r="A1469">
        <v>2025</v>
      </c>
      <c r="B1469">
        <v>9</v>
      </c>
      <c r="C1469" s="105" t="s">
        <v>45</v>
      </c>
      <c r="D1469" s="105" t="s">
        <v>12</v>
      </c>
      <c r="E1469">
        <v>95</v>
      </c>
      <c r="F1469" s="1">
        <v>137112</v>
      </c>
    </row>
    <row r="1470" spans="1:6" hidden="1" x14ac:dyDescent="0.3">
      <c r="A1470">
        <v>2025</v>
      </c>
      <c r="B1470">
        <v>9</v>
      </c>
      <c r="C1470" s="105" t="s">
        <v>45</v>
      </c>
      <c r="D1470" s="105" t="s">
        <v>13</v>
      </c>
      <c r="E1470">
        <v>98</v>
      </c>
      <c r="F1470" s="1">
        <v>71794</v>
      </c>
    </row>
    <row r="1471" spans="1:6" hidden="1" x14ac:dyDescent="0.3">
      <c r="A1471">
        <v>2025</v>
      </c>
      <c r="B1471">
        <v>9</v>
      </c>
      <c r="C1471" s="105" t="s">
        <v>45</v>
      </c>
      <c r="D1471" s="105" t="s">
        <v>14</v>
      </c>
      <c r="E1471">
        <v>52</v>
      </c>
      <c r="F1471" s="1">
        <v>68511.03</v>
      </c>
    </row>
    <row r="1472" spans="1:6" hidden="1" x14ac:dyDescent="0.3">
      <c r="A1472">
        <v>2025</v>
      </c>
      <c r="B1472">
        <v>9</v>
      </c>
      <c r="C1472" s="105" t="s">
        <v>45</v>
      </c>
      <c r="D1472" s="105" t="s">
        <v>15</v>
      </c>
      <c r="E1472">
        <v>18</v>
      </c>
      <c r="F1472" s="1">
        <v>12659.14</v>
      </c>
    </row>
    <row r="1473" spans="1:6" hidden="1" x14ac:dyDescent="0.3">
      <c r="A1473">
        <v>2025</v>
      </c>
      <c r="B1473">
        <v>9</v>
      </c>
      <c r="C1473" s="105" t="s">
        <v>45</v>
      </c>
      <c r="D1473" s="105" t="s">
        <v>16</v>
      </c>
      <c r="E1473">
        <v>29</v>
      </c>
      <c r="F1473" s="1">
        <v>19853</v>
      </c>
    </row>
    <row r="1474" spans="1:6" hidden="1" x14ac:dyDescent="0.3">
      <c r="A1474">
        <v>2025</v>
      </c>
      <c r="B1474">
        <v>9</v>
      </c>
      <c r="C1474" s="105" t="s">
        <v>45</v>
      </c>
      <c r="D1474" s="105" t="s">
        <v>54</v>
      </c>
      <c r="E1474">
        <v>8</v>
      </c>
      <c r="F1474" s="1">
        <v>6518</v>
      </c>
    </row>
    <row r="1475" spans="1:6" hidden="1" x14ac:dyDescent="0.3">
      <c r="A1475">
        <v>2025</v>
      </c>
      <c r="B1475">
        <v>9</v>
      </c>
      <c r="C1475" s="105" t="s">
        <v>45</v>
      </c>
      <c r="D1475" s="105" t="s">
        <v>17</v>
      </c>
      <c r="E1475">
        <v>295</v>
      </c>
      <c r="F1475" s="1">
        <v>241017</v>
      </c>
    </row>
    <row r="1476" spans="1:6" hidden="1" x14ac:dyDescent="0.3">
      <c r="A1476">
        <v>2025</v>
      </c>
      <c r="B1476">
        <v>9</v>
      </c>
      <c r="C1476" s="105" t="s">
        <v>45</v>
      </c>
      <c r="D1476" s="105" t="s">
        <v>18</v>
      </c>
      <c r="E1476">
        <v>213</v>
      </c>
      <c r="F1476" s="1">
        <v>193388.5</v>
      </c>
    </row>
    <row r="1477" spans="1:6" hidden="1" x14ac:dyDescent="0.3">
      <c r="A1477">
        <v>2025</v>
      </c>
      <c r="B1477">
        <v>9</v>
      </c>
      <c r="C1477" s="105" t="s">
        <v>45</v>
      </c>
      <c r="D1477" s="105" t="s">
        <v>50</v>
      </c>
      <c r="E1477">
        <v>50</v>
      </c>
      <c r="F1477" s="1">
        <v>66451</v>
      </c>
    </row>
    <row r="1478" spans="1:6" hidden="1" x14ac:dyDescent="0.3">
      <c r="A1478">
        <v>2025</v>
      </c>
      <c r="B1478">
        <v>9</v>
      </c>
      <c r="C1478" s="105" t="s">
        <v>45</v>
      </c>
      <c r="D1478" s="105" t="s">
        <v>55</v>
      </c>
      <c r="E1478">
        <v>3</v>
      </c>
      <c r="F1478" s="1">
        <v>2123</v>
      </c>
    </row>
    <row r="1479" spans="1:6" hidden="1" x14ac:dyDescent="0.3">
      <c r="A1479">
        <v>2025</v>
      </c>
      <c r="B1479">
        <v>9</v>
      </c>
      <c r="C1479" s="105" t="s">
        <v>45</v>
      </c>
      <c r="D1479" s="105" t="s">
        <v>19</v>
      </c>
      <c r="E1479">
        <v>38</v>
      </c>
      <c r="F1479" s="1">
        <v>26954</v>
      </c>
    </row>
    <row r="1480" spans="1:6" hidden="1" x14ac:dyDescent="0.3">
      <c r="A1480">
        <v>2025</v>
      </c>
      <c r="B1480">
        <v>9</v>
      </c>
      <c r="C1480" s="105" t="s">
        <v>45</v>
      </c>
      <c r="D1480" s="105" t="s">
        <v>20</v>
      </c>
      <c r="E1480">
        <v>49</v>
      </c>
      <c r="F1480" s="1">
        <v>61033</v>
      </c>
    </row>
    <row r="1481" spans="1:6" hidden="1" x14ac:dyDescent="0.3">
      <c r="A1481">
        <v>2025</v>
      </c>
      <c r="B1481">
        <v>9</v>
      </c>
      <c r="C1481" s="105" t="s">
        <v>45</v>
      </c>
      <c r="D1481" s="105" t="s">
        <v>21</v>
      </c>
      <c r="E1481">
        <v>134</v>
      </c>
      <c r="F1481" s="1">
        <v>118582</v>
      </c>
    </row>
    <row r="1482" spans="1:6" x14ac:dyDescent="0.3">
      <c r="A1482">
        <v>2025</v>
      </c>
      <c r="B1482">
        <v>9</v>
      </c>
      <c r="C1482" s="105" t="s">
        <v>45</v>
      </c>
      <c r="D1482" s="105" t="s">
        <v>22</v>
      </c>
      <c r="E1482">
        <v>58</v>
      </c>
      <c r="F1482" s="1">
        <v>39619</v>
      </c>
    </row>
    <row r="1483" spans="1:6" hidden="1" x14ac:dyDescent="0.3">
      <c r="A1483">
        <v>2025</v>
      </c>
      <c r="B1483">
        <v>9</v>
      </c>
      <c r="C1483" s="105" t="s">
        <v>45</v>
      </c>
      <c r="D1483" s="105" t="s">
        <v>23</v>
      </c>
      <c r="E1483">
        <v>67</v>
      </c>
      <c r="F1483" s="1">
        <v>66354</v>
      </c>
    </row>
    <row r="1484" spans="1:6" hidden="1" x14ac:dyDescent="0.3">
      <c r="A1484">
        <v>2025</v>
      </c>
      <c r="B1484">
        <v>9</v>
      </c>
      <c r="C1484" s="105" t="s">
        <v>45</v>
      </c>
      <c r="D1484" s="105" t="s">
        <v>24</v>
      </c>
      <c r="E1484">
        <v>39</v>
      </c>
      <c r="F1484" s="1">
        <v>27056</v>
      </c>
    </row>
    <row r="1485" spans="1:6" hidden="1" x14ac:dyDescent="0.3">
      <c r="A1485">
        <v>2025</v>
      </c>
      <c r="B1485">
        <v>9</v>
      </c>
      <c r="C1485" s="105" t="s">
        <v>45</v>
      </c>
      <c r="D1485" s="105" t="s">
        <v>25</v>
      </c>
      <c r="E1485">
        <v>94</v>
      </c>
      <c r="F1485" s="1">
        <v>74321</v>
      </c>
    </row>
    <row r="1486" spans="1:6" hidden="1" x14ac:dyDescent="0.3">
      <c r="A1486">
        <v>2025</v>
      </c>
      <c r="B1486">
        <v>9</v>
      </c>
      <c r="C1486" s="105" t="s">
        <v>45</v>
      </c>
      <c r="D1486" s="105" t="s">
        <v>26</v>
      </c>
      <c r="E1486">
        <v>28</v>
      </c>
      <c r="F1486" s="1">
        <v>33395</v>
      </c>
    </row>
    <row r="1487" spans="1:6" hidden="1" x14ac:dyDescent="0.3">
      <c r="A1487">
        <v>2025</v>
      </c>
      <c r="B1487">
        <v>9</v>
      </c>
      <c r="C1487" s="105" t="s">
        <v>45</v>
      </c>
      <c r="D1487" s="105" t="s">
        <v>27</v>
      </c>
      <c r="E1487">
        <v>40</v>
      </c>
      <c r="F1487" s="1">
        <v>36261</v>
      </c>
    </row>
    <row r="1488" spans="1:6" hidden="1" x14ac:dyDescent="0.3">
      <c r="A1488">
        <v>2025</v>
      </c>
      <c r="B1488">
        <v>9</v>
      </c>
      <c r="C1488" s="105" t="s">
        <v>45</v>
      </c>
      <c r="D1488" s="105" t="s">
        <v>28</v>
      </c>
      <c r="E1488">
        <v>21</v>
      </c>
      <c r="F1488" s="1">
        <v>17164</v>
      </c>
    </row>
    <row r="1489" spans="1:6" hidden="1" x14ac:dyDescent="0.3">
      <c r="A1489">
        <v>2025</v>
      </c>
      <c r="B1489">
        <v>9</v>
      </c>
      <c r="C1489" s="105" t="s">
        <v>45</v>
      </c>
      <c r="D1489" s="105" t="s">
        <v>29</v>
      </c>
      <c r="E1489">
        <v>145</v>
      </c>
      <c r="F1489" s="1">
        <v>118877.5</v>
      </c>
    </row>
    <row r="1490" spans="1:6" hidden="1" x14ac:dyDescent="0.3">
      <c r="A1490">
        <v>2025</v>
      </c>
      <c r="B1490">
        <v>9</v>
      </c>
      <c r="C1490" s="105" t="s">
        <v>45</v>
      </c>
      <c r="D1490" s="105" t="s">
        <v>30</v>
      </c>
      <c r="E1490">
        <v>19</v>
      </c>
      <c r="F1490" s="1">
        <v>10864</v>
      </c>
    </row>
    <row r="1491" spans="1:6" hidden="1" x14ac:dyDescent="0.3">
      <c r="A1491">
        <v>2025</v>
      </c>
      <c r="B1491">
        <v>9</v>
      </c>
      <c r="C1491" s="105" t="s">
        <v>45</v>
      </c>
      <c r="D1491" s="105" t="s">
        <v>31</v>
      </c>
      <c r="E1491">
        <v>316</v>
      </c>
      <c r="F1491" s="1">
        <v>285031.25</v>
      </c>
    </row>
    <row r="1492" spans="1:6" hidden="1" x14ac:dyDescent="0.3">
      <c r="A1492">
        <v>2025</v>
      </c>
      <c r="B1492">
        <v>9</v>
      </c>
      <c r="C1492" s="105" t="s">
        <v>45</v>
      </c>
      <c r="D1492" s="105" t="s">
        <v>51</v>
      </c>
      <c r="E1492">
        <v>21</v>
      </c>
      <c r="F1492" s="1">
        <v>16162</v>
      </c>
    </row>
    <row r="1493" spans="1:6" hidden="1" x14ac:dyDescent="0.3">
      <c r="A1493">
        <v>2025</v>
      </c>
      <c r="B1493">
        <v>9</v>
      </c>
      <c r="C1493" s="105" t="s">
        <v>45</v>
      </c>
      <c r="D1493" s="105" t="s">
        <v>32</v>
      </c>
      <c r="E1493">
        <v>66</v>
      </c>
      <c r="F1493" s="1">
        <v>43189</v>
      </c>
    </row>
    <row r="1494" spans="1:6" hidden="1" x14ac:dyDescent="0.3">
      <c r="A1494">
        <v>2025</v>
      </c>
      <c r="B1494">
        <v>9</v>
      </c>
      <c r="C1494" s="105" t="s">
        <v>45</v>
      </c>
      <c r="D1494" s="105" t="s">
        <v>52</v>
      </c>
      <c r="E1494">
        <v>27</v>
      </c>
      <c r="F1494" s="1">
        <v>25969</v>
      </c>
    </row>
    <row r="1495" spans="1:6" hidden="1" x14ac:dyDescent="0.3">
      <c r="A1495">
        <v>2025</v>
      </c>
      <c r="B1495">
        <v>9</v>
      </c>
      <c r="C1495" s="105" t="s">
        <v>45</v>
      </c>
      <c r="D1495" s="105" t="s">
        <v>33</v>
      </c>
      <c r="E1495">
        <v>229</v>
      </c>
      <c r="F1495" s="1">
        <v>201870.3</v>
      </c>
    </row>
    <row r="1496" spans="1:6" hidden="1" x14ac:dyDescent="0.3">
      <c r="A1496">
        <v>2025</v>
      </c>
      <c r="B1496">
        <v>9</v>
      </c>
      <c r="C1496" s="105" t="s">
        <v>45</v>
      </c>
      <c r="D1496" s="105" t="s">
        <v>58</v>
      </c>
      <c r="E1496">
        <v>15</v>
      </c>
      <c r="F1496" s="1">
        <v>12010</v>
      </c>
    </row>
    <row r="1497" spans="1:6" hidden="1" x14ac:dyDescent="0.3">
      <c r="A1497">
        <v>2025</v>
      </c>
      <c r="B1497">
        <v>9</v>
      </c>
      <c r="C1497" s="105" t="s">
        <v>45</v>
      </c>
      <c r="D1497" s="105" t="s">
        <v>34</v>
      </c>
      <c r="E1497">
        <v>124</v>
      </c>
      <c r="F1497" s="1">
        <v>93962.2</v>
      </c>
    </row>
    <row r="1498" spans="1:6" hidden="1" x14ac:dyDescent="0.3">
      <c r="A1498">
        <v>2025</v>
      </c>
      <c r="B1498">
        <v>9</v>
      </c>
      <c r="C1498" s="105" t="s">
        <v>45</v>
      </c>
      <c r="D1498" s="105" t="s">
        <v>56</v>
      </c>
      <c r="E1498">
        <v>15</v>
      </c>
      <c r="F1498" s="1">
        <v>12213</v>
      </c>
    </row>
    <row r="1499" spans="1:6" hidden="1" x14ac:dyDescent="0.3">
      <c r="A1499">
        <v>2025</v>
      </c>
      <c r="B1499">
        <v>9</v>
      </c>
      <c r="C1499" s="105" t="s">
        <v>45</v>
      </c>
      <c r="D1499" s="105" t="s">
        <v>57</v>
      </c>
      <c r="E1499">
        <v>28</v>
      </c>
      <c r="F1499" s="1">
        <v>19412</v>
      </c>
    </row>
    <row r="1500" spans="1:6" hidden="1" x14ac:dyDescent="0.3">
      <c r="A1500">
        <v>2025</v>
      </c>
      <c r="B1500">
        <v>9</v>
      </c>
      <c r="C1500" s="105" t="s">
        <v>45</v>
      </c>
      <c r="D1500" s="105" t="s">
        <v>49</v>
      </c>
      <c r="E1500">
        <v>11</v>
      </c>
      <c r="F1500" s="1">
        <v>9156</v>
      </c>
    </row>
    <row r="1501" spans="1:6" hidden="1" x14ac:dyDescent="0.3">
      <c r="A1501">
        <v>2025</v>
      </c>
      <c r="B1501">
        <v>9</v>
      </c>
      <c r="C1501" s="105" t="s">
        <v>45</v>
      </c>
      <c r="D1501" s="105" t="s">
        <v>53</v>
      </c>
      <c r="E1501">
        <v>69</v>
      </c>
      <c r="F1501" s="1">
        <v>64173</v>
      </c>
    </row>
    <row r="1502" spans="1:6" hidden="1" x14ac:dyDescent="0.3">
      <c r="A1502">
        <v>2025</v>
      </c>
      <c r="B1502">
        <v>9</v>
      </c>
      <c r="C1502" s="105" t="s">
        <v>45</v>
      </c>
      <c r="D1502" s="105" t="s">
        <v>35</v>
      </c>
      <c r="E1502">
        <v>89</v>
      </c>
      <c r="F1502" s="1">
        <v>93671</v>
      </c>
    </row>
    <row r="1503" spans="1:6" hidden="1" x14ac:dyDescent="0.3">
      <c r="A1503">
        <v>2025</v>
      </c>
      <c r="B1503">
        <v>9</v>
      </c>
      <c r="C1503" s="105" t="s">
        <v>45</v>
      </c>
      <c r="D1503" s="105" t="s">
        <v>36</v>
      </c>
      <c r="E1503">
        <v>40</v>
      </c>
      <c r="F1503" s="1">
        <v>31985</v>
      </c>
    </row>
    <row r="1504" spans="1:6" hidden="1" x14ac:dyDescent="0.3">
      <c r="A1504">
        <v>2025</v>
      </c>
      <c r="B1504">
        <v>9</v>
      </c>
      <c r="C1504" s="105" t="s">
        <v>45</v>
      </c>
      <c r="D1504" s="105" t="s">
        <v>37</v>
      </c>
      <c r="E1504">
        <v>162</v>
      </c>
      <c r="F1504" s="1">
        <v>136406</v>
      </c>
    </row>
    <row r="1505" spans="1:6" hidden="1" x14ac:dyDescent="0.3">
      <c r="A1505">
        <v>2025</v>
      </c>
      <c r="B1505">
        <v>10</v>
      </c>
      <c r="C1505" s="105" t="s">
        <v>46</v>
      </c>
      <c r="D1505" s="105" t="s">
        <v>7</v>
      </c>
      <c r="E1505">
        <v>39</v>
      </c>
      <c r="F1505" s="1">
        <v>33326.5</v>
      </c>
    </row>
    <row r="1506" spans="1:6" hidden="1" x14ac:dyDescent="0.3">
      <c r="A1506">
        <v>2025</v>
      </c>
      <c r="B1506">
        <v>10</v>
      </c>
      <c r="C1506" s="105" t="s">
        <v>46</v>
      </c>
      <c r="D1506" s="105" t="s">
        <v>8</v>
      </c>
      <c r="E1506">
        <v>32</v>
      </c>
      <c r="F1506" s="1">
        <v>38462</v>
      </c>
    </row>
    <row r="1507" spans="1:6" hidden="1" x14ac:dyDescent="0.3">
      <c r="A1507">
        <v>2025</v>
      </c>
      <c r="B1507">
        <v>10</v>
      </c>
      <c r="C1507" s="105" t="s">
        <v>46</v>
      </c>
      <c r="D1507" s="105" t="s">
        <v>9</v>
      </c>
      <c r="E1507">
        <v>16</v>
      </c>
      <c r="F1507" s="1">
        <v>10951</v>
      </c>
    </row>
    <row r="1508" spans="1:6" hidden="1" x14ac:dyDescent="0.3">
      <c r="A1508">
        <v>2025</v>
      </c>
      <c r="B1508">
        <v>10</v>
      </c>
      <c r="C1508" s="105" t="s">
        <v>46</v>
      </c>
      <c r="D1508" s="105" t="s">
        <v>10</v>
      </c>
      <c r="E1508">
        <v>81</v>
      </c>
      <c r="F1508" s="1">
        <v>82614</v>
      </c>
    </row>
    <row r="1509" spans="1:6" hidden="1" x14ac:dyDescent="0.3">
      <c r="A1509">
        <v>2025</v>
      </c>
      <c r="B1509">
        <v>10</v>
      </c>
      <c r="C1509" s="105" t="s">
        <v>46</v>
      </c>
      <c r="D1509" s="105" t="s">
        <v>11</v>
      </c>
      <c r="E1509">
        <v>59</v>
      </c>
      <c r="F1509" s="1">
        <v>59674.400000000001</v>
      </c>
    </row>
    <row r="1510" spans="1:6" hidden="1" x14ac:dyDescent="0.3">
      <c r="A1510">
        <v>2025</v>
      </c>
      <c r="B1510">
        <v>10</v>
      </c>
      <c r="C1510" s="105" t="s">
        <v>46</v>
      </c>
      <c r="D1510" s="105" t="s">
        <v>59</v>
      </c>
      <c r="E1510">
        <v>8</v>
      </c>
      <c r="F1510" s="1">
        <v>6773</v>
      </c>
    </row>
    <row r="1511" spans="1:6" hidden="1" x14ac:dyDescent="0.3">
      <c r="A1511">
        <v>2025</v>
      </c>
      <c r="B1511">
        <v>10</v>
      </c>
      <c r="C1511" s="105" t="s">
        <v>46</v>
      </c>
      <c r="D1511" s="105" t="s">
        <v>12</v>
      </c>
      <c r="E1511">
        <v>56</v>
      </c>
      <c r="F1511" s="1">
        <v>76692.5</v>
      </c>
    </row>
    <row r="1512" spans="1:6" hidden="1" x14ac:dyDescent="0.3">
      <c r="A1512">
        <v>2025</v>
      </c>
      <c r="B1512">
        <v>10</v>
      </c>
      <c r="C1512" s="105" t="s">
        <v>46</v>
      </c>
      <c r="D1512" s="105" t="s">
        <v>13</v>
      </c>
      <c r="E1512">
        <v>79</v>
      </c>
      <c r="F1512" s="1">
        <v>71687</v>
      </c>
    </row>
    <row r="1513" spans="1:6" hidden="1" x14ac:dyDescent="0.3">
      <c r="A1513">
        <v>2025</v>
      </c>
      <c r="B1513">
        <v>10</v>
      </c>
      <c r="C1513" s="105" t="s">
        <v>46</v>
      </c>
      <c r="D1513" s="105" t="s">
        <v>14</v>
      </c>
      <c r="E1513">
        <v>41</v>
      </c>
      <c r="F1513" s="1">
        <v>25566.880000000001</v>
      </c>
    </row>
    <row r="1514" spans="1:6" hidden="1" x14ac:dyDescent="0.3">
      <c r="A1514">
        <v>2025</v>
      </c>
      <c r="B1514">
        <v>10</v>
      </c>
      <c r="C1514" s="105" t="s">
        <v>46</v>
      </c>
      <c r="D1514" s="105" t="s">
        <v>15</v>
      </c>
      <c r="E1514">
        <v>21</v>
      </c>
      <c r="F1514" s="1">
        <v>14175</v>
      </c>
    </row>
    <row r="1515" spans="1:6" hidden="1" x14ac:dyDescent="0.3">
      <c r="A1515">
        <v>2025</v>
      </c>
      <c r="B1515">
        <v>10</v>
      </c>
      <c r="C1515" s="105" t="s">
        <v>46</v>
      </c>
      <c r="D1515" s="105" t="s">
        <v>16</v>
      </c>
      <c r="E1515">
        <v>17</v>
      </c>
      <c r="F1515" s="1">
        <v>12217</v>
      </c>
    </row>
    <row r="1516" spans="1:6" hidden="1" x14ac:dyDescent="0.3">
      <c r="A1516">
        <v>2025</v>
      </c>
      <c r="B1516">
        <v>10</v>
      </c>
      <c r="C1516" s="105" t="s">
        <v>46</v>
      </c>
      <c r="D1516" s="105" t="s">
        <v>54</v>
      </c>
      <c r="E1516">
        <v>13</v>
      </c>
      <c r="F1516" s="1">
        <v>10674</v>
      </c>
    </row>
    <row r="1517" spans="1:6" hidden="1" x14ac:dyDescent="0.3">
      <c r="A1517">
        <v>2025</v>
      </c>
      <c r="B1517">
        <v>10</v>
      </c>
      <c r="C1517" s="105" t="s">
        <v>46</v>
      </c>
      <c r="D1517" s="105" t="s">
        <v>17</v>
      </c>
      <c r="E1517">
        <v>120</v>
      </c>
      <c r="F1517" s="1">
        <v>94147</v>
      </c>
    </row>
    <row r="1518" spans="1:6" hidden="1" x14ac:dyDescent="0.3">
      <c r="A1518">
        <v>2025</v>
      </c>
      <c r="B1518">
        <v>10</v>
      </c>
      <c r="C1518" s="105" t="s">
        <v>46</v>
      </c>
      <c r="D1518" s="105" t="s">
        <v>18</v>
      </c>
      <c r="E1518">
        <v>168</v>
      </c>
      <c r="F1518" s="1">
        <v>157781</v>
      </c>
    </row>
    <row r="1519" spans="1:6" hidden="1" x14ac:dyDescent="0.3">
      <c r="A1519">
        <v>2025</v>
      </c>
      <c r="B1519">
        <v>10</v>
      </c>
      <c r="C1519" s="105" t="s">
        <v>46</v>
      </c>
      <c r="D1519" s="105" t="s">
        <v>50</v>
      </c>
      <c r="E1519">
        <v>20</v>
      </c>
      <c r="F1519" s="1">
        <v>17275</v>
      </c>
    </row>
    <row r="1520" spans="1:6" hidden="1" x14ac:dyDescent="0.3">
      <c r="A1520">
        <v>2025</v>
      </c>
      <c r="B1520">
        <v>10</v>
      </c>
      <c r="C1520" s="105" t="s">
        <v>46</v>
      </c>
      <c r="D1520" s="105" t="s">
        <v>55</v>
      </c>
      <c r="E1520">
        <v>7</v>
      </c>
      <c r="F1520" s="1">
        <v>4773</v>
      </c>
    </row>
    <row r="1521" spans="1:6" hidden="1" x14ac:dyDescent="0.3">
      <c r="A1521">
        <v>2025</v>
      </c>
      <c r="B1521">
        <v>10</v>
      </c>
      <c r="C1521" s="105" t="s">
        <v>46</v>
      </c>
      <c r="D1521" s="105" t="s">
        <v>19</v>
      </c>
      <c r="E1521">
        <v>29</v>
      </c>
      <c r="F1521" s="1">
        <v>20910</v>
      </c>
    </row>
    <row r="1522" spans="1:6" hidden="1" x14ac:dyDescent="0.3">
      <c r="A1522">
        <v>2025</v>
      </c>
      <c r="B1522">
        <v>10</v>
      </c>
      <c r="C1522" s="105" t="s">
        <v>46</v>
      </c>
      <c r="D1522" s="105" t="s">
        <v>20</v>
      </c>
      <c r="E1522">
        <v>48</v>
      </c>
      <c r="F1522" s="1">
        <v>43624</v>
      </c>
    </row>
    <row r="1523" spans="1:6" hidden="1" x14ac:dyDescent="0.3">
      <c r="A1523">
        <v>2025</v>
      </c>
      <c r="B1523">
        <v>10</v>
      </c>
      <c r="C1523" s="105" t="s">
        <v>46</v>
      </c>
      <c r="D1523" s="105" t="s">
        <v>21</v>
      </c>
      <c r="E1523">
        <v>63</v>
      </c>
      <c r="F1523" s="1">
        <v>56830</v>
      </c>
    </row>
    <row r="1524" spans="1:6" x14ac:dyDescent="0.3">
      <c r="A1524">
        <v>2025</v>
      </c>
      <c r="B1524">
        <v>10</v>
      </c>
      <c r="C1524" s="105" t="s">
        <v>46</v>
      </c>
      <c r="D1524" s="105" t="s">
        <v>22</v>
      </c>
      <c r="E1524">
        <v>50</v>
      </c>
      <c r="F1524" s="1">
        <v>57456</v>
      </c>
    </row>
    <row r="1525" spans="1:6" hidden="1" x14ac:dyDescent="0.3">
      <c r="A1525">
        <v>2025</v>
      </c>
      <c r="B1525">
        <v>10</v>
      </c>
      <c r="C1525" s="105" t="s">
        <v>46</v>
      </c>
      <c r="D1525" s="105" t="s">
        <v>23</v>
      </c>
      <c r="E1525">
        <v>49</v>
      </c>
      <c r="F1525" s="1">
        <v>52916</v>
      </c>
    </row>
    <row r="1526" spans="1:6" hidden="1" x14ac:dyDescent="0.3">
      <c r="A1526">
        <v>2025</v>
      </c>
      <c r="B1526">
        <v>10</v>
      </c>
      <c r="C1526" s="105" t="s">
        <v>46</v>
      </c>
      <c r="D1526" s="105" t="s">
        <v>24</v>
      </c>
      <c r="E1526">
        <v>39</v>
      </c>
      <c r="F1526" s="1">
        <v>30030</v>
      </c>
    </row>
    <row r="1527" spans="1:6" hidden="1" x14ac:dyDescent="0.3">
      <c r="A1527">
        <v>2025</v>
      </c>
      <c r="B1527">
        <v>10</v>
      </c>
      <c r="C1527" s="105" t="s">
        <v>46</v>
      </c>
      <c r="D1527" s="105" t="s">
        <v>25</v>
      </c>
      <c r="E1527">
        <v>89</v>
      </c>
      <c r="F1527" s="1">
        <v>95924</v>
      </c>
    </row>
    <row r="1528" spans="1:6" hidden="1" x14ac:dyDescent="0.3">
      <c r="A1528">
        <v>2025</v>
      </c>
      <c r="B1528">
        <v>10</v>
      </c>
      <c r="C1528" s="105" t="s">
        <v>46</v>
      </c>
      <c r="D1528" s="105" t="s">
        <v>26</v>
      </c>
      <c r="E1528">
        <v>20</v>
      </c>
      <c r="F1528" s="1">
        <v>13279</v>
      </c>
    </row>
    <row r="1529" spans="1:6" hidden="1" x14ac:dyDescent="0.3">
      <c r="A1529">
        <v>2025</v>
      </c>
      <c r="B1529">
        <v>10</v>
      </c>
      <c r="C1529" s="105" t="s">
        <v>46</v>
      </c>
      <c r="D1529" s="105" t="s">
        <v>27</v>
      </c>
      <c r="E1529">
        <v>37</v>
      </c>
      <c r="F1529" s="1">
        <v>37017</v>
      </c>
    </row>
    <row r="1530" spans="1:6" hidden="1" x14ac:dyDescent="0.3">
      <c r="A1530">
        <v>2025</v>
      </c>
      <c r="B1530">
        <v>10</v>
      </c>
      <c r="C1530" s="105" t="s">
        <v>46</v>
      </c>
      <c r="D1530" s="105" t="s">
        <v>28</v>
      </c>
      <c r="E1530">
        <v>13</v>
      </c>
      <c r="F1530" s="1">
        <v>8557</v>
      </c>
    </row>
    <row r="1531" spans="1:6" hidden="1" x14ac:dyDescent="0.3">
      <c r="A1531">
        <v>2025</v>
      </c>
      <c r="B1531">
        <v>10</v>
      </c>
      <c r="C1531" s="105" t="s">
        <v>46</v>
      </c>
      <c r="D1531" s="105" t="s">
        <v>29</v>
      </c>
      <c r="E1531">
        <v>120</v>
      </c>
      <c r="F1531" s="1">
        <v>100059</v>
      </c>
    </row>
    <row r="1532" spans="1:6" hidden="1" x14ac:dyDescent="0.3">
      <c r="A1532">
        <v>2025</v>
      </c>
      <c r="B1532">
        <v>10</v>
      </c>
      <c r="C1532" s="105" t="s">
        <v>46</v>
      </c>
      <c r="D1532" s="105" t="s">
        <v>30</v>
      </c>
      <c r="E1532">
        <v>19</v>
      </c>
      <c r="F1532" s="1">
        <v>12026</v>
      </c>
    </row>
    <row r="1533" spans="1:6" hidden="1" x14ac:dyDescent="0.3">
      <c r="A1533">
        <v>2025</v>
      </c>
      <c r="B1533">
        <v>10</v>
      </c>
      <c r="C1533" s="105" t="s">
        <v>46</v>
      </c>
      <c r="D1533" s="105" t="s">
        <v>31</v>
      </c>
      <c r="E1533">
        <v>189</v>
      </c>
      <c r="F1533" s="1">
        <v>179498.6</v>
      </c>
    </row>
    <row r="1534" spans="1:6" hidden="1" x14ac:dyDescent="0.3">
      <c r="A1534">
        <v>2025</v>
      </c>
      <c r="B1534">
        <v>10</v>
      </c>
      <c r="C1534" s="105" t="s">
        <v>46</v>
      </c>
      <c r="D1534" s="105" t="s">
        <v>51</v>
      </c>
      <c r="E1534">
        <v>10</v>
      </c>
      <c r="F1534" s="1">
        <v>7861</v>
      </c>
    </row>
    <row r="1535" spans="1:6" hidden="1" x14ac:dyDescent="0.3">
      <c r="A1535">
        <v>2025</v>
      </c>
      <c r="B1535">
        <v>10</v>
      </c>
      <c r="C1535" s="105" t="s">
        <v>46</v>
      </c>
      <c r="D1535" s="105" t="s">
        <v>32</v>
      </c>
      <c r="E1535">
        <v>35</v>
      </c>
      <c r="F1535" s="1">
        <v>29157</v>
      </c>
    </row>
    <row r="1536" spans="1:6" hidden="1" x14ac:dyDescent="0.3">
      <c r="A1536">
        <v>2025</v>
      </c>
      <c r="B1536">
        <v>10</v>
      </c>
      <c r="C1536" s="105" t="s">
        <v>46</v>
      </c>
      <c r="D1536" s="105" t="s">
        <v>52</v>
      </c>
      <c r="E1536">
        <v>29</v>
      </c>
      <c r="F1536" s="1">
        <v>25387</v>
      </c>
    </row>
    <row r="1537" spans="1:6" hidden="1" x14ac:dyDescent="0.3">
      <c r="A1537">
        <v>2025</v>
      </c>
      <c r="B1537">
        <v>10</v>
      </c>
      <c r="C1537" s="105" t="s">
        <v>46</v>
      </c>
      <c r="D1537" s="105" t="s">
        <v>33</v>
      </c>
      <c r="E1537">
        <v>168</v>
      </c>
      <c r="F1537" s="1">
        <v>179216.55</v>
      </c>
    </row>
    <row r="1538" spans="1:6" hidden="1" x14ac:dyDescent="0.3">
      <c r="A1538">
        <v>2025</v>
      </c>
      <c r="B1538">
        <v>10</v>
      </c>
      <c r="C1538" s="105" t="s">
        <v>46</v>
      </c>
      <c r="D1538" s="105" t="s">
        <v>58</v>
      </c>
      <c r="E1538">
        <v>7</v>
      </c>
      <c r="F1538" s="1">
        <v>5214</v>
      </c>
    </row>
    <row r="1539" spans="1:6" hidden="1" x14ac:dyDescent="0.3">
      <c r="A1539">
        <v>2025</v>
      </c>
      <c r="B1539">
        <v>10</v>
      </c>
      <c r="C1539" s="105" t="s">
        <v>46</v>
      </c>
      <c r="D1539" s="105" t="s">
        <v>34</v>
      </c>
      <c r="E1539">
        <v>88</v>
      </c>
      <c r="F1539" s="1">
        <v>89904.74</v>
      </c>
    </row>
    <row r="1540" spans="1:6" hidden="1" x14ac:dyDescent="0.3">
      <c r="A1540">
        <v>2025</v>
      </c>
      <c r="B1540">
        <v>10</v>
      </c>
      <c r="C1540" s="105" t="s">
        <v>46</v>
      </c>
      <c r="D1540" s="105" t="s">
        <v>56</v>
      </c>
      <c r="E1540">
        <v>8</v>
      </c>
      <c r="F1540" s="1">
        <v>6707</v>
      </c>
    </row>
    <row r="1541" spans="1:6" hidden="1" x14ac:dyDescent="0.3">
      <c r="A1541">
        <v>2025</v>
      </c>
      <c r="B1541">
        <v>10</v>
      </c>
      <c r="C1541" s="105" t="s">
        <v>46</v>
      </c>
      <c r="D1541" s="105" t="s">
        <v>57</v>
      </c>
      <c r="E1541">
        <v>27</v>
      </c>
      <c r="F1541" s="1">
        <v>18744</v>
      </c>
    </row>
    <row r="1542" spans="1:6" hidden="1" x14ac:dyDescent="0.3">
      <c r="A1542">
        <v>2025</v>
      </c>
      <c r="B1542">
        <v>10</v>
      </c>
      <c r="C1542" s="105" t="s">
        <v>46</v>
      </c>
      <c r="D1542" s="105" t="s">
        <v>49</v>
      </c>
      <c r="E1542">
        <v>4</v>
      </c>
      <c r="F1542" s="1">
        <v>2595</v>
      </c>
    </row>
    <row r="1543" spans="1:6" hidden="1" x14ac:dyDescent="0.3">
      <c r="A1543">
        <v>2025</v>
      </c>
      <c r="B1543">
        <v>10</v>
      </c>
      <c r="C1543" s="105" t="s">
        <v>46</v>
      </c>
      <c r="D1543" s="105" t="s">
        <v>53</v>
      </c>
      <c r="E1543">
        <v>34</v>
      </c>
      <c r="F1543" s="1">
        <v>31879</v>
      </c>
    </row>
    <row r="1544" spans="1:6" hidden="1" x14ac:dyDescent="0.3">
      <c r="A1544">
        <v>2025</v>
      </c>
      <c r="B1544">
        <v>10</v>
      </c>
      <c r="C1544" s="105" t="s">
        <v>46</v>
      </c>
      <c r="D1544" s="105" t="s">
        <v>35</v>
      </c>
      <c r="E1544">
        <v>59</v>
      </c>
      <c r="F1544" s="1">
        <v>54673</v>
      </c>
    </row>
    <row r="1545" spans="1:6" hidden="1" x14ac:dyDescent="0.3">
      <c r="A1545">
        <v>2025</v>
      </c>
      <c r="B1545">
        <v>10</v>
      </c>
      <c r="C1545" s="105" t="s">
        <v>46</v>
      </c>
      <c r="D1545" s="105" t="s">
        <v>36</v>
      </c>
      <c r="E1545">
        <v>32</v>
      </c>
      <c r="F1545" s="1">
        <v>28900</v>
      </c>
    </row>
    <row r="1546" spans="1:6" hidden="1" x14ac:dyDescent="0.3">
      <c r="A1546">
        <v>2025</v>
      </c>
      <c r="B1546">
        <v>10</v>
      </c>
      <c r="C1546" s="105" t="s">
        <v>46</v>
      </c>
      <c r="D1546" s="105" t="s">
        <v>37</v>
      </c>
      <c r="E1546">
        <v>96</v>
      </c>
      <c r="F1546" s="1">
        <v>88374</v>
      </c>
    </row>
    <row r="1547" spans="1:6" hidden="1" x14ac:dyDescent="0.3">
      <c r="A1547">
        <v>2025</v>
      </c>
      <c r="B1547">
        <v>11</v>
      </c>
      <c r="C1547" s="105" t="s">
        <v>47</v>
      </c>
      <c r="D1547" s="105" t="s">
        <v>7</v>
      </c>
      <c r="E1547">
        <v>28</v>
      </c>
      <c r="F1547" s="1">
        <v>24873</v>
      </c>
    </row>
    <row r="1548" spans="1:6" hidden="1" x14ac:dyDescent="0.3">
      <c r="A1548">
        <v>2025</v>
      </c>
      <c r="B1548">
        <v>11</v>
      </c>
      <c r="C1548" s="105" t="s">
        <v>47</v>
      </c>
      <c r="D1548" s="105" t="s">
        <v>8</v>
      </c>
      <c r="E1548">
        <v>18</v>
      </c>
      <c r="F1548" s="1">
        <v>22485</v>
      </c>
    </row>
    <row r="1549" spans="1:6" hidden="1" x14ac:dyDescent="0.3">
      <c r="A1549">
        <v>2025</v>
      </c>
      <c r="B1549">
        <v>11</v>
      </c>
      <c r="C1549" s="105" t="s">
        <v>47</v>
      </c>
      <c r="D1549" s="105" t="s">
        <v>9</v>
      </c>
      <c r="E1549">
        <v>9</v>
      </c>
      <c r="F1549" s="1">
        <v>6542</v>
      </c>
    </row>
    <row r="1550" spans="1:6" hidden="1" x14ac:dyDescent="0.3">
      <c r="A1550">
        <v>2025</v>
      </c>
      <c r="B1550">
        <v>11</v>
      </c>
      <c r="C1550" s="105" t="s">
        <v>47</v>
      </c>
      <c r="D1550" s="105" t="s">
        <v>10</v>
      </c>
      <c r="E1550">
        <v>81</v>
      </c>
      <c r="F1550" s="1">
        <v>79811</v>
      </c>
    </row>
    <row r="1551" spans="1:6" hidden="1" x14ac:dyDescent="0.3">
      <c r="A1551">
        <v>2025</v>
      </c>
      <c r="B1551">
        <v>11</v>
      </c>
      <c r="C1551" s="105" t="s">
        <v>47</v>
      </c>
      <c r="D1551" s="105" t="s">
        <v>11</v>
      </c>
      <c r="E1551">
        <v>15</v>
      </c>
      <c r="F1551" s="1">
        <v>14614</v>
      </c>
    </row>
    <row r="1552" spans="1:6" hidden="1" x14ac:dyDescent="0.3">
      <c r="A1552">
        <v>2025</v>
      </c>
      <c r="B1552">
        <v>11</v>
      </c>
      <c r="C1552" s="105" t="s">
        <v>47</v>
      </c>
      <c r="D1552" s="105" t="s">
        <v>59</v>
      </c>
      <c r="E1552">
        <v>3</v>
      </c>
      <c r="F1552" s="1">
        <v>3177</v>
      </c>
    </row>
    <row r="1553" spans="1:6" hidden="1" x14ac:dyDescent="0.3">
      <c r="A1553">
        <v>2025</v>
      </c>
      <c r="B1553">
        <v>11</v>
      </c>
      <c r="C1553" s="105" t="s">
        <v>47</v>
      </c>
      <c r="D1553" s="105" t="s">
        <v>12</v>
      </c>
      <c r="E1553">
        <v>35</v>
      </c>
      <c r="F1553" s="1">
        <v>58802</v>
      </c>
    </row>
    <row r="1554" spans="1:6" hidden="1" x14ac:dyDescent="0.3">
      <c r="A1554">
        <v>2025</v>
      </c>
      <c r="B1554">
        <v>11</v>
      </c>
      <c r="C1554" s="105" t="s">
        <v>47</v>
      </c>
      <c r="D1554" s="105" t="s">
        <v>13</v>
      </c>
      <c r="E1554">
        <v>40</v>
      </c>
      <c r="F1554" s="1">
        <v>38614</v>
      </c>
    </row>
    <row r="1555" spans="1:6" hidden="1" x14ac:dyDescent="0.3">
      <c r="A1555">
        <v>2025</v>
      </c>
      <c r="B1555">
        <v>11</v>
      </c>
      <c r="C1555" s="105" t="s">
        <v>47</v>
      </c>
      <c r="D1555" s="105" t="s">
        <v>14</v>
      </c>
      <c r="E1555">
        <v>31</v>
      </c>
      <c r="F1555" s="1">
        <v>23626</v>
      </c>
    </row>
    <row r="1556" spans="1:6" hidden="1" x14ac:dyDescent="0.3">
      <c r="A1556">
        <v>2025</v>
      </c>
      <c r="B1556">
        <v>11</v>
      </c>
      <c r="C1556" s="105" t="s">
        <v>47</v>
      </c>
      <c r="D1556" s="105" t="s">
        <v>15</v>
      </c>
      <c r="E1556">
        <v>42</v>
      </c>
      <c r="F1556" s="1">
        <v>30183</v>
      </c>
    </row>
    <row r="1557" spans="1:6" hidden="1" x14ac:dyDescent="0.3">
      <c r="A1557">
        <v>2025</v>
      </c>
      <c r="B1557">
        <v>11</v>
      </c>
      <c r="C1557" s="105" t="s">
        <v>47</v>
      </c>
      <c r="D1557" s="105" t="s">
        <v>16</v>
      </c>
      <c r="E1557">
        <v>12</v>
      </c>
      <c r="F1557" s="1">
        <v>9419</v>
      </c>
    </row>
    <row r="1558" spans="1:6" hidden="1" x14ac:dyDescent="0.3">
      <c r="A1558">
        <v>2025</v>
      </c>
      <c r="B1558">
        <v>11</v>
      </c>
      <c r="C1558" s="105" t="s">
        <v>47</v>
      </c>
      <c r="D1558" s="105" t="s">
        <v>54</v>
      </c>
      <c r="E1558">
        <v>9</v>
      </c>
      <c r="F1558" s="1">
        <v>5789</v>
      </c>
    </row>
    <row r="1559" spans="1:6" hidden="1" x14ac:dyDescent="0.3">
      <c r="A1559">
        <v>2025</v>
      </c>
      <c r="B1559">
        <v>11</v>
      </c>
      <c r="C1559" s="105" t="s">
        <v>47</v>
      </c>
      <c r="D1559" s="105" t="s">
        <v>17</v>
      </c>
      <c r="E1559">
        <v>80</v>
      </c>
      <c r="F1559" s="1">
        <v>80752.5</v>
      </c>
    </row>
    <row r="1560" spans="1:6" hidden="1" x14ac:dyDescent="0.3">
      <c r="A1560">
        <v>2025</v>
      </c>
      <c r="B1560">
        <v>11</v>
      </c>
      <c r="C1560" s="105" t="s">
        <v>47</v>
      </c>
      <c r="D1560" s="105" t="s">
        <v>18</v>
      </c>
      <c r="E1560">
        <v>137</v>
      </c>
      <c r="F1560" s="1">
        <v>133487</v>
      </c>
    </row>
    <row r="1561" spans="1:6" hidden="1" x14ac:dyDescent="0.3">
      <c r="A1561">
        <v>2025</v>
      </c>
      <c r="B1561">
        <v>11</v>
      </c>
      <c r="C1561" s="105" t="s">
        <v>47</v>
      </c>
      <c r="D1561" s="105" t="s">
        <v>50</v>
      </c>
      <c r="E1561">
        <v>29</v>
      </c>
      <c r="F1561" s="1">
        <v>21615.94</v>
      </c>
    </row>
    <row r="1562" spans="1:6" hidden="1" x14ac:dyDescent="0.3">
      <c r="A1562">
        <v>2025</v>
      </c>
      <c r="B1562">
        <v>11</v>
      </c>
      <c r="C1562" s="105" t="s">
        <v>47</v>
      </c>
      <c r="D1562" s="105" t="s">
        <v>55</v>
      </c>
      <c r="E1562">
        <v>9</v>
      </c>
      <c r="F1562" s="1">
        <v>7734</v>
      </c>
    </row>
    <row r="1563" spans="1:6" hidden="1" x14ac:dyDescent="0.3">
      <c r="A1563">
        <v>2025</v>
      </c>
      <c r="B1563">
        <v>11</v>
      </c>
      <c r="C1563" s="105" t="s">
        <v>47</v>
      </c>
      <c r="D1563" s="105" t="s">
        <v>19</v>
      </c>
      <c r="E1563">
        <v>20</v>
      </c>
      <c r="F1563" s="1">
        <v>14221</v>
      </c>
    </row>
    <row r="1564" spans="1:6" hidden="1" x14ac:dyDescent="0.3">
      <c r="A1564">
        <v>2025</v>
      </c>
      <c r="B1564">
        <v>11</v>
      </c>
      <c r="C1564" s="105" t="s">
        <v>47</v>
      </c>
      <c r="D1564" s="105" t="s">
        <v>20</v>
      </c>
      <c r="E1564">
        <v>32</v>
      </c>
      <c r="F1564" s="1">
        <v>40005</v>
      </c>
    </row>
    <row r="1565" spans="1:6" hidden="1" x14ac:dyDescent="0.3">
      <c r="A1565">
        <v>2025</v>
      </c>
      <c r="B1565">
        <v>11</v>
      </c>
      <c r="C1565" s="105" t="s">
        <v>47</v>
      </c>
      <c r="D1565" s="105" t="s">
        <v>21</v>
      </c>
      <c r="E1565">
        <v>42</v>
      </c>
      <c r="F1565" s="1">
        <v>43177</v>
      </c>
    </row>
    <row r="1566" spans="1:6" x14ac:dyDescent="0.3">
      <c r="A1566">
        <v>2025</v>
      </c>
      <c r="B1566">
        <v>11</v>
      </c>
      <c r="C1566" s="105" t="s">
        <v>47</v>
      </c>
      <c r="D1566" s="105" t="s">
        <v>22</v>
      </c>
      <c r="E1566">
        <v>33</v>
      </c>
      <c r="F1566" s="1">
        <v>23324</v>
      </c>
    </row>
    <row r="1567" spans="1:6" hidden="1" x14ac:dyDescent="0.3">
      <c r="A1567">
        <v>2025</v>
      </c>
      <c r="B1567">
        <v>11</v>
      </c>
      <c r="C1567" s="105" t="s">
        <v>47</v>
      </c>
      <c r="D1567" s="105" t="s">
        <v>23</v>
      </c>
      <c r="E1567">
        <v>35</v>
      </c>
      <c r="F1567" s="1">
        <v>64118</v>
      </c>
    </row>
    <row r="1568" spans="1:6" hidden="1" x14ac:dyDescent="0.3">
      <c r="A1568">
        <v>2025</v>
      </c>
      <c r="B1568">
        <v>11</v>
      </c>
      <c r="C1568" s="105" t="s">
        <v>47</v>
      </c>
      <c r="D1568" s="105" t="s">
        <v>24</v>
      </c>
      <c r="E1568">
        <v>31</v>
      </c>
      <c r="F1568" s="1">
        <v>28486</v>
      </c>
    </row>
    <row r="1569" spans="1:6" hidden="1" x14ac:dyDescent="0.3">
      <c r="A1569">
        <v>2025</v>
      </c>
      <c r="B1569">
        <v>11</v>
      </c>
      <c r="C1569" s="105" t="s">
        <v>47</v>
      </c>
      <c r="D1569" s="105" t="s">
        <v>25</v>
      </c>
      <c r="E1569">
        <v>63</v>
      </c>
      <c r="F1569" s="1">
        <v>55620</v>
      </c>
    </row>
    <row r="1570" spans="1:6" hidden="1" x14ac:dyDescent="0.3">
      <c r="A1570">
        <v>2025</v>
      </c>
      <c r="B1570">
        <v>11</v>
      </c>
      <c r="C1570" s="105" t="s">
        <v>47</v>
      </c>
      <c r="D1570" s="105" t="s">
        <v>26</v>
      </c>
      <c r="E1570">
        <v>15</v>
      </c>
      <c r="F1570" s="1">
        <v>12865</v>
      </c>
    </row>
    <row r="1571" spans="1:6" hidden="1" x14ac:dyDescent="0.3">
      <c r="A1571">
        <v>2025</v>
      </c>
      <c r="B1571">
        <v>11</v>
      </c>
      <c r="C1571" s="105" t="s">
        <v>47</v>
      </c>
      <c r="D1571" s="105" t="s">
        <v>27</v>
      </c>
      <c r="E1571">
        <v>35</v>
      </c>
      <c r="F1571" s="1">
        <v>42054.93</v>
      </c>
    </row>
    <row r="1572" spans="1:6" hidden="1" x14ac:dyDescent="0.3">
      <c r="A1572">
        <v>2025</v>
      </c>
      <c r="B1572">
        <v>11</v>
      </c>
      <c r="C1572" s="105" t="s">
        <v>47</v>
      </c>
      <c r="D1572" s="105" t="s">
        <v>28</v>
      </c>
      <c r="E1572">
        <v>15</v>
      </c>
      <c r="F1572" s="1">
        <v>44178</v>
      </c>
    </row>
    <row r="1573" spans="1:6" hidden="1" x14ac:dyDescent="0.3">
      <c r="A1573">
        <v>2025</v>
      </c>
      <c r="B1573">
        <v>11</v>
      </c>
      <c r="C1573" s="105" t="s">
        <v>47</v>
      </c>
      <c r="D1573" s="105" t="s">
        <v>29</v>
      </c>
      <c r="E1573">
        <v>52</v>
      </c>
      <c r="F1573" s="1">
        <v>104496.36</v>
      </c>
    </row>
    <row r="1574" spans="1:6" hidden="1" x14ac:dyDescent="0.3">
      <c r="A1574">
        <v>2025</v>
      </c>
      <c r="B1574">
        <v>11</v>
      </c>
      <c r="C1574" s="105" t="s">
        <v>47</v>
      </c>
      <c r="D1574" s="105" t="s">
        <v>30</v>
      </c>
      <c r="E1574">
        <v>23</v>
      </c>
      <c r="F1574" s="1">
        <v>16080</v>
      </c>
    </row>
    <row r="1575" spans="1:6" hidden="1" x14ac:dyDescent="0.3">
      <c r="A1575">
        <v>2025</v>
      </c>
      <c r="B1575">
        <v>11</v>
      </c>
      <c r="C1575" s="105" t="s">
        <v>47</v>
      </c>
      <c r="D1575" s="105" t="s">
        <v>31</v>
      </c>
      <c r="E1575">
        <v>165</v>
      </c>
      <c r="F1575" s="1">
        <v>174749</v>
      </c>
    </row>
    <row r="1576" spans="1:6" hidden="1" x14ac:dyDescent="0.3">
      <c r="A1576">
        <v>2025</v>
      </c>
      <c r="B1576">
        <v>11</v>
      </c>
      <c r="C1576" s="105" t="s">
        <v>47</v>
      </c>
      <c r="D1576" s="105" t="s">
        <v>51</v>
      </c>
      <c r="E1576">
        <v>19</v>
      </c>
      <c r="F1576" s="1">
        <v>14219</v>
      </c>
    </row>
    <row r="1577" spans="1:6" hidden="1" x14ac:dyDescent="0.3">
      <c r="A1577">
        <v>2025</v>
      </c>
      <c r="B1577">
        <v>11</v>
      </c>
      <c r="C1577" s="105" t="s">
        <v>47</v>
      </c>
      <c r="D1577" s="105" t="s">
        <v>32</v>
      </c>
      <c r="E1577">
        <v>35</v>
      </c>
      <c r="F1577" s="1">
        <v>32143</v>
      </c>
    </row>
    <row r="1578" spans="1:6" hidden="1" x14ac:dyDescent="0.3">
      <c r="A1578">
        <v>2025</v>
      </c>
      <c r="B1578">
        <v>11</v>
      </c>
      <c r="C1578" s="105" t="s">
        <v>47</v>
      </c>
      <c r="D1578" s="105" t="s">
        <v>52</v>
      </c>
      <c r="E1578">
        <v>30</v>
      </c>
      <c r="F1578" s="1">
        <v>29028</v>
      </c>
    </row>
    <row r="1579" spans="1:6" hidden="1" x14ac:dyDescent="0.3">
      <c r="A1579">
        <v>2025</v>
      </c>
      <c r="B1579">
        <v>11</v>
      </c>
      <c r="C1579" s="105" t="s">
        <v>47</v>
      </c>
      <c r="D1579" s="105" t="s">
        <v>33</v>
      </c>
      <c r="E1579">
        <v>123</v>
      </c>
      <c r="F1579" s="1">
        <v>117444</v>
      </c>
    </row>
    <row r="1580" spans="1:6" hidden="1" x14ac:dyDescent="0.3">
      <c r="A1580">
        <v>2025</v>
      </c>
      <c r="B1580">
        <v>11</v>
      </c>
      <c r="C1580" s="105" t="s">
        <v>47</v>
      </c>
      <c r="D1580" s="105" t="s">
        <v>58</v>
      </c>
      <c r="E1580">
        <v>9</v>
      </c>
      <c r="F1580" s="1">
        <v>7953</v>
      </c>
    </row>
    <row r="1581" spans="1:6" hidden="1" x14ac:dyDescent="0.3">
      <c r="A1581">
        <v>2025</v>
      </c>
      <c r="B1581">
        <v>11</v>
      </c>
      <c r="C1581" s="105" t="s">
        <v>47</v>
      </c>
      <c r="D1581" s="105" t="s">
        <v>34</v>
      </c>
      <c r="E1581">
        <v>30</v>
      </c>
      <c r="F1581" s="1">
        <v>25486</v>
      </c>
    </row>
    <row r="1582" spans="1:6" hidden="1" x14ac:dyDescent="0.3">
      <c r="A1582">
        <v>2025</v>
      </c>
      <c r="B1582">
        <v>11</v>
      </c>
      <c r="C1582" s="105" t="s">
        <v>47</v>
      </c>
      <c r="D1582" s="105" t="s">
        <v>56</v>
      </c>
      <c r="E1582">
        <v>15</v>
      </c>
      <c r="F1582" s="1">
        <v>12522</v>
      </c>
    </row>
    <row r="1583" spans="1:6" hidden="1" x14ac:dyDescent="0.3">
      <c r="A1583">
        <v>2025</v>
      </c>
      <c r="B1583">
        <v>11</v>
      </c>
      <c r="C1583" s="105" t="s">
        <v>47</v>
      </c>
      <c r="D1583" s="105" t="s">
        <v>57</v>
      </c>
      <c r="E1583">
        <v>20</v>
      </c>
      <c r="F1583" s="1">
        <v>15333</v>
      </c>
    </row>
    <row r="1584" spans="1:6" hidden="1" x14ac:dyDescent="0.3">
      <c r="A1584">
        <v>2025</v>
      </c>
      <c r="B1584">
        <v>11</v>
      </c>
      <c r="C1584" s="105" t="s">
        <v>47</v>
      </c>
      <c r="D1584" s="105" t="s">
        <v>49</v>
      </c>
      <c r="E1584">
        <v>2</v>
      </c>
      <c r="F1584" s="1">
        <v>1654</v>
      </c>
    </row>
    <row r="1585" spans="1:6" hidden="1" x14ac:dyDescent="0.3">
      <c r="A1585">
        <v>2025</v>
      </c>
      <c r="B1585">
        <v>11</v>
      </c>
      <c r="C1585" s="105" t="s">
        <v>47</v>
      </c>
      <c r="D1585" s="105" t="s">
        <v>53</v>
      </c>
      <c r="E1585">
        <v>27</v>
      </c>
      <c r="F1585" s="1">
        <v>27708</v>
      </c>
    </row>
    <row r="1586" spans="1:6" hidden="1" x14ac:dyDescent="0.3">
      <c r="A1586">
        <v>2025</v>
      </c>
      <c r="B1586">
        <v>11</v>
      </c>
      <c r="C1586" s="105" t="s">
        <v>47</v>
      </c>
      <c r="D1586" s="105" t="s">
        <v>35</v>
      </c>
      <c r="E1586">
        <v>33</v>
      </c>
      <c r="F1586" s="1">
        <v>39480.5</v>
      </c>
    </row>
    <row r="1587" spans="1:6" hidden="1" x14ac:dyDescent="0.3">
      <c r="A1587">
        <v>2025</v>
      </c>
      <c r="B1587">
        <v>11</v>
      </c>
      <c r="C1587" s="105" t="s">
        <v>47</v>
      </c>
      <c r="D1587" s="105" t="s">
        <v>36</v>
      </c>
      <c r="E1587">
        <v>65</v>
      </c>
      <c r="F1587" s="1">
        <v>81345</v>
      </c>
    </row>
    <row r="1588" spans="1:6" hidden="1" x14ac:dyDescent="0.3">
      <c r="A1588">
        <v>2025</v>
      </c>
      <c r="B1588">
        <v>11</v>
      </c>
      <c r="C1588" s="105" t="s">
        <v>47</v>
      </c>
      <c r="D1588" s="105" t="s">
        <v>37</v>
      </c>
      <c r="E1588">
        <v>46</v>
      </c>
      <c r="F1588" s="1">
        <v>81659</v>
      </c>
    </row>
    <row r="1589" spans="1:6" hidden="1" x14ac:dyDescent="0.3">
      <c r="A1589">
        <v>2025</v>
      </c>
      <c r="B1589">
        <v>12</v>
      </c>
      <c r="C1589" s="105" t="s">
        <v>48</v>
      </c>
      <c r="D1589" s="105" t="s">
        <v>7</v>
      </c>
      <c r="E1589">
        <v>15</v>
      </c>
      <c r="F1589" s="1">
        <v>35258</v>
      </c>
    </row>
    <row r="1590" spans="1:6" hidden="1" x14ac:dyDescent="0.3">
      <c r="A1590">
        <v>2025</v>
      </c>
      <c r="B1590">
        <v>12</v>
      </c>
      <c r="C1590" s="105" t="s">
        <v>48</v>
      </c>
      <c r="D1590" s="105" t="s">
        <v>8</v>
      </c>
      <c r="E1590">
        <v>20</v>
      </c>
      <c r="F1590" s="1">
        <v>12956</v>
      </c>
    </row>
    <row r="1591" spans="1:6" hidden="1" x14ac:dyDescent="0.3">
      <c r="A1591">
        <v>2025</v>
      </c>
      <c r="B1591">
        <v>12</v>
      </c>
      <c r="C1591" s="105" t="s">
        <v>48</v>
      </c>
      <c r="D1591" s="105" t="s">
        <v>9</v>
      </c>
      <c r="E1591">
        <v>9</v>
      </c>
      <c r="F1591" s="1">
        <v>7233</v>
      </c>
    </row>
    <row r="1592" spans="1:6" hidden="1" x14ac:dyDescent="0.3">
      <c r="A1592">
        <v>2025</v>
      </c>
      <c r="B1592">
        <v>12</v>
      </c>
      <c r="C1592" s="105" t="s">
        <v>48</v>
      </c>
      <c r="D1592" s="105" t="s">
        <v>10</v>
      </c>
      <c r="E1592">
        <v>59</v>
      </c>
      <c r="F1592" s="1">
        <v>55948</v>
      </c>
    </row>
    <row r="1593" spans="1:6" hidden="1" x14ac:dyDescent="0.3">
      <c r="A1593">
        <v>2025</v>
      </c>
      <c r="B1593">
        <v>12</v>
      </c>
      <c r="C1593" s="105" t="s">
        <v>48</v>
      </c>
      <c r="D1593" s="105" t="s">
        <v>11</v>
      </c>
      <c r="E1593">
        <v>27</v>
      </c>
      <c r="F1593" s="1">
        <v>24618</v>
      </c>
    </row>
    <row r="1594" spans="1:6" hidden="1" x14ac:dyDescent="0.3">
      <c r="A1594">
        <v>2025</v>
      </c>
      <c r="B1594">
        <v>12</v>
      </c>
      <c r="C1594" s="105" t="s">
        <v>48</v>
      </c>
      <c r="D1594" s="105" t="s">
        <v>59</v>
      </c>
      <c r="E1594">
        <v>5</v>
      </c>
      <c r="F1594" s="1">
        <v>5338</v>
      </c>
    </row>
    <row r="1595" spans="1:6" hidden="1" x14ac:dyDescent="0.3">
      <c r="A1595">
        <v>2025</v>
      </c>
      <c r="B1595">
        <v>12</v>
      </c>
      <c r="C1595" s="105" t="s">
        <v>48</v>
      </c>
      <c r="D1595" s="105" t="s">
        <v>12</v>
      </c>
      <c r="E1595">
        <v>46</v>
      </c>
      <c r="F1595" s="1">
        <v>62421.52</v>
      </c>
    </row>
    <row r="1596" spans="1:6" hidden="1" x14ac:dyDescent="0.3">
      <c r="A1596">
        <v>2025</v>
      </c>
      <c r="B1596">
        <v>12</v>
      </c>
      <c r="C1596" s="105" t="s">
        <v>48</v>
      </c>
      <c r="D1596" s="105" t="s">
        <v>13</v>
      </c>
      <c r="E1596">
        <v>46</v>
      </c>
      <c r="F1596" s="1">
        <v>56553</v>
      </c>
    </row>
    <row r="1597" spans="1:6" hidden="1" x14ac:dyDescent="0.3">
      <c r="A1597">
        <v>2025</v>
      </c>
      <c r="B1597">
        <v>12</v>
      </c>
      <c r="C1597" s="105" t="s">
        <v>48</v>
      </c>
      <c r="D1597" s="105" t="s">
        <v>14</v>
      </c>
      <c r="E1597">
        <v>38</v>
      </c>
      <c r="F1597" s="1">
        <v>23271</v>
      </c>
    </row>
    <row r="1598" spans="1:6" hidden="1" x14ac:dyDescent="0.3">
      <c r="A1598">
        <v>2025</v>
      </c>
      <c r="B1598">
        <v>12</v>
      </c>
      <c r="C1598" s="105" t="s">
        <v>48</v>
      </c>
      <c r="D1598" s="105" t="s">
        <v>15</v>
      </c>
      <c r="E1598">
        <v>20</v>
      </c>
      <c r="F1598" s="1">
        <v>14368</v>
      </c>
    </row>
    <row r="1599" spans="1:6" hidden="1" x14ac:dyDescent="0.3">
      <c r="A1599">
        <v>2025</v>
      </c>
      <c r="B1599">
        <v>12</v>
      </c>
      <c r="C1599" s="105" t="s">
        <v>48</v>
      </c>
      <c r="D1599" s="105" t="s">
        <v>16</v>
      </c>
      <c r="E1599">
        <v>19</v>
      </c>
      <c r="F1599" s="1">
        <v>15090</v>
      </c>
    </row>
    <row r="1600" spans="1:6" hidden="1" x14ac:dyDescent="0.3">
      <c r="A1600">
        <v>2025</v>
      </c>
      <c r="B1600">
        <v>12</v>
      </c>
      <c r="C1600" s="105" t="s">
        <v>48</v>
      </c>
      <c r="D1600" s="105" t="s">
        <v>54</v>
      </c>
      <c r="E1600">
        <v>6</v>
      </c>
      <c r="F1600" s="1">
        <v>4888</v>
      </c>
    </row>
    <row r="1601" spans="1:6" hidden="1" x14ac:dyDescent="0.3">
      <c r="A1601">
        <v>2025</v>
      </c>
      <c r="B1601">
        <v>12</v>
      </c>
      <c r="C1601" s="105" t="s">
        <v>48</v>
      </c>
      <c r="D1601" s="105" t="s">
        <v>17</v>
      </c>
      <c r="E1601">
        <v>48</v>
      </c>
      <c r="F1601" s="1">
        <v>48585</v>
      </c>
    </row>
    <row r="1602" spans="1:6" hidden="1" x14ac:dyDescent="0.3">
      <c r="A1602">
        <v>2025</v>
      </c>
      <c r="B1602">
        <v>12</v>
      </c>
      <c r="C1602" s="105" t="s">
        <v>48</v>
      </c>
      <c r="D1602" s="105" t="s">
        <v>18</v>
      </c>
      <c r="E1602">
        <v>92</v>
      </c>
      <c r="F1602" s="1">
        <v>92264</v>
      </c>
    </row>
    <row r="1603" spans="1:6" hidden="1" x14ac:dyDescent="0.3">
      <c r="A1603">
        <v>2025</v>
      </c>
      <c r="B1603">
        <v>12</v>
      </c>
      <c r="C1603" s="105" t="s">
        <v>48</v>
      </c>
      <c r="D1603" s="105" t="s">
        <v>50</v>
      </c>
      <c r="E1603">
        <v>25</v>
      </c>
      <c r="F1603" s="1">
        <v>22708</v>
      </c>
    </row>
    <row r="1604" spans="1:6" hidden="1" x14ac:dyDescent="0.3">
      <c r="A1604">
        <v>2025</v>
      </c>
      <c r="B1604">
        <v>12</v>
      </c>
      <c r="C1604" s="105" t="s">
        <v>48</v>
      </c>
      <c r="D1604" s="105" t="s">
        <v>55</v>
      </c>
      <c r="E1604">
        <v>4</v>
      </c>
      <c r="F1604" s="1">
        <v>3738</v>
      </c>
    </row>
    <row r="1605" spans="1:6" hidden="1" x14ac:dyDescent="0.3">
      <c r="A1605">
        <v>2025</v>
      </c>
      <c r="B1605">
        <v>12</v>
      </c>
      <c r="C1605" s="105" t="s">
        <v>48</v>
      </c>
      <c r="D1605" s="105" t="s">
        <v>19</v>
      </c>
      <c r="E1605">
        <v>26</v>
      </c>
      <c r="F1605" s="1">
        <v>28888</v>
      </c>
    </row>
    <row r="1606" spans="1:6" hidden="1" x14ac:dyDescent="0.3">
      <c r="A1606">
        <v>2025</v>
      </c>
      <c r="B1606">
        <v>12</v>
      </c>
      <c r="C1606" s="105" t="s">
        <v>48</v>
      </c>
      <c r="D1606" s="105" t="s">
        <v>20</v>
      </c>
      <c r="E1606">
        <v>36</v>
      </c>
      <c r="F1606" s="1">
        <v>37417</v>
      </c>
    </row>
    <row r="1607" spans="1:6" hidden="1" x14ac:dyDescent="0.3">
      <c r="A1607">
        <v>2025</v>
      </c>
      <c r="B1607">
        <v>12</v>
      </c>
      <c r="C1607" s="105" t="s">
        <v>48</v>
      </c>
      <c r="D1607" s="105" t="s">
        <v>21</v>
      </c>
      <c r="E1607">
        <v>41</v>
      </c>
      <c r="F1607" s="1">
        <v>38461.9</v>
      </c>
    </row>
    <row r="1608" spans="1:6" x14ac:dyDescent="0.3">
      <c r="A1608">
        <v>2025</v>
      </c>
      <c r="B1608">
        <v>12</v>
      </c>
      <c r="C1608" s="105" t="s">
        <v>48</v>
      </c>
      <c r="D1608" s="105" t="s">
        <v>22</v>
      </c>
      <c r="E1608">
        <v>21</v>
      </c>
      <c r="F1608" s="1">
        <v>13473</v>
      </c>
    </row>
    <row r="1609" spans="1:6" hidden="1" x14ac:dyDescent="0.3">
      <c r="A1609">
        <v>2025</v>
      </c>
      <c r="B1609">
        <v>12</v>
      </c>
      <c r="C1609" s="105" t="s">
        <v>48</v>
      </c>
      <c r="D1609" s="105" t="s">
        <v>23</v>
      </c>
      <c r="E1609">
        <v>43</v>
      </c>
      <c r="F1609" s="1">
        <v>44184</v>
      </c>
    </row>
    <row r="1610" spans="1:6" hidden="1" x14ac:dyDescent="0.3">
      <c r="A1610">
        <v>2025</v>
      </c>
      <c r="B1610">
        <v>12</v>
      </c>
      <c r="C1610" s="105" t="s">
        <v>48</v>
      </c>
      <c r="D1610" s="105" t="s">
        <v>24</v>
      </c>
      <c r="E1610">
        <v>35</v>
      </c>
      <c r="F1610" s="1">
        <v>25904.97</v>
      </c>
    </row>
    <row r="1611" spans="1:6" hidden="1" x14ac:dyDescent="0.3">
      <c r="A1611">
        <v>2025</v>
      </c>
      <c r="B1611">
        <v>12</v>
      </c>
      <c r="C1611" s="105" t="s">
        <v>48</v>
      </c>
      <c r="D1611" s="105" t="s">
        <v>25</v>
      </c>
      <c r="E1611">
        <v>44</v>
      </c>
      <c r="F1611" s="1">
        <v>32200</v>
      </c>
    </row>
    <row r="1612" spans="1:6" hidden="1" x14ac:dyDescent="0.3">
      <c r="A1612">
        <v>2025</v>
      </c>
      <c r="B1612">
        <v>12</v>
      </c>
      <c r="C1612" s="105" t="s">
        <v>48</v>
      </c>
      <c r="D1612" s="105" t="s">
        <v>26</v>
      </c>
      <c r="E1612">
        <v>9</v>
      </c>
      <c r="F1612" s="1">
        <v>12352</v>
      </c>
    </row>
    <row r="1613" spans="1:6" hidden="1" x14ac:dyDescent="0.3">
      <c r="A1613">
        <v>2025</v>
      </c>
      <c r="B1613">
        <v>12</v>
      </c>
      <c r="C1613" s="105" t="s">
        <v>48</v>
      </c>
      <c r="D1613" s="105" t="s">
        <v>27</v>
      </c>
      <c r="E1613">
        <v>19</v>
      </c>
      <c r="F1613" s="1">
        <v>14078</v>
      </c>
    </row>
    <row r="1614" spans="1:6" hidden="1" x14ac:dyDescent="0.3">
      <c r="A1614">
        <v>2025</v>
      </c>
      <c r="B1614">
        <v>12</v>
      </c>
      <c r="C1614" s="105" t="s">
        <v>48</v>
      </c>
      <c r="D1614" s="105" t="s">
        <v>28</v>
      </c>
      <c r="E1614">
        <v>15</v>
      </c>
      <c r="F1614" s="1">
        <v>10390</v>
      </c>
    </row>
    <row r="1615" spans="1:6" hidden="1" x14ac:dyDescent="0.3">
      <c r="A1615">
        <v>2025</v>
      </c>
      <c r="B1615">
        <v>12</v>
      </c>
      <c r="C1615" s="105" t="s">
        <v>48</v>
      </c>
      <c r="D1615" s="105" t="s">
        <v>29</v>
      </c>
      <c r="E1615">
        <v>43</v>
      </c>
      <c r="F1615" s="1">
        <v>42964</v>
      </c>
    </row>
    <row r="1616" spans="1:6" hidden="1" x14ac:dyDescent="0.3">
      <c r="A1616">
        <v>2025</v>
      </c>
      <c r="B1616">
        <v>12</v>
      </c>
      <c r="C1616" s="105" t="s">
        <v>48</v>
      </c>
      <c r="D1616" s="105" t="s">
        <v>30</v>
      </c>
      <c r="E1616">
        <v>30</v>
      </c>
      <c r="F1616" s="1">
        <v>17099</v>
      </c>
    </row>
    <row r="1617" spans="1:6" hidden="1" x14ac:dyDescent="0.3">
      <c r="A1617">
        <v>2025</v>
      </c>
      <c r="B1617">
        <v>12</v>
      </c>
      <c r="C1617" s="105" t="s">
        <v>48</v>
      </c>
      <c r="D1617" s="105" t="s">
        <v>31</v>
      </c>
      <c r="E1617">
        <v>124</v>
      </c>
      <c r="F1617" s="1">
        <v>139567.4</v>
      </c>
    </row>
    <row r="1618" spans="1:6" hidden="1" x14ac:dyDescent="0.3">
      <c r="A1618">
        <v>2025</v>
      </c>
      <c r="B1618">
        <v>12</v>
      </c>
      <c r="C1618" s="105" t="s">
        <v>48</v>
      </c>
      <c r="D1618" s="105" t="s">
        <v>51</v>
      </c>
      <c r="E1618">
        <v>14</v>
      </c>
      <c r="F1618" s="1">
        <v>11439</v>
      </c>
    </row>
    <row r="1619" spans="1:6" hidden="1" x14ac:dyDescent="0.3">
      <c r="A1619">
        <v>2025</v>
      </c>
      <c r="B1619">
        <v>12</v>
      </c>
      <c r="C1619" s="105" t="s">
        <v>48</v>
      </c>
      <c r="D1619" s="105" t="s">
        <v>32</v>
      </c>
      <c r="E1619">
        <v>25</v>
      </c>
      <c r="F1619" s="1">
        <v>32490</v>
      </c>
    </row>
    <row r="1620" spans="1:6" hidden="1" x14ac:dyDescent="0.3">
      <c r="A1620">
        <v>2025</v>
      </c>
      <c r="B1620">
        <v>12</v>
      </c>
      <c r="C1620" s="105" t="s">
        <v>48</v>
      </c>
      <c r="D1620" s="105" t="s">
        <v>52</v>
      </c>
      <c r="E1620">
        <v>27</v>
      </c>
      <c r="F1620" s="1">
        <v>26242</v>
      </c>
    </row>
    <row r="1621" spans="1:6" hidden="1" x14ac:dyDescent="0.3">
      <c r="A1621">
        <v>2025</v>
      </c>
      <c r="B1621">
        <v>12</v>
      </c>
      <c r="C1621" s="105" t="s">
        <v>48</v>
      </c>
      <c r="D1621" s="105" t="s">
        <v>33</v>
      </c>
      <c r="E1621">
        <v>107</v>
      </c>
      <c r="F1621" s="1">
        <v>106449</v>
      </c>
    </row>
    <row r="1622" spans="1:6" hidden="1" x14ac:dyDescent="0.3">
      <c r="A1622">
        <v>2025</v>
      </c>
      <c r="B1622">
        <v>12</v>
      </c>
      <c r="C1622" s="105" t="s">
        <v>48</v>
      </c>
      <c r="D1622" s="105" t="s">
        <v>58</v>
      </c>
      <c r="E1622">
        <v>11</v>
      </c>
      <c r="F1622" s="1">
        <v>9493</v>
      </c>
    </row>
    <row r="1623" spans="1:6" hidden="1" x14ac:dyDescent="0.3">
      <c r="A1623">
        <v>2025</v>
      </c>
      <c r="B1623">
        <v>12</v>
      </c>
      <c r="C1623" s="105" t="s">
        <v>48</v>
      </c>
      <c r="D1623" s="105" t="s">
        <v>34</v>
      </c>
      <c r="E1623">
        <v>33</v>
      </c>
      <c r="F1623" s="1">
        <v>44954.400000000001</v>
      </c>
    </row>
    <row r="1624" spans="1:6" hidden="1" x14ac:dyDescent="0.3">
      <c r="A1624">
        <v>2025</v>
      </c>
      <c r="B1624">
        <v>12</v>
      </c>
      <c r="C1624" s="105" t="s">
        <v>48</v>
      </c>
      <c r="D1624" s="105" t="s">
        <v>56</v>
      </c>
      <c r="E1624">
        <v>18</v>
      </c>
      <c r="F1624" s="1">
        <v>15162</v>
      </c>
    </row>
    <row r="1625" spans="1:6" hidden="1" x14ac:dyDescent="0.3">
      <c r="A1625">
        <v>2025</v>
      </c>
      <c r="B1625">
        <v>12</v>
      </c>
      <c r="C1625" s="105" t="s">
        <v>48</v>
      </c>
      <c r="D1625" s="105" t="s">
        <v>57</v>
      </c>
      <c r="E1625">
        <v>6</v>
      </c>
      <c r="F1625" s="1">
        <v>4628</v>
      </c>
    </row>
    <row r="1626" spans="1:6" hidden="1" x14ac:dyDescent="0.3">
      <c r="A1626">
        <v>2025</v>
      </c>
      <c r="B1626">
        <v>12</v>
      </c>
      <c r="C1626" s="105" t="s">
        <v>48</v>
      </c>
      <c r="D1626" s="105" t="s">
        <v>49</v>
      </c>
      <c r="E1626">
        <v>2</v>
      </c>
      <c r="F1626" s="1">
        <v>1721</v>
      </c>
    </row>
    <row r="1627" spans="1:6" hidden="1" x14ac:dyDescent="0.3">
      <c r="A1627">
        <v>2025</v>
      </c>
      <c r="B1627">
        <v>12</v>
      </c>
      <c r="C1627" s="105" t="s">
        <v>48</v>
      </c>
      <c r="D1627" s="105" t="s">
        <v>53</v>
      </c>
      <c r="E1627">
        <v>30</v>
      </c>
      <c r="F1627" s="1">
        <v>27291</v>
      </c>
    </row>
    <row r="1628" spans="1:6" hidden="1" x14ac:dyDescent="0.3">
      <c r="A1628">
        <v>2025</v>
      </c>
      <c r="B1628">
        <v>12</v>
      </c>
      <c r="C1628" s="105" t="s">
        <v>48</v>
      </c>
      <c r="D1628" s="105" t="s">
        <v>35</v>
      </c>
      <c r="E1628">
        <v>30</v>
      </c>
      <c r="F1628" s="1">
        <v>28010</v>
      </c>
    </row>
    <row r="1629" spans="1:6" hidden="1" x14ac:dyDescent="0.3">
      <c r="A1629">
        <v>2025</v>
      </c>
      <c r="B1629">
        <v>12</v>
      </c>
      <c r="C1629" s="105" t="s">
        <v>48</v>
      </c>
      <c r="D1629" s="105" t="s">
        <v>36</v>
      </c>
      <c r="E1629">
        <v>22</v>
      </c>
      <c r="F1629" s="1">
        <v>21567</v>
      </c>
    </row>
    <row r="1630" spans="1:6" hidden="1" x14ac:dyDescent="0.3">
      <c r="A1630">
        <v>2025</v>
      </c>
      <c r="B1630">
        <v>12</v>
      </c>
      <c r="C1630" s="105" t="s">
        <v>48</v>
      </c>
      <c r="D1630" s="105" t="s">
        <v>37</v>
      </c>
      <c r="E1630">
        <v>40</v>
      </c>
      <c r="F1630" s="1">
        <v>34702</v>
      </c>
    </row>
    <row r="1631" spans="1:6" hidden="1" x14ac:dyDescent="0.3">
      <c r="A1631">
        <v>2026</v>
      </c>
      <c r="B1631">
        <v>1</v>
      </c>
      <c r="C1631" s="105" t="s">
        <v>6</v>
      </c>
      <c r="D1631" s="105" t="s">
        <v>7</v>
      </c>
      <c r="E1631">
        <v>30</v>
      </c>
      <c r="F1631" s="1">
        <v>28044.49</v>
      </c>
    </row>
    <row r="1632" spans="1:6" hidden="1" x14ac:dyDescent="0.3">
      <c r="A1632">
        <v>2026</v>
      </c>
      <c r="B1632">
        <v>1</v>
      </c>
      <c r="C1632" s="105" t="s">
        <v>6</v>
      </c>
      <c r="D1632" s="105" t="s">
        <v>8</v>
      </c>
      <c r="E1632">
        <v>30</v>
      </c>
      <c r="F1632" s="1">
        <v>34078</v>
      </c>
    </row>
    <row r="1633" spans="1:6" hidden="1" x14ac:dyDescent="0.3">
      <c r="A1633">
        <v>2026</v>
      </c>
      <c r="B1633">
        <v>1</v>
      </c>
      <c r="C1633" s="105" t="s">
        <v>6</v>
      </c>
      <c r="D1633" s="105" t="s">
        <v>9</v>
      </c>
      <c r="E1633">
        <v>9</v>
      </c>
      <c r="F1633" s="1">
        <v>9098</v>
      </c>
    </row>
    <row r="1634" spans="1:6" hidden="1" x14ac:dyDescent="0.3">
      <c r="A1634">
        <v>2026</v>
      </c>
      <c r="B1634">
        <v>1</v>
      </c>
      <c r="C1634" s="105" t="s">
        <v>6</v>
      </c>
      <c r="D1634" s="105" t="s">
        <v>10</v>
      </c>
      <c r="E1634">
        <v>37</v>
      </c>
      <c r="F1634" s="1">
        <v>36984</v>
      </c>
    </row>
    <row r="1635" spans="1:6" hidden="1" x14ac:dyDescent="0.3">
      <c r="A1635">
        <v>2026</v>
      </c>
      <c r="B1635">
        <v>1</v>
      </c>
      <c r="C1635" s="105" t="s">
        <v>6</v>
      </c>
      <c r="D1635" s="105" t="s">
        <v>11</v>
      </c>
      <c r="E1635">
        <v>19</v>
      </c>
      <c r="F1635" s="1">
        <v>18364</v>
      </c>
    </row>
    <row r="1636" spans="1:6" hidden="1" x14ac:dyDescent="0.3">
      <c r="A1636">
        <v>2026</v>
      </c>
      <c r="B1636">
        <v>1</v>
      </c>
      <c r="C1636" s="105" t="s">
        <v>6</v>
      </c>
      <c r="D1636" s="105" t="s">
        <v>59</v>
      </c>
      <c r="E1636">
        <v>6</v>
      </c>
      <c r="F1636" s="1">
        <v>5863</v>
      </c>
    </row>
    <row r="1637" spans="1:6" hidden="1" x14ac:dyDescent="0.3">
      <c r="A1637">
        <v>2026</v>
      </c>
      <c r="B1637">
        <v>1</v>
      </c>
      <c r="C1637" s="105" t="s">
        <v>6</v>
      </c>
      <c r="D1637" s="105" t="s">
        <v>12</v>
      </c>
      <c r="E1637">
        <v>42</v>
      </c>
      <c r="F1637" s="1">
        <v>37835.75</v>
      </c>
    </row>
    <row r="1638" spans="1:6" hidden="1" x14ac:dyDescent="0.3">
      <c r="A1638">
        <v>2026</v>
      </c>
      <c r="B1638">
        <v>1</v>
      </c>
      <c r="C1638" s="105" t="s">
        <v>6</v>
      </c>
      <c r="D1638" s="105" t="s">
        <v>13</v>
      </c>
      <c r="E1638">
        <v>37</v>
      </c>
      <c r="F1638" s="1">
        <v>48853</v>
      </c>
    </row>
    <row r="1639" spans="1:6" hidden="1" x14ac:dyDescent="0.3">
      <c r="A1639">
        <v>2026</v>
      </c>
      <c r="B1639">
        <v>1</v>
      </c>
      <c r="C1639" s="105" t="s">
        <v>6</v>
      </c>
      <c r="D1639" s="105" t="s">
        <v>14</v>
      </c>
      <c r="E1639">
        <v>42</v>
      </c>
      <c r="F1639" s="1">
        <v>45540</v>
      </c>
    </row>
    <row r="1640" spans="1:6" hidden="1" x14ac:dyDescent="0.3">
      <c r="A1640">
        <v>2026</v>
      </c>
      <c r="B1640">
        <v>1</v>
      </c>
      <c r="C1640" s="105" t="s">
        <v>6</v>
      </c>
      <c r="D1640" s="105" t="s">
        <v>15</v>
      </c>
      <c r="E1640">
        <v>22</v>
      </c>
      <c r="F1640" s="1">
        <v>20911</v>
      </c>
    </row>
    <row r="1641" spans="1:6" hidden="1" x14ac:dyDescent="0.3">
      <c r="A1641">
        <v>2026</v>
      </c>
      <c r="B1641">
        <v>1</v>
      </c>
      <c r="C1641" s="105" t="s">
        <v>6</v>
      </c>
      <c r="D1641" s="105" t="s">
        <v>16</v>
      </c>
      <c r="E1641">
        <v>20</v>
      </c>
      <c r="F1641" s="1">
        <v>21751</v>
      </c>
    </row>
    <row r="1642" spans="1:6" hidden="1" x14ac:dyDescent="0.3">
      <c r="A1642">
        <v>2026</v>
      </c>
      <c r="B1642">
        <v>1</v>
      </c>
      <c r="C1642" s="105" t="s">
        <v>6</v>
      </c>
      <c r="D1642" s="105" t="s">
        <v>54</v>
      </c>
      <c r="E1642">
        <v>6</v>
      </c>
      <c r="F1642" s="1">
        <v>5126</v>
      </c>
    </row>
    <row r="1643" spans="1:6" hidden="1" x14ac:dyDescent="0.3">
      <c r="A1643">
        <v>2026</v>
      </c>
      <c r="B1643">
        <v>1</v>
      </c>
      <c r="C1643" s="105" t="s">
        <v>6</v>
      </c>
      <c r="D1643" s="105" t="s">
        <v>17</v>
      </c>
      <c r="E1643">
        <v>46</v>
      </c>
      <c r="F1643" s="1">
        <v>56083.4</v>
      </c>
    </row>
    <row r="1644" spans="1:6" hidden="1" x14ac:dyDescent="0.3">
      <c r="A1644">
        <v>2026</v>
      </c>
      <c r="B1644">
        <v>1</v>
      </c>
      <c r="C1644" s="105" t="s">
        <v>6</v>
      </c>
      <c r="D1644" s="105" t="s">
        <v>18</v>
      </c>
      <c r="E1644">
        <v>63</v>
      </c>
      <c r="F1644" s="1">
        <v>57479</v>
      </c>
    </row>
    <row r="1645" spans="1:6" hidden="1" x14ac:dyDescent="0.3">
      <c r="A1645">
        <v>2026</v>
      </c>
      <c r="B1645">
        <v>1</v>
      </c>
      <c r="C1645" s="105" t="s">
        <v>6</v>
      </c>
      <c r="D1645" s="105" t="s">
        <v>50</v>
      </c>
      <c r="E1645">
        <v>16</v>
      </c>
      <c r="F1645" s="1">
        <v>13498</v>
      </c>
    </row>
    <row r="1646" spans="1:6" hidden="1" x14ac:dyDescent="0.3">
      <c r="A1646">
        <v>2026</v>
      </c>
      <c r="B1646">
        <v>1</v>
      </c>
      <c r="C1646" s="105" t="s">
        <v>6</v>
      </c>
      <c r="D1646" s="105" t="s">
        <v>55</v>
      </c>
      <c r="E1646">
        <v>4</v>
      </c>
      <c r="F1646" s="1">
        <v>3595</v>
      </c>
    </row>
    <row r="1647" spans="1:6" hidden="1" x14ac:dyDescent="0.3">
      <c r="A1647">
        <v>2026</v>
      </c>
      <c r="B1647">
        <v>1</v>
      </c>
      <c r="C1647" s="105" t="s">
        <v>6</v>
      </c>
      <c r="D1647" s="105" t="s">
        <v>19</v>
      </c>
      <c r="E1647">
        <v>29</v>
      </c>
      <c r="F1647" s="1">
        <v>22142</v>
      </c>
    </row>
    <row r="1648" spans="1:6" hidden="1" x14ac:dyDescent="0.3">
      <c r="A1648">
        <v>2026</v>
      </c>
      <c r="B1648">
        <v>1</v>
      </c>
      <c r="C1648" s="105" t="s">
        <v>6</v>
      </c>
      <c r="D1648" s="105" t="s">
        <v>20</v>
      </c>
      <c r="E1648">
        <v>25</v>
      </c>
      <c r="F1648" s="1">
        <v>24809</v>
      </c>
    </row>
    <row r="1649" spans="1:6" hidden="1" x14ac:dyDescent="0.3">
      <c r="A1649">
        <v>2026</v>
      </c>
      <c r="B1649">
        <v>1</v>
      </c>
      <c r="C1649" s="105" t="s">
        <v>6</v>
      </c>
      <c r="D1649" s="105" t="s">
        <v>21</v>
      </c>
      <c r="E1649">
        <v>51</v>
      </c>
      <c r="F1649" s="1">
        <v>51987</v>
      </c>
    </row>
    <row r="1650" spans="1:6" x14ac:dyDescent="0.3">
      <c r="A1650">
        <v>2026</v>
      </c>
      <c r="B1650">
        <v>1</v>
      </c>
      <c r="C1650" s="105" t="s">
        <v>6</v>
      </c>
      <c r="D1650" s="105" t="s">
        <v>22</v>
      </c>
      <c r="E1650">
        <v>32</v>
      </c>
      <c r="F1650" s="1">
        <v>24431</v>
      </c>
    </row>
    <row r="1651" spans="1:6" hidden="1" x14ac:dyDescent="0.3">
      <c r="A1651">
        <v>2026</v>
      </c>
      <c r="B1651">
        <v>1</v>
      </c>
      <c r="C1651" s="105" t="s">
        <v>6</v>
      </c>
      <c r="D1651" s="105" t="s">
        <v>23</v>
      </c>
      <c r="E1651">
        <v>22</v>
      </c>
      <c r="F1651" s="1">
        <v>26062</v>
      </c>
    </row>
    <row r="1652" spans="1:6" hidden="1" x14ac:dyDescent="0.3">
      <c r="A1652">
        <v>2026</v>
      </c>
      <c r="B1652">
        <v>1</v>
      </c>
      <c r="C1652" s="105" t="s">
        <v>6</v>
      </c>
      <c r="D1652" s="105" t="s">
        <v>24</v>
      </c>
      <c r="E1652">
        <v>38</v>
      </c>
      <c r="F1652" s="1">
        <v>29851</v>
      </c>
    </row>
    <row r="1653" spans="1:6" hidden="1" x14ac:dyDescent="0.3">
      <c r="A1653">
        <v>2026</v>
      </c>
      <c r="B1653">
        <v>1</v>
      </c>
      <c r="C1653" s="105" t="s">
        <v>6</v>
      </c>
      <c r="D1653" s="105" t="s">
        <v>25</v>
      </c>
      <c r="E1653">
        <v>42</v>
      </c>
      <c r="F1653" s="1">
        <v>36177</v>
      </c>
    </row>
    <row r="1654" spans="1:6" hidden="1" x14ac:dyDescent="0.3">
      <c r="A1654">
        <v>2026</v>
      </c>
      <c r="B1654">
        <v>1</v>
      </c>
      <c r="C1654" s="105" t="s">
        <v>6</v>
      </c>
      <c r="D1654" s="105" t="s">
        <v>26</v>
      </c>
      <c r="E1654">
        <v>16</v>
      </c>
      <c r="F1654" s="1">
        <v>22228</v>
      </c>
    </row>
    <row r="1655" spans="1:6" hidden="1" x14ac:dyDescent="0.3">
      <c r="A1655">
        <v>2026</v>
      </c>
      <c r="B1655">
        <v>1</v>
      </c>
      <c r="C1655" s="105" t="s">
        <v>6</v>
      </c>
      <c r="D1655" s="105" t="s">
        <v>27</v>
      </c>
      <c r="E1655">
        <v>29</v>
      </c>
      <c r="F1655" s="1">
        <v>28839</v>
      </c>
    </row>
    <row r="1656" spans="1:6" hidden="1" x14ac:dyDescent="0.3">
      <c r="A1656">
        <v>2026</v>
      </c>
      <c r="B1656">
        <v>1</v>
      </c>
      <c r="C1656" s="105" t="s">
        <v>6</v>
      </c>
      <c r="D1656" s="105" t="s">
        <v>28</v>
      </c>
      <c r="E1656">
        <v>14</v>
      </c>
      <c r="F1656" s="1">
        <v>26231</v>
      </c>
    </row>
    <row r="1657" spans="1:6" hidden="1" x14ac:dyDescent="0.3">
      <c r="A1657">
        <v>2026</v>
      </c>
      <c r="B1657">
        <v>1</v>
      </c>
      <c r="C1657" s="105" t="s">
        <v>6</v>
      </c>
      <c r="D1657" s="105" t="s">
        <v>29</v>
      </c>
      <c r="E1657">
        <v>37</v>
      </c>
      <c r="F1657" s="1">
        <v>37681</v>
      </c>
    </row>
    <row r="1658" spans="1:6" hidden="1" x14ac:dyDescent="0.3">
      <c r="A1658">
        <v>2026</v>
      </c>
      <c r="B1658">
        <v>1</v>
      </c>
      <c r="C1658" s="105" t="s">
        <v>6</v>
      </c>
      <c r="D1658" s="105" t="s">
        <v>30</v>
      </c>
      <c r="E1658">
        <v>30</v>
      </c>
      <c r="F1658" s="1">
        <v>19817</v>
      </c>
    </row>
    <row r="1659" spans="1:6" hidden="1" x14ac:dyDescent="0.3">
      <c r="A1659">
        <v>2026</v>
      </c>
      <c r="B1659">
        <v>1</v>
      </c>
      <c r="C1659" s="105" t="s">
        <v>6</v>
      </c>
      <c r="D1659" s="105" t="s">
        <v>31</v>
      </c>
      <c r="E1659">
        <v>91</v>
      </c>
      <c r="F1659" s="1">
        <v>93920</v>
      </c>
    </row>
    <row r="1660" spans="1:6" hidden="1" x14ac:dyDescent="0.3">
      <c r="A1660">
        <v>2026</v>
      </c>
      <c r="B1660">
        <v>1</v>
      </c>
      <c r="C1660" s="105" t="s">
        <v>6</v>
      </c>
      <c r="D1660" s="105" t="s">
        <v>51</v>
      </c>
      <c r="E1660">
        <v>17</v>
      </c>
      <c r="F1660" s="1">
        <v>12701</v>
      </c>
    </row>
    <row r="1661" spans="1:6" hidden="1" x14ac:dyDescent="0.3">
      <c r="A1661">
        <v>2026</v>
      </c>
      <c r="B1661">
        <v>1</v>
      </c>
      <c r="C1661" s="105" t="s">
        <v>6</v>
      </c>
      <c r="D1661" s="105" t="s">
        <v>32</v>
      </c>
      <c r="E1661">
        <v>25</v>
      </c>
      <c r="F1661" s="1">
        <v>28440</v>
      </c>
    </row>
    <row r="1662" spans="1:6" hidden="1" x14ac:dyDescent="0.3">
      <c r="A1662">
        <v>2026</v>
      </c>
      <c r="B1662">
        <v>1</v>
      </c>
      <c r="C1662" s="105" t="s">
        <v>6</v>
      </c>
      <c r="D1662" s="105" t="s">
        <v>52</v>
      </c>
      <c r="E1662">
        <v>17</v>
      </c>
      <c r="F1662" s="1">
        <v>17995</v>
      </c>
    </row>
    <row r="1663" spans="1:6" hidden="1" x14ac:dyDescent="0.3">
      <c r="A1663">
        <v>2026</v>
      </c>
      <c r="B1663">
        <v>1</v>
      </c>
      <c r="C1663" s="105" t="s">
        <v>6</v>
      </c>
      <c r="D1663" s="105" t="s">
        <v>33</v>
      </c>
      <c r="E1663">
        <v>74</v>
      </c>
      <c r="F1663" s="1">
        <v>81606.94</v>
      </c>
    </row>
    <row r="1664" spans="1:6" hidden="1" x14ac:dyDescent="0.3">
      <c r="A1664">
        <v>2026</v>
      </c>
      <c r="B1664">
        <v>1</v>
      </c>
      <c r="C1664" s="105" t="s">
        <v>6</v>
      </c>
      <c r="D1664" s="105" t="s">
        <v>58</v>
      </c>
      <c r="E1664">
        <v>12</v>
      </c>
      <c r="F1664" s="1">
        <v>10304</v>
      </c>
    </row>
    <row r="1665" spans="1:6" hidden="1" x14ac:dyDescent="0.3">
      <c r="A1665">
        <v>2026</v>
      </c>
      <c r="B1665">
        <v>1</v>
      </c>
      <c r="C1665" s="105" t="s">
        <v>6</v>
      </c>
      <c r="D1665" s="105" t="s">
        <v>34</v>
      </c>
      <c r="E1665">
        <v>33</v>
      </c>
      <c r="F1665" s="1">
        <v>29017</v>
      </c>
    </row>
    <row r="1666" spans="1:6" hidden="1" x14ac:dyDescent="0.3">
      <c r="A1666">
        <v>2026</v>
      </c>
      <c r="B1666">
        <v>1</v>
      </c>
      <c r="C1666" s="105" t="s">
        <v>6</v>
      </c>
      <c r="D1666" s="105" t="s">
        <v>56</v>
      </c>
      <c r="E1666">
        <v>11</v>
      </c>
      <c r="F1666" s="1">
        <v>9153</v>
      </c>
    </row>
    <row r="1667" spans="1:6" hidden="1" x14ac:dyDescent="0.3">
      <c r="A1667">
        <v>2026</v>
      </c>
      <c r="B1667">
        <v>1</v>
      </c>
      <c r="C1667" s="105" t="s">
        <v>6</v>
      </c>
      <c r="D1667" s="105" t="s">
        <v>57</v>
      </c>
      <c r="E1667">
        <v>16</v>
      </c>
      <c r="F1667" s="1">
        <v>13589</v>
      </c>
    </row>
    <row r="1668" spans="1:6" hidden="1" x14ac:dyDescent="0.3">
      <c r="A1668">
        <v>2026</v>
      </c>
      <c r="B1668">
        <v>1</v>
      </c>
      <c r="C1668" s="105" t="s">
        <v>6</v>
      </c>
      <c r="D1668" s="105" t="s">
        <v>49</v>
      </c>
      <c r="E1668">
        <v>8</v>
      </c>
      <c r="F1668" s="1">
        <v>6846.44</v>
      </c>
    </row>
    <row r="1669" spans="1:6" hidden="1" x14ac:dyDescent="0.3">
      <c r="A1669">
        <v>2026</v>
      </c>
      <c r="B1669">
        <v>1</v>
      </c>
      <c r="C1669" s="105" t="s">
        <v>6</v>
      </c>
      <c r="D1669" s="105" t="s">
        <v>53</v>
      </c>
      <c r="E1669">
        <v>12</v>
      </c>
      <c r="F1669" s="1">
        <v>10432</v>
      </c>
    </row>
    <row r="1670" spans="1:6" hidden="1" x14ac:dyDescent="0.3">
      <c r="A1670">
        <v>2026</v>
      </c>
      <c r="B1670">
        <v>1</v>
      </c>
      <c r="C1670" s="105" t="s">
        <v>6</v>
      </c>
      <c r="D1670" s="105" t="s">
        <v>35</v>
      </c>
      <c r="E1670">
        <v>29</v>
      </c>
      <c r="F1670" s="1">
        <v>30777</v>
      </c>
    </row>
    <row r="1671" spans="1:6" hidden="1" x14ac:dyDescent="0.3">
      <c r="A1671">
        <v>2026</v>
      </c>
      <c r="B1671">
        <v>1</v>
      </c>
      <c r="C1671" s="105" t="s">
        <v>6</v>
      </c>
      <c r="D1671" s="105" t="s">
        <v>36</v>
      </c>
      <c r="E1671">
        <v>17</v>
      </c>
      <c r="F1671" s="1">
        <v>26815</v>
      </c>
    </row>
    <row r="1672" spans="1:6" hidden="1" x14ac:dyDescent="0.3">
      <c r="A1672">
        <v>2026</v>
      </c>
      <c r="B1672">
        <v>1</v>
      </c>
      <c r="C1672" s="105" t="s">
        <v>6</v>
      </c>
      <c r="D1672" s="105" t="s">
        <v>37</v>
      </c>
      <c r="E1672">
        <v>29</v>
      </c>
      <c r="F1672" s="1">
        <v>30103.79</v>
      </c>
    </row>
    <row r="1673" spans="1:6" hidden="1" x14ac:dyDescent="0.3">
      <c r="A1673">
        <v>2026</v>
      </c>
      <c r="B1673">
        <v>2</v>
      </c>
      <c r="C1673" s="105" t="s">
        <v>38</v>
      </c>
      <c r="D1673" s="105" t="s">
        <v>7</v>
      </c>
      <c r="E1673">
        <v>19</v>
      </c>
      <c r="F1673" s="1">
        <v>30704.13</v>
      </c>
    </row>
    <row r="1674" spans="1:6" hidden="1" x14ac:dyDescent="0.3">
      <c r="A1674">
        <v>2026</v>
      </c>
      <c r="B1674">
        <v>2</v>
      </c>
      <c r="C1674" s="105" t="s">
        <v>38</v>
      </c>
      <c r="D1674" s="105" t="s">
        <v>8</v>
      </c>
      <c r="E1674">
        <v>26</v>
      </c>
      <c r="F1674" s="1">
        <v>19404</v>
      </c>
    </row>
    <row r="1675" spans="1:6" hidden="1" x14ac:dyDescent="0.3">
      <c r="A1675">
        <v>2026</v>
      </c>
      <c r="B1675">
        <v>2</v>
      </c>
      <c r="C1675" s="105" t="s">
        <v>38</v>
      </c>
      <c r="D1675" s="105" t="s">
        <v>9</v>
      </c>
      <c r="E1675">
        <v>3</v>
      </c>
      <c r="F1675" s="1">
        <v>2344</v>
      </c>
    </row>
    <row r="1676" spans="1:6" hidden="1" x14ac:dyDescent="0.3">
      <c r="A1676">
        <v>2026</v>
      </c>
      <c r="B1676">
        <v>2</v>
      </c>
      <c r="C1676" s="105" t="s">
        <v>38</v>
      </c>
      <c r="D1676" s="105" t="s">
        <v>10</v>
      </c>
      <c r="E1676">
        <v>39</v>
      </c>
      <c r="F1676" s="1">
        <v>42296</v>
      </c>
    </row>
    <row r="1677" spans="1:6" hidden="1" x14ac:dyDescent="0.3">
      <c r="A1677">
        <v>2026</v>
      </c>
      <c r="B1677">
        <v>2</v>
      </c>
      <c r="C1677" s="105" t="s">
        <v>38</v>
      </c>
      <c r="D1677" s="105" t="s">
        <v>11</v>
      </c>
      <c r="E1677">
        <v>22</v>
      </c>
      <c r="F1677" s="1">
        <v>16967</v>
      </c>
    </row>
    <row r="1678" spans="1:6" hidden="1" x14ac:dyDescent="0.3">
      <c r="A1678">
        <v>2026</v>
      </c>
      <c r="B1678">
        <v>2</v>
      </c>
      <c r="C1678" s="105" t="s">
        <v>38</v>
      </c>
      <c r="D1678" s="105" t="s">
        <v>59</v>
      </c>
      <c r="E1678">
        <v>3</v>
      </c>
      <c r="F1678" s="1">
        <v>3134</v>
      </c>
    </row>
    <row r="1679" spans="1:6" hidden="1" x14ac:dyDescent="0.3">
      <c r="A1679">
        <v>2026</v>
      </c>
      <c r="B1679">
        <v>2</v>
      </c>
      <c r="C1679" s="105" t="s">
        <v>38</v>
      </c>
      <c r="D1679" s="105" t="s">
        <v>12</v>
      </c>
      <c r="E1679">
        <v>44</v>
      </c>
      <c r="F1679" s="1">
        <v>36524</v>
      </c>
    </row>
    <row r="1680" spans="1:6" hidden="1" x14ac:dyDescent="0.3">
      <c r="A1680">
        <v>2026</v>
      </c>
      <c r="B1680">
        <v>2</v>
      </c>
      <c r="C1680" s="105" t="s">
        <v>38</v>
      </c>
      <c r="D1680" s="105" t="s">
        <v>13</v>
      </c>
      <c r="E1680">
        <v>57</v>
      </c>
      <c r="F1680" s="1">
        <v>50713</v>
      </c>
    </row>
    <row r="1681" spans="1:6" hidden="1" x14ac:dyDescent="0.3">
      <c r="A1681">
        <v>2026</v>
      </c>
      <c r="B1681">
        <v>2</v>
      </c>
      <c r="C1681" s="105" t="s">
        <v>38</v>
      </c>
      <c r="D1681" s="105" t="s">
        <v>14</v>
      </c>
      <c r="E1681">
        <v>47</v>
      </c>
      <c r="F1681" s="1">
        <v>37213.839999999997</v>
      </c>
    </row>
    <row r="1682" spans="1:6" hidden="1" x14ac:dyDescent="0.3">
      <c r="A1682">
        <v>2026</v>
      </c>
      <c r="B1682">
        <v>2</v>
      </c>
      <c r="C1682" s="105" t="s">
        <v>38</v>
      </c>
      <c r="D1682" s="105" t="s">
        <v>15</v>
      </c>
      <c r="E1682">
        <v>23</v>
      </c>
      <c r="F1682" s="1">
        <v>12127</v>
      </c>
    </row>
    <row r="1683" spans="1:6" hidden="1" x14ac:dyDescent="0.3">
      <c r="A1683">
        <v>2026</v>
      </c>
      <c r="B1683">
        <v>2</v>
      </c>
      <c r="C1683" s="105" t="s">
        <v>38</v>
      </c>
      <c r="D1683" s="105" t="s">
        <v>16</v>
      </c>
      <c r="E1683">
        <v>20</v>
      </c>
      <c r="F1683" s="1">
        <v>13471</v>
      </c>
    </row>
    <row r="1684" spans="1:6" hidden="1" x14ac:dyDescent="0.3">
      <c r="A1684">
        <v>2026</v>
      </c>
      <c r="B1684">
        <v>2</v>
      </c>
      <c r="C1684" s="105" t="s">
        <v>38</v>
      </c>
      <c r="D1684" s="105" t="s">
        <v>54</v>
      </c>
      <c r="E1684">
        <v>5</v>
      </c>
      <c r="F1684" s="1">
        <v>4278</v>
      </c>
    </row>
    <row r="1685" spans="1:6" hidden="1" x14ac:dyDescent="0.3">
      <c r="A1685">
        <v>2026</v>
      </c>
      <c r="B1685">
        <v>2</v>
      </c>
      <c r="C1685" s="105" t="s">
        <v>38</v>
      </c>
      <c r="D1685" s="105" t="s">
        <v>17</v>
      </c>
      <c r="E1685">
        <v>55</v>
      </c>
      <c r="F1685" s="1">
        <v>74535</v>
      </c>
    </row>
    <row r="1686" spans="1:6" hidden="1" x14ac:dyDescent="0.3">
      <c r="A1686">
        <v>2026</v>
      </c>
      <c r="B1686">
        <v>2</v>
      </c>
      <c r="C1686" s="105" t="s">
        <v>38</v>
      </c>
      <c r="D1686" s="105" t="s">
        <v>18</v>
      </c>
      <c r="E1686">
        <v>48</v>
      </c>
      <c r="F1686" s="1">
        <v>44067</v>
      </c>
    </row>
    <row r="1687" spans="1:6" hidden="1" x14ac:dyDescent="0.3">
      <c r="A1687">
        <v>2026</v>
      </c>
      <c r="B1687">
        <v>2</v>
      </c>
      <c r="C1687" s="105" t="s">
        <v>38</v>
      </c>
      <c r="D1687" s="105" t="s">
        <v>50</v>
      </c>
      <c r="E1687">
        <v>8</v>
      </c>
      <c r="F1687" s="1">
        <v>7557</v>
      </c>
    </row>
    <row r="1688" spans="1:6" hidden="1" x14ac:dyDescent="0.3">
      <c r="A1688">
        <v>2026</v>
      </c>
      <c r="B1688">
        <v>2</v>
      </c>
      <c r="C1688" s="105" t="s">
        <v>38</v>
      </c>
      <c r="D1688" s="105" t="s">
        <v>55</v>
      </c>
      <c r="E1688">
        <v>5</v>
      </c>
      <c r="F1688" s="1">
        <v>4438</v>
      </c>
    </row>
    <row r="1689" spans="1:6" hidden="1" x14ac:dyDescent="0.3">
      <c r="A1689">
        <v>2026</v>
      </c>
      <c r="B1689">
        <v>2</v>
      </c>
      <c r="C1689" s="105" t="s">
        <v>38</v>
      </c>
      <c r="D1689" s="105" t="s">
        <v>19</v>
      </c>
      <c r="E1689">
        <v>11</v>
      </c>
      <c r="F1689" s="1">
        <v>8505</v>
      </c>
    </row>
    <row r="1690" spans="1:6" hidden="1" x14ac:dyDescent="0.3">
      <c r="A1690">
        <v>2026</v>
      </c>
      <c r="B1690">
        <v>2</v>
      </c>
      <c r="C1690" s="105" t="s">
        <v>38</v>
      </c>
      <c r="D1690" s="105" t="s">
        <v>20</v>
      </c>
      <c r="E1690">
        <v>27</v>
      </c>
      <c r="F1690" s="1">
        <v>23677</v>
      </c>
    </row>
    <row r="1691" spans="1:6" hidden="1" x14ac:dyDescent="0.3">
      <c r="A1691">
        <v>2026</v>
      </c>
      <c r="B1691">
        <v>2</v>
      </c>
      <c r="C1691" s="105" t="s">
        <v>38</v>
      </c>
      <c r="D1691" s="105" t="s">
        <v>21</v>
      </c>
      <c r="E1691">
        <v>27</v>
      </c>
      <c r="F1691" s="1">
        <v>27260.5</v>
      </c>
    </row>
    <row r="1692" spans="1:6" x14ac:dyDescent="0.3">
      <c r="A1692">
        <v>2026</v>
      </c>
      <c r="B1692">
        <v>2</v>
      </c>
      <c r="C1692" s="105" t="s">
        <v>38</v>
      </c>
      <c r="D1692" s="105" t="s">
        <v>22</v>
      </c>
      <c r="E1692">
        <v>21</v>
      </c>
      <c r="F1692" s="1">
        <v>13407</v>
      </c>
    </row>
    <row r="1693" spans="1:6" hidden="1" x14ac:dyDescent="0.3">
      <c r="A1693">
        <v>2026</v>
      </c>
      <c r="B1693">
        <v>2</v>
      </c>
      <c r="C1693" s="105" t="s">
        <v>38</v>
      </c>
      <c r="D1693" s="105" t="s">
        <v>23</v>
      </c>
      <c r="E1693">
        <v>22</v>
      </c>
      <c r="F1693" s="1">
        <v>19297</v>
      </c>
    </row>
    <row r="1694" spans="1:6" hidden="1" x14ac:dyDescent="0.3">
      <c r="A1694">
        <v>2026</v>
      </c>
      <c r="B1694">
        <v>2</v>
      </c>
      <c r="C1694" s="105" t="s">
        <v>38</v>
      </c>
      <c r="D1694" s="105" t="s">
        <v>24</v>
      </c>
      <c r="E1694">
        <v>29</v>
      </c>
      <c r="F1694" s="1">
        <v>21742</v>
      </c>
    </row>
    <row r="1695" spans="1:6" hidden="1" x14ac:dyDescent="0.3">
      <c r="A1695">
        <v>2026</v>
      </c>
      <c r="B1695">
        <v>2</v>
      </c>
      <c r="C1695" s="105" t="s">
        <v>38</v>
      </c>
      <c r="D1695" s="105" t="s">
        <v>25</v>
      </c>
      <c r="E1695">
        <v>27</v>
      </c>
      <c r="F1695" s="1">
        <v>27223</v>
      </c>
    </row>
    <row r="1696" spans="1:6" hidden="1" x14ac:dyDescent="0.3">
      <c r="A1696">
        <v>2026</v>
      </c>
      <c r="B1696">
        <v>2</v>
      </c>
      <c r="C1696" s="105" t="s">
        <v>38</v>
      </c>
      <c r="D1696" s="105" t="s">
        <v>26</v>
      </c>
      <c r="E1696">
        <v>17</v>
      </c>
      <c r="F1696" s="1">
        <v>12659</v>
      </c>
    </row>
    <row r="1697" spans="1:6" hidden="1" x14ac:dyDescent="0.3">
      <c r="A1697">
        <v>2026</v>
      </c>
      <c r="B1697">
        <v>2</v>
      </c>
      <c r="C1697" s="105" t="s">
        <v>38</v>
      </c>
      <c r="D1697" s="105" t="s">
        <v>27</v>
      </c>
      <c r="E1697">
        <v>28</v>
      </c>
      <c r="F1697" s="1">
        <v>27660</v>
      </c>
    </row>
    <row r="1698" spans="1:6" hidden="1" x14ac:dyDescent="0.3">
      <c r="A1698">
        <v>2026</v>
      </c>
      <c r="B1698">
        <v>2</v>
      </c>
      <c r="C1698" s="105" t="s">
        <v>38</v>
      </c>
      <c r="D1698" s="105" t="s">
        <v>28</v>
      </c>
      <c r="E1698">
        <v>12</v>
      </c>
      <c r="F1698" s="1">
        <v>10946</v>
      </c>
    </row>
    <row r="1699" spans="1:6" hidden="1" x14ac:dyDescent="0.3">
      <c r="A1699">
        <v>2026</v>
      </c>
      <c r="B1699">
        <v>2</v>
      </c>
      <c r="C1699" s="105" t="s">
        <v>38</v>
      </c>
      <c r="D1699" s="105" t="s">
        <v>29</v>
      </c>
      <c r="E1699">
        <v>43</v>
      </c>
      <c r="F1699" s="1">
        <v>41749</v>
      </c>
    </row>
    <row r="1700" spans="1:6" hidden="1" x14ac:dyDescent="0.3">
      <c r="A1700">
        <v>2026</v>
      </c>
      <c r="B1700">
        <v>2</v>
      </c>
      <c r="C1700" s="105" t="s">
        <v>38</v>
      </c>
      <c r="D1700" s="105" t="s">
        <v>30</v>
      </c>
      <c r="E1700">
        <v>23</v>
      </c>
      <c r="F1700" s="1">
        <v>16223</v>
      </c>
    </row>
    <row r="1701" spans="1:6" hidden="1" x14ac:dyDescent="0.3">
      <c r="A1701">
        <v>2026</v>
      </c>
      <c r="B1701">
        <v>2</v>
      </c>
      <c r="C1701" s="105" t="s">
        <v>38</v>
      </c>
      <c r="D1701" s="105" t="s">
        <v>31</v>
      </c>
      <c r="E1701">
        <v>79</v>
      </c>
      <c r="F1701" s="1">
        <v>87771.49</v>
      </c>
    </row>
    <row r="1702" spans="1:6" hidden="1" x14ac:dyDescent="0.3">
      <c r="A1702">
        <v>2026</v>
      </c>
      <c r="B1702">
        <v>2</v>
      </c>
      <c r="C1702" s="105" t="s">
        <v>38</v>
      </c>
      <c r="D1702" s="105" t="s">
        <v>51</v>
      </c>
      <c r="E1702">
        <v>14</v>
      </c>
      <c r="F1702" s="1">
        <v>10603</v>
      </c>
    </row>
    <row r="1703" spans="1:6" hidden="1" x14ac:dyDescent="0.3">
      <c r="A1703">
        <v>2026</v>
      </c>
      <c r="B1703">
        <v>2</v>
      </c>
      <c r="C1703" s="105" t="s">
        <v>38</v>
      </c>
      <c r="D1703" s="105" t="s">
        <v>32</v>
      </c>
      <c r="E1703">
        <v>17</v>
      </c>
      <c r="F1703" s="1">
        <v>24789</v>
      </c>
    </row>
    <row r="1704" spans="1:6" hidden="1" x14ac:dyDescent="0.3">
      <c r="A1704">
        <v>2026</v>
      </c>
      <c r="B1704">
        <v>2</v>
      </c>
      <c r="C1704" s="105" t="s">
        <v>38</v>
      </c>
      <c r="D1704" s="105" t="s">
        <v>52</v>
      </c>
      <c r="E1704">
        <v>8</v>
      </c>
      <c r="F1704" s="1">
        <v>7475</v>
      </c>
    </row>
    <row r="1705" spans="1:6" hidden="1" x14ac:dyDescent="0.3">
      <c r="A1705">
        <v>2026</v>
      </c>
      <c r="B1705">
        <v>2</v>
      </c>
      <c r="C1705" s="105" t="s">
        <v>38</v>
      </c>
      <c r="D1705" s="105" t="s">
        <v>33</v>
      </c>
      <c r="E1705">
        <v>52</v>
      </c>
      <c r="F1705" s="1">
        <v>52229.55</v>
      </c>
    </row>
    <row r="1706" spans="1:6" hidden="1" x14ac:dyDescent="0.3">
      <c r="A1706">
        <v>2026</v>
      </c>
      <c r="B1706">
        <v>2</v>
      </c>
      <c r="C1706" s="105" t="s">
        <v>38</v>
      </c>
      <c r="D1706" s="105" t="s">
        <v>58</v>
      </c>
      <c r="E1706">
        <v>8</v>
      </c>
      <c r="F1706" s="1">
        <v>6854</v>
      </c>
    </row>
    <row r="1707" spans="1:6" hidden="1" x14ac:dyDescent="0.3">
      <c r="A1707">
        <v>2026</v>
      </c>
      <c r="B1707">
        <v>2</v>
      </c>
      <c r="C1707" s="105" t="s">
        <v>38</v>
      </c>
      <c r="D1707" s="105" t="s">
        <v>34</v>
      </c>
      <c r="E1707">
        <v>43</v>
      </c>
      <c r="F1707" s="1">
        <v>37720</v>
      </c>
    </row>
    <row r="1708" spans="1:6" hidden="1" x14ac:dyDescent="0.3">
      <c r="A1708">
        <v>2026</v>
      </c>
      <c r="B1708">
        <v>2</v>
      </c>
      <c r="C1708" s="105" t="s">
        <v>38</v>
      </c>
      <c r="D1708" s="105" t="s">
        <v>56</v>
      </c>
      <c r="E1708">
        <v>3</v>
      </c>
      <c r="F1708" s="1">
        <v>2646</v>
      </c>
    </row>
    <row r="1709" spans="1:6" hidden="1" x14ac:dyDescent="0.3">
      <c r="A1709">
        <v>2026</v>
      </c>
      <c r="B1709">
        <v>2</v>
      </c>
      <c r="C1709" s="105" t="s">
        <v>38</v>
      </c>
      <c r="D1709" s="105" t="s">
        <v>57</v>
      </c>
      <c r="E1709">
        <v>9</v>
      </c>
      <c r="F1709" s="1">
        <v>7646</v>
      </c>
    </row>
    <row r="1710" spans="1:6" hidden="1" x14ac:dyDescent="0.3">
      <c r="A1710">
        <v>2026</v>
      </c>
      <c r="B1710">
        <v>2</v>
      </c>
      <c r="C1710" s="105" t="s">
        <v>38</v>
      </c>
      <c r="D1710" s="105" t="s">
        <v>49</v>
      </c>
      <c r="E1710">
        <v>4</v>
      </c>
      <c r="F1710" s="1">
        <v>3444</v>
      </c>
    </row>
    <row r="1711" spans="1:6" hidden="1" x14ac:dyDescent="0.3">
      <c r="A1711">
        <v>2026</v>
      </c>
      <c r="B1711">
        <v>2</v>
      </c>
      <c r="C1711" s="105" t="s">
        <v>38</v>
      </c>
      <c r="D1711" s="105" t="s">
        <v>53</v>
      </c>
      <c r="E1711">
        <v>8</v>
      </c>
      <c r="F1711" s="1">
        <v>7769</v>
      </c>
    </row>
    <row r="1712" spans="1:6" hidden="1" x14ac:dyDescent="0.3">
      <c r="A1712">
        <v>2026</v>
      </c>
      <c r="B1712">
        <v>2</v>
      </c>
      <c r="C1712" s="105" t="s">
        <v>38</v>
      </c>
      <c r="D1712" s="105" t="s">
        <v>35</v>
      </c>
      <c r="E1712">
        <v>36</v>
      </c>
      <c r="F1712" s="1">
        <v>59606</v>
      </c>
    </row>
    <row r="1713" spans="1:6" hidden="1" x14ac:dyDescent="0.3">
      <c r="A1713">
        <v>2026</v>
      </c>
      <c r="B1713">
        <v>2</v>
      </c>
      <c r="C1713" s="105" t="s">
        <v>38</v>
      </c>
      <c r="D1713" s="105" t="s">
        <v>36</v>
      </c>
      <c r="E1713">
        <v>19</v>
      </c>
      <c r="F1713" s="1">
        <v>14857</v>
      </c>
    </row>
    <row r="1714" spans="1:6" hidden="1" x14ac:dyDescent="0.3">
      <c r="A1714">
        <v>2026</v>
      </c>
      <c r="B1714">
        <v>2</v>
      </c>
      <c r="C1714" s="105" t="s">
        <v>38</v>
      </c>
      <c r="D1714" s="105" t="s">
        <v>37</v>
      </c>
      <c r="E1714">
        <v>32</v>
      </c>
      <c r="F1714" s="1">
        <v>29418</v>
      </c>
    </row>
    <row r="1715" spans="1:6" hidden="1" x14ac:dyDescent="0.3">
      <c r="A1715">
        <v>2026</v>
      </c>
      <c r="B1715">
        <v>3</v>
      </c>
      <c r="C1715" s="105" t="s">
        <v>39</v>
      </c>
      <c r="D1715" s="105" t="s">
        <v>7</v>
      </c>
      <c r="E1715">
        <v>38</v>
      </c>
      <c r="F1715" s="1">
        <v>41418.129999999997</v>
      </c>
    </row>
    <row r="1716" spans="1:6" hidden="1" x14ac:dyDescent="0.3">
      <c r="A1716">
        <v>2026</v>
      </c>
      <c r="B1716">
        <v>3</v>
      </c>
      <c r="C1716" s="105" t="s">
        <v>39</v>
      </c>
      <c r="D1716" s="105" t="s">
        <v>8</v>
      </c>
      <c r="E1716">
        <v>36</v>
      </c>
      <c r="F1716" s="1">
        <v>53085</v>
      </c>
    </row>
    <row r="1717" spans="1:6" hidden="1" x14ac:dyDescent="0.3">
      <c r="A1717">
        <v>2026</v>
      </c>
      <c r="B1717">
        <v>3</v>
      </c>
      <c r="C1717" s="105" t="s">
        <v>39</v>
      </c>
      <c r="D1717" s="105" t="s">
        <v>9</v>
      </c>
      <c r="E1717">
        <v>27</v>
      </c>
      <c r="F1717" s="1">
        <v>21742</v>
      </c>
    </row>
    <row r="1718" spans="1:6" hidden="1" x14ac:dyDescent="0.3">
      <c r="A1718">
        <v>2026</v>
      </c>
      <c r="B1718">
        <v>3</v>
      </c>
      <c r="C1718" s="105" t="s">
        <v>39</v>
      </c>
      <c r="D1718" s="105" t="s">
        <v>10</v>
      </c>
      <c r="E1718">
        <v>51</v>
      </c>
      <c r="F1718" s="1">
        <v>52810</v>
      </c>
    </row>
    <row r="1719" spans="1:6" hidden="1" x14ac:dyDescent="0.3">
      <c r="A1719">
        <v>2026</v>
      </c>
      <c r="B1719">
        <v>3</v>
      </c>
      <c r="C1719" s="105" t="s">
        <v>39</v>
      </c>
      <c r="D1719" s="105" t="s">
        <v>11</v>
      </c>
      <c r="E1719">
        <v>40</v>
      </c>
      <c r="F1719" s="1">
        <v>44299</v>
      </c>
    </row>
    <row r="1720" spans="1:6" hidden="1" x14ac:dyDescent="0.3">
      <c r="A1720">
        <v>2026</v>
      </c>
      <c r="B1720">
        <v>3</v>
      </c>
      <c r="C1720" s="105" t="s">
        <v>39</v>
      </c>
      <c r="D1720" s="105" t="s">
        <v>59</v>
      </c>
      <c r="E1720">
        <v>2</v>
      </c>
      <c r="F1720" s="1">
        <v>1223</v>
      </c>
    </row>
    <row r="1721" spans="1:6" hidden="1" x14ac:dyDescent="0.3">
      <c r="A1721">
        <v>2026</v>
      </c>
      <c r="B1721">
        <v>3</v>
      </c>
      <c r="C1721" s="105" t="s">
        <v>39</v>
      </c>
      <c r="D1721" s="105" t="s">
        <v>12</v>
      </c>
      <c r="E1721">
        <v>68</v>
      </c>
      <c r="F1721" s="1">
        <v>58552.5</v>
      </c>
    </row>
    <row r="1722" spans="1:6" hidden="1" x14ac:dyDescent="0.3">
      <c r="A1722">
        <v>2026</v>
      </c>
      <c r="B1722">
        <v>3</v>
      </c>
      <c r="C1722" s="105" t="s">
        <v>39</v>
      </c>
      <c r="D1722" s="105" t="s">
        <v>13</v>
      </c>
      <c r="E1722">
        <v>81</v>
      </c>
      <c r="F1722" s="1">
        <v>62004</v>
      </c>
    </row>
    <row r="1723" spans="1:6" hidden="1" x14ac:dyDescent="0.3">
      <c r="A1723">
        <v>2026</v>
      </c>
      <c r="B1723">
        <v>3</v>
      </c>
      <c r="C1723" s="105" t="s">
        <v>39</v>
      </c>
      <c r="D1723" s="105" t="s">
        <v>14</v>
      </c>
      <c r="E1723">
        <v>64</v>
      </c>
      <c r="F1723" s="1">
        <v>47318</v>
      </c>
    </row>
    <row r="1724" spans="1:6" hidden="1" x14ac:dyDescent="0.3">
      <c r="A1724">
        <v>2026</v>
      </c>
      <c r="B1724">
        <v>3</v>
      </c>
      <c r="C1724" s="105" t="s">
        <v>39</v>
      </c>
      <c r="D1724" s="105" t="s">
        <v>15</v>
      </c>
      <c r="E1724">
        <v>64</v>
      </c>
      <c r="F1724" s="1">
        <v>39805</v>
      </c>
    </row>
    <row r="1725" spans="1:6" hidden="1" x14ac:dyDescent="0.3">
      <c r="A1725">
        <v>2026</v>
      </c>
      <c r="B1725">
        <v>3</v>
      </c>
      <c r="C1725" s="105" t="s">
        <v>39</v>
      </c>
      <c r="D1725" s="105" t="s">
        <v>16</v>
      </c>
      <c r="E1725">
        <v>33</v>
      </c>
      <c r="F1725" s="1">
        <v>25684</v>
      </c>
    </row>
    <row r="1726" spans="1:6" hidden="1" x14ac:dyDescent="0.3">
      <c r="A1726">
        <v>2026</v>
      </c>
      <c r="B1726">
        <v>3</v>
      </c>
      <c r="C1726" s="105" t="s">
        <v>39</v>
      </c>
      <c r="D1726" s="105" t="s">
        <v>54</v>
      </c>
      <c r="E1726">
        <v>17</v>
      </c>
      <c r="F1726" s="1">
        <v>15245</v>
      </c>
    </row>
    <row r="1727" spans="1:6" hidden="1" x14ac:dyDescent="0.3">
      <c r="A1727">
        <v>2026</v>
      </c>
      <c r="B1727">
        <v>3</v>
      </c>
      <c r="C1727" s="105" t="s">
        <v>39</v>
      </c>
      <c r="D1727" s="105" t="s">
        <v>17</v>
      </c>
      <c r="E1727">
        <v>118</v>
      </c>
      <c r="F1727" s="1">
        <v>125408.8</v>
      </c>
    </row>
    <row r="1728" spans="1:6" hidden="1" x14ac:dyDescent="0.3">
      <c r="A1728">
        <v>2026</v>
      </c>
      <c r="B1728">
        <v>3</v>
      </c>
      <c r="C1728" s="105" t="s">
        <v>39</v>
      </c>
      <c r="D1728" s="105" t="s">
        <v>18</v>
      </c>
      <c r="E1728">
        <v>99</v>
      </c>
      <c r="F1728" s="1">
        <v>110335</v>
      </c>
    </row>
    <row r="1729" spans="1:6" hidden="1" x14ac:dyDescent="0.3">
      <c r="A1729">
        <v>2026</v>
      </c>
      <c r="B1729">
        <v>3</v>
      </c>
      <c r="C1729" s="105" t="s">
        <v>39</v>
      </c>
      <c r="D1729" s="105" t="s">
        <v>50</v>
      </c>
      <c r="E1729">
        <v>16</v>
      </c>
      <c r="F1729" s="1">
        <v>13991</v>
      </c>
    </row>
    <row r="1730" spans="1:6" hidden="1" x14ac:dyDescent="0.3">
      <c r="A1730">
        <v>2026</v>
      </c>
      <c r="B1730">
        <v>3</v>
      </c>
      <c r="C1730" s="105" t="s">
        <v>39</v>
      </c>
      <c r="D1730" s="105" t="s">
        <v>55</v>
      </c>
      <c r="E1730">
        <v>10</v>
      </c>
      <c r="F1730" s="1">
        <v>8305</v>
      </c>
    </row>
    <row r="1731" spans="1:6" hidden="1" x14ac:dyDescent="0.3">
      <c r="A1731">
        <v>2026</v>
      </c>
      <c r="B1731">
        <v>3</v>
      </c>
      <c r="C1731" s="105" t="s">
        <v>39</v>
      </c>
      <c r="D1731" s="105" t="s">
        <v>19</v>
      </c>
      <c r="E1731">
        <v>34</v>
      </c>
      <c r="F1731" s="1">
        <v>38108</v>
      </c>
    </row>
    <row r="1732" spans="1:6" hidden="1" x14ac:dyDescent="0.3">
      <c r="A1732">
        <v>2026</v>
      </c>
      <c r="B1732">
        <v>3</v>
      </c>
      <c r="C1732" s="105" t="s">
        <v>39</v>
      </c>
      <c r="D1732" s="105" t="s">
        <v>20</v>
      </c>
      <c r="E1732">
        <v>42</v>
      </c>
      <c r="F1732" s="1">
        <v>54396</v>
      </c>
    </row>
    <row r="1733" spans="1:6" hidden="1" x14ac:dyDescent="0.3">
      <c r="A1733">
        <v>2026</v>
      </c>
      <c r="B1733">
        <v>3</v>
      </c>
      <c r="C1733" s="105" t="s">
        <v>39</v>
      </c>
      <c r="D1733" s="105" t="s">
        <v>21</v>
      </c>
      <c r="E1733">
        <v>69</v>
      </c>
      <c r="F1733" s="1">
        <v>71249.45</v>
      </c>
    </row>
    <row r="1734" spans="1:6" x14ac:dyDescent="0.3">
      <c r="A1734">
        <v>2026</v>
      </c>
      <c r="B1734">
        <v>3</v>
      </c>
      <c r="C1734" s="105" t="s">
        <v>39</v>
      </c>
      <c r="D1734" s="105" t="s">
        <v>22</v>
      </c>
      <c r="E1734">
        <v>47</v>
      </c>
      <c r="F1734" s="1">
        <v>33888.03</v>
      </c>
    </row>
    <row r="1735" spans="1:6" hidden="1" x14ac:dyDescent="0.3">
      <c r="A1735">
        <v>2026</v>
      </c>
      <c r="B1735">
        <v>3</v>
      </c>
      <c r="C1735" s="105" t="s">
        <v>39</v>
      </c>
      <c r="D1735" s="105" t="s">
        <v>23</v>
      </c>
      <c r="E1735">
        <v>30</v>
      </c>
      <c r="F1735" s="1">
        <v>30709</v>
      </c>
    </row>
    <row r="1736" spans="1:6" hidden="1" x14ac:dyDescent="0.3">
      <c r="A1736">
        <v>2026</v>
      </c>
      <c r="B1736">
        <v>3</v>
      </c>
      <c r="C1736" s="105" t="s">
        <v>39</v>
      </c>
      <c r="D1736" s="105" t="s">
        <v>24</v>
      </c>
      <c r="E1736">
        <v>50</v>
      </c>
      <c r="F1736" s="1">
        <v>32460</v>
      </c>
    </row>
    <row r="1737" spans="1:6" hidden="1" x14ac:dyDescent="0.3">
      <c r="A1737">
        <v>2026</v>
      </c>
      <c r="B1737">
        <v>3</v>
      </c>
      <c r="C1737" s="105" t="s">
        <v>39</v>
      </c>
      <c r="D1737" s="105" t="s">
        <v>25</v>
      </c>
      <c r="E1737">
        <v>90</v>
      </c>
      <c r="F1737" s="1">
        <v>80958</v>
      </c>
    </row>
    <row r="1738" spans="1:6" hidden="1" x14ac:dyDescent="0.3">
      <c r="A1738">
        <v>2026</v>
      </c>
      <c r="B1738">
        <v>3</v>
      </c>
      <c r="C1738" s="105" t="s">
        <v>39</v>
      </c>
      <c r="D1738" s="105" t="s">
        <v>26</v>
      </c>
      <c r="E1738">
        <v>12</v>
      </c>
      <c r="F1738" s="1">
        <v>10289</v>
      </c>
    </row>
    <row r="1739" spans="1:6" hidden="1" x14ac:dyDescent="0.3">
      <c r="A1739">
        <v>2026</v>
      </c>
      <c r="B1739">
        <v>3</v>
      </c>
      <c r="C1739" s="105" t="s">
        <v>39</v>
      </c>
      <c r="D1739" s="105" t="s">
        <v>27</v>
      </c>
      <c r="E1739">
        <v>44</v>
      </c>
      <c r="F1739" s="1">
        <v>37921</v>
      </c>
    </row>
    <row r="1740" spans="1:6" hidden="1" x14ac:dyDescent="0.3">
      <c r="A1740">
        <v>2026</v>
      </c>
      <c r="B1740">
        <v>3</v>
      </c>
      <c r="C1740" s="105" t="s">
        <v>39</v>
      </c>
      <c r="D1740" s="105" t="s">
        <v>28</v>
      </c>
      <c r="E1740">
        <v>19</v>
      </c>
      <c r="F1740" s="1">
        <v>13527</v>
      </c>
    </row>
    <row r="1741" spans="1:6" hidden="1" x14ac:dyDescent="0.3">
      <c r="A1741">
        <v>2026</v>
      </c>
      <c r="B1741">
        <v>3</v>
      </c>
      <c r="C1741" s="105" t="s">
        <v>39</v>
      </c>
      <c r="D1741" s="105" t="s">
        <v>29</v>
      </c>
      <c r="E1741">
        <v>67</v>
      </c>
      <c r="F1741" s="1">
        <v>62517.99</v>
      </c>
    </row>
    <row r="1742" spans="1:6" hidden="1" x14ac:dyDescent="0.3">
      <c r="A1742">
        <v>2026</v>
      </c>
      <c r="B1742">
        <v>3</v>
      </c>
      <c r="C1742" s="105" t="s">
        <v>39</v>
      </c>
      <c r="D1742" s="105" t="s">
        <v>30</v>
      </c>
      <c r="E1742">
        <v>42</v>
      </c>
      <c r="F1742" s="1">
        <v>30248</v>
      </c>
    </row>
    <row r="1743" spans="1:6" hidden="1" x14ac:dyDescent="0.3">
      <c r="A1743">
        <v>2026</v>
      </c>
      <c r="B1743">
        <v>3</v>
      </c>
      <c r="C1743" s="105" t="s">
        <v>39</v>
      </c>
      <c r="D1743" s="105" t="s">
        <v>31</v>
      </c>
      <c r="E1743">
        <v>124</v>
      </c>
      <c r="F1743" s="1">
        <v>142659</v>
      </c>
    </row>
    <row r="1744" spans="1:6" hidden="1" x14ac:dyDescent="0.3">
      <c r="A1744">
        <v>2026</v>
      </c>
      <c r="B1744">
        <v>3</v>
      </c>
      <c r="C1744" s="105" t="s">
        <v>39</v>
      </c>
      <c r="D1744" s="105" t="s">
        <v>51</v>
      </c>
      <c r="E1744">
        <v>13</v>
      </c>
      <c r="F1744" s="1">
        <v>9894</v>
      </c>
    </row>
    <row r="1745" spans="1:6" hidden="1" x14ac:dyDescent="0.3">
      <c r="A1745">
        <v>2026</v>
      </c>
      <c r="B1745">
        <v>3</v>
      </c>
      <c r="C1745" s="105" t="s">
        <v>39</v>
      </c>
      <c r="D1745" s="105" t="s">
        <v>32</v>
      </c>
      <c r="E1745">
        <v>49</v>
      </c>
      <c r="F1745" s="1">
        <v>53464</v>
      </c>
    </row>
    <row r="1746" spans="1:6" hidden="1" x14ac:dyDescent="0.3">
      <c r="A1746">
        <v>2026</v>
      </c>
      <c r="B1746">
        <v>3</v>
      </c>
      <c r="C1746" s="105" t="s">
        <v>39</v>
      </c>
      <c r="D1746" s="105" t="s">
        <v>52</v>
      </c>
      <c r="E1746">
        <v>7</v>
      </c>
      <c r="F1746" s="1">
        <v>9607</v>
      </c>
    </row>
    <row r="1747" spans="1:6" hidden="1" x14ac:dyDescent="0.3">
      <c r="A1747">
        <v>2026</v>
      </c>
      <c r="B1747">
        <v>3</v>
      </c>
      <c r="C1747" s="105" t="s">
        <v>39</v>
      </c>
      <c r="D1747" s="105" t="s">
        <v>33</v>
      </c>
      <c r="E1747">
        <v>105</v>
      </c>
      <c r="F1747" s="1">
        <v>113810.5</v>
      </c>
    </row>
    <row r="1748" spans="1:6" hidden="1" x14ac:dyDescent="0.3">
      <c r="A1748">
        <v>2026</v>
      </c>
      <c r="B1748">
        <v>3</v>
      </c>
      <c r="C1748" s="105" t="s">
        <v>39</v>
      </c>
      <c r="D1748" s="105" t="s">
        <v>58</v>
      </c>
      <c r="E1748">
        <v>12</v>
      </c>
      <c r="F1748" s="1">
        <v>8994</v>
      </c>
    </row>
    <row r="1749" spans="1:6" hidden="1" x14ac:dyDescent="0.3">
      <c r="A1749">
        <v>2026</v>
      </c>
      <c r="B1749">
        <v>3</v>
      </c>
      <c r="C1749" s="105" t="s">
        <v>39</v>
      </c>
      <c r="D1749" s="105" t="s">
        <v>34</v>
      </c>
      <c r="E1749">
        <v>67</v>
      </c>
      <c r="F1749" s="1">
        <v>59966</v>
      </c>
    </row>
    <row r="1750" spans="1:6" hidden="1" x14ac:dyDescent="0.3">
      <c r="A1750">
        <v>2026</v>
      </c>
      <c r="B1750">
        <v>3</v>
      </c>
      <c r="C1750" s="105" t="s">
        <v>39</v>
      </c>
      <c r="D1750" s="105" t="s">
        <v>56</v>
      </c>
      <c r="E1750">
        <v>5</v>
      </c>
      <c r="F1750" s="1">
        <v>4266</v>
      </c>
    </row>
    <row r="1751" spans="1:6" hidden="1" x14ac:dyDescent="0.3">
      <c r="A1751">
        <v>2026</v>
      </c>
      <c r="B1751">
        <v>3</v>
      </c>
      <c r="C1751" s="105" t="s">
        <v>39</v>
      </c>
      <c r="D1751" s="105" t="s">
        <v>57</v>
      </c>
      <c r="E1751">
        <v>11</v>
      </c>
      <c r="F1751" s="1">
        <v>8929</v>
      </c>
    </row>
    <row r="1752" spans="1:6" hidden="1" x14ac:dyDescent="0.3">
      <c r="A1752">
        <v>2026</v>
      </c>
      <c r="B1752">
        <v>3</v>
      </c>
      <c r="C1752" s="105" t="s">
        <v>39</v>
      </c>
      <c r="D1752" s="105" t="s">
        <v>49</v>
      </c>
      <c r="E1752">
        <v>2</v>
      </c>
      <c r="F1752" s="1">
        <v>1649</v>
      </c>
    </row>
    <row r="1753" spans="1:6" hidden="1" x14ac:dyDescent="0.3">
      <c r="A1753">
        <v>2026</v>
      </c>
      <c r="B1753">
        <v>3</v>
      </c>
      <c r="C1753" s="105" t="s">
        <v>39</v>
      </c>
      <c r="D1753" s="105" t="s">
        <v>53</v>
      </c>
      <c r="E1753">
        <v>16</v>
      </c>
      <c r="F1753" s="1">
        <v>15624</v>
      </c>
    </row>
    <row r="1754" spans="1:6" hidden="1" x14ac:dyDescent="0.3">
      <c r="A1754">
        <v>2026</v>
      </c>
      <c r="B1754">
        <v>3</v>
      </c>
      <c r="C1754" s="105" t="s">
        <v>39</v>
      </c>
      <c r="D1754" s="105" t="s">
        <v>35</v>
      </c>
      <c r="E1754">
        <v>68</v>
      </c>
      <c r="F1754" s="1">
        <v>62808.91</v>
      </c>
    </row>
    <row r="1755" spans="1:6" hidden="1" x14ac:dyDescent="0.3">
      <c r="A1755">
        <v>2026</v>
      </c>
      <c r="B1755">
        <v>3</v>
      </c>
      <c r="C1755" s="105" t="s">
        <v>39</v>
      </c>
      <c r="D1755" s="105" t="s">
        <v>36</v>
      </c>
      <c r="E1755">
        <v>54</v>
      </c>
      <c r="F1755" s="1">
        <v>78916</v>
      </c>
    </row>
    <row r="1756" spans="1:6" hidden="1" x14ac:dyDescent="0.3">
      <c r="A1756">
        <v>2026</v>
      </c>
      <c r="B1756">
        <v>3</v>
      </c>
      <c r="C1756" s="105" t="s">
        <v>39</v>
      </c>
      <c r="D1756" s="105" t="s">
        <v>37</v>
      </c>
      <c r="E1756">
        <v>70</v>
      </c>
      <c r="F1756" s="1">
        <v>69640</v>
      </c>
    </row>
    <row r="1757" spans="1:6" hidden="1" x14ac:dyDescent="0.3">
      <c r="A1757">
        <v>2026</v>
      </c>
      <c r="B1757">
        <v>4</v>
      </c>
      <c r="C1757" s="105" t="s">
        <v>40</v>
      </c>
      <c r="D1757" s="105" t="s">
        <v>7</v>
      </c>
      <c r="E1757">
        <v>66</v>
      </c>
      <c r="F1757" s="1">
        <v>59378</v>
      </c>
    </row>
    <row r="1758" spans="1:6" hidden="1" x14ac:dyDescent="0.3">
      <c r="A1758">
        <v>2026</v>
      </c>
      <c r="B1758">
        <v>4</v>
      </c>
      <c r="C1758" s="105" t="s">
        <v>40</v>
      </c>
      <c r="D1758" s="105" t="s">
        <v>70</v>
      </c>
      <c r="E1758">
        <v>1</v>
      </c>
      <c r="F1758" s="1">
        <v>783</v>
      </c>
    </row>
    <row r="1759" spans="1:6" hidden="1" x14ac:dyDescent="0.3">
      <c r="A1759">
        <v>2026</v>
      </c>
      <c r="B1759">
        <v>4</v>
      </c>
      <c r="C1759" s="105" t="s">
        <v>40</v>
      </c>
      <c r="D1759" s="105" t="s">
        <v>8</v>
      </c>
      <c r="E1759">
        <v>48</v>
      </c>
      <c r="F1759" s="1">
        <v>54121</v>
      </c>
    </row>
    <row r="1760" spans="1:6" hidden="1" x14ac:dyDescent="0.3">
      <c r="A1760">
        <v>2026</v>
      </c>
      <c r="B1760">
        <v>4</v>
      </c>
      <c r="C1760" s="105" t="s">
        <v>40</v>
      </c>
      <c r="D1760" s="105" t="s">
        <v>9</v>
      </c>
      <c r="E1760">
        <v>39</v>
      </c>
      <c r="F1760" s="1">
        <v>30359</v>
      </c>
    </row>
    <row r="1761" spans="1:6" hidden="1" x14ac:dyDescent="0.3">
      <c r="A1761">
        <v>2026</v>
      </c>
      <c r="B1761">
        <v>4</v>
      </c>
      <c r="C1761" s="105" t="s">
        <v>40</v>
      </c>
      <c r="D1761" s="105" t="s">
        <v>10</v>
      </c>
      <c r="E1761">
        <v>96</v>
      </c>
      <c r="F1761" s="1">
        <v>95490.03</v>
      </c>
    </row>
    <row r="1762" spans="1:6" hidden="1" x14ac:dyDescent="0.3">
      <c r="A1762">
        <v>2026</v>
      </c>
      <c r="B1762">
        <v>4</v>
      </c>
      <c r="C1762" s="105" t="s">
        <v>40</v>
      </c>
      <c r="D1762" s="105" t="s">
        <v>11</v>
      </c>
      <c r="E1762">
        <v>63</v>
      </c>
      <c r="F1762" s="1">
        <v>54725</v>
      </c>
    </row>
    <row r="1763" spans="1:6" hidden="1" x14ac:dyDescent="0.3">
      <c r="A1763">
        <v>2026</v>
      </c>
      <c r="B1763">
        <v>4</v>
      </c>
      <c r="C1763" s="105" t="s">
        <v>40</v>
      </c>
      <c r="D1763" s="105" t="s">
        <v>59</v>
      </c>
      <c r="E1763">
        <v>9</v>
      </c>
      <c r="F1763" s="1">
        <v>8507</v>
      </c>
    </row>
    <row r="1764" spans="1:6" hidden="1" x14ac:dyDescent="0.3">
      <c r="A1764">
        <v>2026</v>
      </c>
      <c r="B1764">
        <v>4</v>
      </c>
      <c r="C1764" s="105" t="s">
        <v>40</v>
      </c>
      <c r="D1764" s="105" t="s">
        <v>12</v>
      </c>
      <c r="E1764">
        <v>104</v>
      </c>
      <c r="F1764" s="1">
        <v>108602</v>
      </c>
    </row>
    <row r="1765" spans="1:6" hidden="1" x14ac:dyDescent="0.3">
      <c r="A1765">
        <v>2026</v>
      </c>
      <c r="B1765">
        <v>4</v>
      </c>
      <c r="C1765" s="105" t="s">
        <v>40</v>
      </c>
      <c r="D1765" s="105" t="s">
        <v>13</v>
      </c>
      <c r="E1765">
        <v>144</v>
      </c>
      <c r="F1765" s="1">
        <v>103130.25</v>
      </c>
    </row>
    <row r="1766" spans="1:6" hidden="1" x14ac:dyDescent="0.3">
      <c r="A1766">
        <v>2026</v>
      </c>
      <c r="B1766">
        <v>4</v>
      </c>
      <c r="C1766" s="105" t="s">
        <v>40</v>
      </c>
      <c r="D1766" s="105" t="s">
        <v>14</v>
      </c>
      <c r="E1766">
        <v>52</v>
      </c>
      <c r="F1766" s="1">
        <v>34926</v>
      </c>
    </row>
    <row r="1767" spans="1:6" hidden="1" x14ac:dyDescent="0.3">
      <c r="A1767">
        <v>2026</v>
      </c>
      <c r="B1767">
        <v>4</v>
      </c>
      <c r="C1767" s="105" t="s">
        <v>40</v>
      </c>
      <c r="D1767" s="105" t="s">
        <v>15</v>
      </c>
      <c r="E1767">
        <v>49</v>
      </c>
      <c r="F1767" s="1">
        <v>37266</v>
      </c>
    </row>
    <row r="1768" spans="1:6" hidden="1" x14ac:dyDescent="0.3">
      <c r="A1768">
        <v>2026</v>
      </c>
      <c r="B1768">
        <v>4</v>
      </c>
      <c r="C1768" s="105" t="s">
        <v>40</v>
      </c>
      <c r="D1768" s="105" t="s">
        <v>16</v>
      </c>
      <c r="E1768">
        <v>80</v>
      </c>
      <c r="F1768" s="1">
        <v>52108</v>
      </c>
    </row>
    <row r="1769" spans="1:6" hidden="1" x14ac:dyDescent="0.3">
      <c r="A1769">
        <v>2026</v>
      </c>
      <c r="B1769">
        <v>4</v>
      </c>
      <c r="C1769" s="105" t="s">
        <v>40</v>
      </c>
      <c r="D1769" s="105" t="s">
        <v>54</v>
      </c>
      <c r="E1769">
        <v>28</v>
      </c>
      <c r="F1769" s="1">
        <v>25428</v>
      </c>
    </row>
    <row r="1770" spans="1:6" hidden="1" x14ac:dyDescent="0.3">
      <c r="A1770">
        <v>2026</v>
      </c>
      <c r="B1770">
        <v>4</v>
      </c>
      <c r="C1770" s="105" t="s">
        <v>40</v>
      </c>
      <c r="D1770" s="105" t="s">
        <v>17</v>
      </c>
      <c r="E1770">
        <v>168</v>
      </c>
      <c r="F1770" s="1">
        <v>152366</v>
      </c>
    </row>
    <row r="1771" spans="1:6" hidden="1" x14ac:dyDescent="0.3">
      <c r="A1771">
        <v>2026</v>
      </c>
      <c r="B1771">
        <v>4</v>
      </c>
      <c r="C1771" s="105" t="s">
        <v>40</v>
      </c>
      <c r="D1771" s="105" t="s">
        <v>18</v>
      </c>
      <c r="E1771">
        <v>195</v>
      </c>
      <c r="F1771" s="1">
        <v>195998.09</v>
      </c>
    </row>
    <row r="1772" spans="1:6" hidden="1" x14ac:dyDescent="0.3">
      <c r="A1772">
        <v>2026</v>
      </c>
      <c r="B1772">
        <v>4</v>
      </c>
      <c r="C1772" s="105" t="s">
        <v>40</v>
      </c>
      <c r="D1772" s="105" t="s">
        <v>50</v>
      </c>
      <c r="E1772">
        <v>33</v>
      </c>
      <c r="F1772" s="1">
        <v>27936</v>
      </c>
    </row>
    <row r="1773" spans="1:6" hidden="1" x14ac:dyDescent="0.3">
      <c r="A1773">
        <v>2026</v>
      </c>
      <c r="B1773">
        <v>4</v>
      </c>
      <c r="C1773" s="105" t="s">
        <v>40</v>
      </c>
      <c r="D1773" s="105" t="s">
        <v>55</v>
      </c>
      <c r="E1773">
        <v>6</v>
      </c>
      <c r="F1773" s="1">
        <v>4914</v>
      </c>
    </row>
    <row r="1774" spans="1:6" hidden="1" x14ac:dyDescent="0.3">
      <c r="A1774">
        <v>2026</v>
      </c>
      <c r="B1774">
        <v>4</v>
      </c>
      <c r="C1774" s="105" t="s">
        <v>40</v>
      </c>
      <c r="D1774" s="105" t="s">
        <v>69</v>
      </c>
      <c r="E1774">
        <v>4</v>
      </c>
      <c r="F1774" s="1">
        <v>3835</v>
      </c>
    </row>
    <row r="1775" spans="1:6" hidden="1" x14ac:dyDescent="0.3">
      <c r="A1775">
        <v>2026</v>
      </c>
      <c r="B1775">
        <v>4</v>
      </c>
      <c r="C1775" s="105" t="s">
        <v>40</v>
      </c>
      <c r="D1775" s="105" t="s">
        <v>19</v>
      </c>
      <c r="E1775">
        <v>35</v>
      </c>
      <c r="F1775" s="1">
        <v>28587</v>
      </c>
    </row>
    <row r="1776" spans="1:6" hidden="1" x14ac:dyDescent="0.3">
      <c r="A1776">
        <v>2026</v>
      </c>
      <c r="B1776">
        <v>4</v>
      </c>
      <c r="C1776" s="105" t="s">
        <v>40</v>
      </c>
      <c r="D1776" s="105" t="s">
        <v>20</v>
      </c>
      <c r="E1776">
        <v>53</v>
      </c>
      <c r="F1776" s="1">
        <v>44074.87</v>
      </c>
    </row>
    <row r="1777" spans="1:6" hidden="1" x14ac:dyDescent="0.3">
      <c r="A1777">
        <v>2026</v>
      </c>
      <c r="B1777">
        <v>4</v>
      </c>
      <c r="C1777" s="105" t="s">
        <v>40</v>
      </c>
      <c r="D1777" s="105" t="s">
        <v>21</v>
      </c>
      <c r="E1777">
        <v>144</v>
      </c>
      <c r="F1777" s="1">
        <v>172234.26</v>
      </c>
    </row>
    <row r="1778" spans="1:6" x14ac:dyDescent="0.3">
      <c r="A1778">
        <v>2026</v>
      </c>
      <c r="B1778">
        <v>4</v>
      </c>
      <c r="C1778" s="105" t="s">
        <v>40</v>
      </c>
      <c r="D1778" s="105" t="s">
        <v>22</v>
      </c>
      <c r="E1778">
        <v>54</v>
      </c>
      <c r="F1778" s="1">
        <v>39670.269999999997</v>
      </c>
    </row>
    <row r="1779" spans="1:6" hidden="1" x14ac:dyDescent="0.3">
      <c r="A1779">
        <v>2026</v>
      </c>
      <c r="B1779">
        <v>4</v>
      </c>
      <c r="C1779" s="105" t="s">
        <v>40</v>
      </c>
      <c r="D1779" s="105" t="s">
        <v>23</v>
      </c>
      <c r="E1779">
        <v>76</v>
      </c>
      <c r="F1779" s="1">
        <v>86495</v>
      </c>
    </row>
    <row r="1780" spans="1:6" hidden="1" x14ac:dyDescent="0.3">
      <c r="A1780">
        <v>2026</v>
      </c>
      <c r="B1780">
        <v>4</v>
      </c>
      <c r="C1780" s="105" t="s">
        <v>40</v>
      </c>
      <c r="D1780" s="105" t="s">
        <v>24</v>
      </c>
      <c r="E1780">
        <v>45</v>
      </c>
      <c r="F1780" s="1">
        <v>28692</v>
      </c>
    </row>
    <row r="1781" spans="1:6" hidden="1" x14ac:dyDescent="0.3">
      <c r="A1781">
        <v>2026</v>
      </c>
      <c r="B1781">
        <v>4</v>
      </c>
      <c r="C1781" s="105" t="s">
        <v>40</v>
      </c>
      <c r="D1781" s="105" t="s">
        <v>25</v>
      </c>
      <c r="E1781">
        <v>88</v>
      </c>
      <c r="F1781" s="1">
        <v>91805</v>
      </c>
    </row>
    <row r="1782" spans="1:6" hidden="1" x14ac:dyDescent="0.3">
      <c r="A1782">
        <v>2026</v>
      </c>
      <c r="B1782">
        <v>4</v>
      </c>
      <c r="C1782" s="105" t="s">
        <v>40</v>
      </c>
      <c r="D1782" s="105" t="s">
        <v>26</v>
      </c>
      <c r="E1782">
        <v>53</v>
      </c>
      <c r="F1782" s="1">
        <v>51489.8</v>
      </c>
    </row>
    <row r="1783" spans="1:6" hidden="1" x14ac:dyDescent="0.3">
      <c r="A1783">
        <v>2026</v>
      </c>
      <c r="B1783">
        <v>4</v>
      </c>
      <c r="C1783" s="105" t="s">
        <v>40</v>
      </c>
      <c r="D1783" s="105" t="s">
        <v>27</v>
      </c>
      <c r="E1783">
        <v>58</v>
      </c>
      <c r="F1783" s="1">
        <v>47196</v>
      </c>
    </row>
    <row r="1784" spans="1:6" hidden="1" x14ac:dyDescent="0.3">
      <c r="A1784">
        <v>2026</v>
      </c>
      <c r="B1784">
        <v>4</v>
      </c>
      <c r="C1784" s="105" t="s">
        <v>40</v>
      </c>
      <c r="D1784" s="105" t="s">
        <v>28</v>
      </c>
      <c r="E1784">
        <v>24</v>
      </c>
      <c r="F1784" s="1">
        <v>19396</v>
      </c>
    </row>
    <row r="1785" spans="1:6" hidden="1" x14ac:dyDescent="0.3">
      <c r="A1785">
        <v>2026</v>
      </c>
      <c r="B1785">
        <v>4</v>
      </c>
      <c r="C1785" s="105" t="s">
        <v>40</v>
      </c>
      <c r="D1785" s="105" t="s">
        <v>29</v>
      </c>
      <c r="E1785">
        <v>118</v>
      </c>
      <c r="F1785" s="1">
        <v>105718.79</v>
      </c>
    </row>
    <row r="1786" spans="1:6" hidden="1" x14ac:dyDescent="0.3">
      <c r="A1786">
        <v>2026</v>
      </c>
      <c r="B1786">
        <v>4</v>
      </c>
      <c r="C1786" s="105" t="s">
        <v>40</v>
      </c>
      <c r="D1786" s="105" t="s">
        <v>30</v>
      </c>
      <c r="E1786">
        <v>52</v>
      </c>
      <c r="F1786" s="1">
        <v>33131</v>
      </c>
    </row>
    <row r="1787" spans="1:6" hidden="1" x14ac:dyDescent="0.3">
      <c r="A1787">
        <v>2026</v>
      </c>
      <c r="B1787">
        <v>4</v>
      </c>
      <c r="C1787" s="105" t="s">
        <v>40</v>
      </c>
      <c r="D1787" s="105" t="s">
        <v>31</v>
      </c>
      <c r="E1787">
        <v>187</v>
      </c>
      <c r="F1787" s="1">
        <v>226155.02</v>
      </c>
    </row>
    <row r="1788" spans="1:6" hidden="1" x14ac:dyDescent="0.3">
      <c r="A1788">
        <v>2026</v>
      </c>
      <c r="B1788">
        <v>4</v>
      </c>
      <c r="C1788" s="105" t="s">
        <v>40</v>
      </c>
      <c r="D1788" s="105" t="s">
        <v>51</v>
      </c>
      <c r="E1788">
        <v>17</v>
      </c>
      <c r="F1788" s="1">
        <v>9993</v>
      </c>
    </row>
    <row r="1789" spans="1:6" hidden="1" x14ac:dyDescent="0.3">
      <c r="A1789">
        <v>2026</v>
      </c>
      <c r="B1789">
        <v>4</v>
      </c>
      <c r="C1789" s="105" t="s">
        <v>40</v>
      </c>
      <c r="D1789" s="105" t="s">
        <v>32</v>
      </c>
      <c r="E1789">
        <v>108</v>
      </c>
      <c r="F1789" s="1">
        <v>115192</v>
      </c>
    </row>
    <row r="1790" spans="1:6" hidden="1" x14ac:dyDescent="0.3">
      <c r="A1790">
        <v>2026</v>
      </c>
      <c r="B1790">
        <v>4</v>
      </c>
      <c r="C1790" s="105" t="s">
        <v>40</v>
      </c>
      <c r="D1790" s="105" t="s">
        <v>52</v>
      </c>
      <c r="E1790">
        <v>19</v>
      </c>
      <c r="F1790" s="1">
        <v>17542</v>
      </c>
    </row>
    <row r="1791" spans="1:6" hidden="1" x14ac:dyDescent="0.3">
      <c r="A1791">
        <v>2026</v>
      </c>
      <c r="B1791">
        <v>4</v>
      </c>
      <c r="C1791" s="105" t="s">
        <v>40</v>
      </c>
      <c r="D1791" s="105" t="s">
        <v>33</v>
      </c>
      <c r="E1791">
        <v>159</v>
      </c>
      <c r="F1791" s="1">
        <v>145411.4</v>
      </c>
    </row>
    <row r="1792" spans="1:6" hidden="1" x14ac:dyDescent="0.3">
      <c r="A1792">
        <v>2026</v>
      </c>
      <c r="B1792">
        <v>4</v>
      </c>
      <c r="C1792" s="105" t="s">
        <v>40</v>
      </c>
      <c r="D1792" s="105" t="s">
        <v>58</v>
      </c>
      <c r="E1792">
        <v>10</v>
      </c>
      <c r="F1792" s="1">
        <v>8204</v>
      </c>
    </row>
    <row r="1793" spans="1:6" hidden="1" x14ac:dyDescent="0.3">
      <c r="A1793">
        <v>2026</v>
      </c>
      <c r="B1793">
        <v>4</v>
      </c>
      <c r="C1793" s="105" t="s">
        <v>40</v>
      </c>
      <c r="D1793" s="105" t="s">
        <v>34</v>
      </c>
      <c r="E1793">
        <v>101</v>
      </c>
      <c r="F1793" s="1">
        <v>86375</v>
      </c>
    </row>
    <row r="1794" spans="1:6" hidden="1" x14ac:dyDescent="0.3">
      <c r="A1794">
        <v>2026</v>
      </c>
      <c r="B1794">
        <v>4</v>
      </c>
      <c r="C1794" s="105" t="s">
        <v>40</v>
      </c>
      <c r="D1794" s="105" t="s">
        <v>56</v>
      </c>
      <c r="E1794">
        <v>12</v>
      </c>
      <c r="F1794" s="1">
        <v>9892</v>
      </c>
    </row>
    <row r="1795" spans="1:6" hidden="1" x14ac:dyDescent="0.3">
      <c r="A1795">
        <v>2026</v>
      </c>
      <c r="B1795">
        <v>4</v>
      </c>
      <c r="C1795" s="105" t="s">
        <v>40</v>
      </c>
      <c r="D1795" s="105" t="s">
        <v>57</v>
      </c>
      <c r="E1795">
        <v>22</v>
      </c>
      <c r="F1795" s="1">
        <v>16100</v>
      </c>
    </row>
    <row r="1796" spans="1:6" hidden="1" x14ac:dyDescent="0.3">
      <c r="A1796">
        <v>2026</v>
      </c>
      <c r="B1796">
        <v>4</v>
      </c>
      <c r="C1796" s="105" t="s">
        <v>40</v>
      </c>
      <c r="D1796" s="105" t="s">
        <v>49</v>
      </c>
      <c r="E1796">
        <v>6</v>
      </c>
      <c r="F1796" s="1">
        <v>5162</v>
      </c>
    </row>
    <row r="1797" spans="1:6" hidden="1" x14ac:dyDescent="0.3">
      <c r="A1797">
        <v>2026</v>
      </c>
      <c r="B1797">
        <v>4</v>
      </c>
      <c r="C1797" s="105" t="s">
        <v>40</v>
      </c>
      <c r="D1797" s="105" t="s">
        <v>53</v>
      </c>
      <c r="E1797">
        <v>40</v>
      </c>
      <c r="F1797" s="1">
        <v>32200.3</v>
      </c>
    </row>
    <row r="1798" spans="1:6" hidden="1" x14ac:dyDescent="0.3">
      <c r="A1798">
        <v>2026</v>
      </c>
      <c r="B1798">
        <v>4</v>
      </c>
      <c r="C1798" s="105" t="s">
        <v>40</v>
      </c>
      <c r="D1798" s="105" t="s">
        <v>35</v>
      </c>
      <c r="E1798">
        <v>100</v>
      </c>
      <c r="F1798" s="1">
        <v>96391</v>
      </c>
    </row>
    <row r="1799" spans="1:6" hidden="1" x14ac:dyDescent="0.3">
      <c r="A1799">
        <v>2026</v>
      </c>
      <c r="B1799">
        <v>4</v>
      </c>
      <c r="C1799" s="105" t="s">
        <v>40</v>
      </c>
      <c r="D1799" s="105" t="s">
        <v>36</v>
      </c>
      <c r="E1799">
        <v>40</v>
      </c>
      <c r="F1799" s="1">
        <v>36940.25</v>
      </c>
    </row>
    <row r="1800" spans="1:6" hidden="1" x14ac:dyDescent="0.3">
      <c r="A1800">
        <v>2026</v>
      </c>
      <c r="B1800">
        <v>4</v>
      </c>
      <c r="C1800" s="105" t="s">
        <v>40</v>
      </c>
      <c r="D1800" s="105" t="s">
        <v>37</v>
      </c>
      <c r="E1800">
        <v>121</v>
      </c>
      <c r="F1800" s="1">
        <v>117255.06</v>
      </c>
    </row>
    <row r="1801" spans="1:6" hidden="1" x14ac:dyDescent="0.3">
      <c r="A1801">
        <v>2026</v>
      </c>
      <c r="B1801">
        <v>5</v>
      </c>
      <c r="C1801" s="105" t="s">
        <v>41</v>
      </c>
      <c r="D1801" s="105" t="s">
        <v>7</v>
      </c>
      <c r="E1801">
        <v>4</v>
      </c>
      <c r="F1801" s="1">
        <v>1933</v>
      </c>
    </row>
    <row r="1802" spans="1:6" hidden="1" x14ac:dyDescent="0.3">
      <c r="A1802">
        <v>2026</v>
      </c>
      <c r="B1802">
        <v>5</v>
      </c>
      <c r="C1802" s="105" t="s">
        <v>41</v>
      </c>
      <c r="D1802" s="105" t="s">
        <v>70</v>
      </c>
      <c r="E1802">
        <v>1</v>
      </c>
      <c r="F1802" s="1">
        <v>734</v>
      </c>
    </row>
    <row r="1803" spans="1:6" hidden="1" x14ac:dyDescent="0.3">
      <c r="A1803">
        <v>2026</v>
      </c>
      <c r="B1803">
        <v>5</v>
      </c>
      <c r="C1803" s="105" t="s">
        <v>41</v>
      </c>
      <c r="D1803" s="105" t="s">
        <v>8</v>
      </c>
      <c r="E1803">
        <v>5</v>
      </c>
      <c r="F1803" s="1">
        <v>3349</v>
      </c>
    </row>
    <row r="1804" spans="1:6" hidden="1" x14ac:dyDescent="0.3">
      <c r="A1804">
        <v>2026</v>
      </c>
      <c r="B1804">
        <v>5</v>
      </c>
      <c r="C1804" s="105" t="s">
        <v>41</v>
      </c>
      <c r="D1804" s="105" t="s">
        <v>9</v>
      </c>
      <c r="E1804">
        <v>3</v>
      </c>
      <c r="F1804" s="1">
        <v>4374</v>
      </c>
    </row>
    <row r="1805" spans="1:6" hidden="1" x14ac:dyDescent="0.3">
      <c r="A1805">
        <v>2026</v>
      </c>
      <c r="B1805">
        <v>5</v>
      </c>
      <c r="C1805" s="105" t="s">
        <v>41</v>
      </c>
      <c r="D1805" s="105" t="s">
        <v>10</v>
      </c>
      <c r="E1805">
        <v>17</v>
      </c>
      <c r="F1805" s="1">
        <v>16397</v>
      </c>
    </row>
    <row r="1806" spans="1:6" hidden="1" x14ac:dyDescent="0.3">
      <c r="A1806">
        <v>2026</v>
      </c>
      <c r="B1806">
        <v>5</v>
      </c>
      <c r="C1806" s="105" t="s">
        <v>41</v>
      </c>
      <c r="D1806" s="105" t="s">
        <v>11</v>
      </c>
      <c r="E1806">
        <v>11</v>
      </c>
      <c r="F1806" s="1">
        <v>7244</v>
      </c>
    </row>
    <row r="1807" spans="1:6" hidden="1" x14ac:dyDescent="0.3">
      <c r="A1807">
        <v>2026</v>
      </c>
      <c r="B1807">
        <v>5</v>
      </c>
      <c r="C1807" s="105" t="s">
        <v>41</v>
      </c>
      <c r="D1807" s="105" t="s">
        <v>59</v>
      </c>
      <c r="E1807">
        <v>2</v>
      </c>
      <c r="F1807" s="1">
        <v>1292</v>
      </c>
    </row>
    <row r="1808" spans="1:6" hidden="1" x14ac:dyDescent="0.3">
      <c r="A1808">
        <v>2026</v>
      </c>
      <c r="B1808">
        <v>5</v>
      </c>
      <c r="C1808" s="105" t="s">
        <v>41</v>
      </c>
      <c r="D1808" s="105" t="s">
        <v>12</v>
      </c>
      <c r="E1808">
        <v>19</v>
      </c>
      <c r="F1808" s="1">
        <v>21834</v>
      </c>
    </row>
    <row r="1809" spans="1:6" hidden="1" x14ac:dyDescent="0.3">
      <c r="A1809">
        <v>2026</v>
      </c>
      <c r="B1809">
        <v>5</v>
      </c>
      <c r="C1809" s="105" t="s">
        <v>41</v>
      </c>
      <c r="D1809" s="105" t="s">
        <v>13</v>
      </c>
      <c r="E1809">
        <v>19</v>
      </c>
      <c r="F1809" s="1">
        <v>26651</v>
      </c>
    </row>
    <row r="1810" spans="1:6" hidden="1" x14ac:dyDescent="0.3">
      <c r="A1810">
        <v>2026</v>
      </c>
      <c r="B1810">
        <v>5</v>
      </c>
      <c r="C1810" s="105" t="s">
        <v>41</v>
      </c>
      <c r="D1810" s="105" t="s">
        <v>14</v>
      </c>
      <c r="E1810">
        <v>14</v>
      </c>
      <c r="F1810" s="1">
        <v>13124</v>
      </c>
    </row>
    <row r="1811" spans="1:6" hidden="1" x14ac:dyDescent="0.3">
      <c r="A1811">
        <v>2026</v>
      </c>
      <c r="B1811">
        <v>5</v>
      </c>
      <c r="C1811" s="105" t="s">
        <v>41</v>
      </c>
      <c r="D1811" s="105" t="s">
        <v>15</v>
      </c>
      <c r="E1811">
        <v>15</v>
      </c>
      <c r="F1811" s="1">
        <v>10176</v>
      </c>
    </row>
    <row r="1812" spans="1:6" hidden="1" x14ac:dyDescent="0.3">
      <c r="A1812">
        <v>2026</v>
      </c>
      <c r="B1812">
        <v>5</v>
      </c>
      <c r="C1812" s="105" t="s">
        <v>41</v>
      </c>
      <c r="D1812" s="105" t="s">
        <v>16</v>
      </c>
      <c r="E1812">
        <v>16</v>
      </c>
      <c r="F1812" s="1">
        <v>10090.700000000001</v>
      </c>
    </row>
    <row r="1813" spans="1:6" hidden="1" x14ac:dyDescent="0.3">
      <c r="A1813">
        <v>2026</v>
      </c>
      <c r="B1813">
        <v>5</v>
      </c>
      <c r="C1813" s="105" t="s">
        <v>41</v>
      </c>
      <c r="D1813" s="105" t="s">
        <v>54</v>
      </c>
      <c r="E1813">
        <v>7</v>
      </c>
      <c r="F1813" s="1">
        <v>5658</v>
      </c>
    </row>
    <row r="1814" spans="1:6" hidden="1" x14ac:dyDescent="0.3">
      <c r="A1814">
        <v>2026</v>
      </c>
      <c r="B1814">
        <v>5</v>
      </c>
      <c r="C1814" s="105" t="s">
        <v>41</v>
      </c>
      <c r="D1814" s="105" t="s">
        <v>17</v>
      </c>
      <c r="E1814">
        <v>29</v>
      </c>
      <c r="F1814" s="1">
        <v>27100</v>
      </c>
    </row>
    <row r="1815" spans="1:6" hidden="1" x14ac:dyDescent="0.3">
      <c r="A1815">
        <v>2026</v>
      </c>
      <c r="B1815">
        <v>5</v>
      </c>
      <c r="C1815" s="105" t="s">
        <v>41</v>
      </c>
      <c r="D1815" s="105" t="s">
        <v>18</v>
      </c>
      <c r="E1815">
        <v>47</v>
      </c>
      <c r="F1815" s="1">
        <v>42697</v>
      </c>
    </row>
    <row r="1816" spans="1:6" hidden="1" x14ac:dyDescent="0.3">
      <c r="A1816">
        <v>2026</v>
      </c>
      <c r="B1816">
        <v>5</v>
      </c>
      <c r="C1816" s="105" t="s">
        <v>41</v>
      </c>
      <c r="D1816" s="105" t="s">
        <v>50</v>
      </c>
      <c r="E1816">
        <v>5</v>
      </c>
      <c r="F1816" s="1">
        <v>3846</v>
      </c>
    </row>
    <row r="1817" spans="1:6" hidden="1" x14ac:dyDescent="0.3">
      <c r="A1817">
        <v>2026</v>
      </c>
      <c r="B1817">
        <v>5</v>
      </c>
      <c r="C1817" s="105" t="s">
        <v>41</v>
      </c>
      <c r="D1817" s="105" t="s">
        <v>55</v>
      </c>
      <c r="E1817">
        <v>3</v>
      </c>
      <c r="F1817" s="1">
        <v>1525</v>
      </c>
    </row>
    <row r="1818" spans="1:6" hidden="1" x14ac:dyDescent="0.3">
      <c r="A1818">
        <v>2026</v>
      </c>
      <c r="B1818">
        <v>5</v>
      </c>
      <c r="C1818" s="105" t="s">
        <v>41</v>
      </c>
      <c r="D1818" s="105" t="s">
        <v>19</v>
      </c>
      <c r="E1818">
        <v>9</v>
      </c>
      <c r="F1818" s="1">
        <v>14902.5</v>
      </c>
    </row>
    <row r="1819" spans="1:6" hidden="1" x14ac:dyDescent="0.3">
      <c r="A1819">
        <v>2026</v>
      </c>
      <c r="B1819">
        <v>5</v>
      </c>
      <c r="C1819" s="105" t="s">
        <v>41</v>
      </c>
      <c r="D1819" s="105" t="s">
        <v>20</v>
      </c>
      <c r="E1819">
        <v>6</v>
      </c>
      <c r="F1819" s="1">
        <v>4791</v>
      </c>
    </row>
    <row r="1820" spans="1:6" hidden="1" x14ac:dyDescent="0.3">
      <c r="A1820">
        <v>2026</v>
      </c>
      <c r="B1820">
        <v>5</v>
      </c>
      <c r="C1820" s="105" t="s">
        <v>41</v>
      </c>
      <c r="D1820" s="105" t="s">
        <v>21</v>
      </c>
      <c r="E1820">
        <v>17</v>
      </c>
      <c r="F1820" s="1">
        <v>17668</v>
      </c>
    </row>
    <row r="1821" spans="1:6" x14ac:dyDescent="0.3">
      <c r="A1821">
        <v>2026</v>
      </c>
      <c r="B1821">
        <v>5</v>
      </c>
      <c r="C1821" s="105" t="s">
        <v>41</v>
      </c>
      <c r="D1821" s="105" t="s">
        <v>22</v>
      </c>
      <c r="E1821">
        <v>13</v>
      </c>
      <c r="F1821" s="1">
        <v>9269</v>
      </c>
    </row>
    <row r="1822" spans="1:6" hidden="1" x14ac:dyDescent="0.3">
      <c r="A1822">
        <v>2026</v>
      </c>
      <c r="B1822">
        <v>5</v>
      </c>
      <c r="C1822" s="105" t="s">
        <v>41</v>
      </c>
      <c r="D1822" s="105" t="s">
        <v>23</v>
      </c>
      <c r="E1822">
        <v>29</v>
      </c>
      <c r="F1822" s="1">
        <v>26999</v>
      </c>
    </row>
    <row r="1823" spans="1:6" hidden="1" x14ac:dyDescent="0.3">
      <c r="A1823">
        <v>2026</v>
      </c>
      <c r="B1823">
        <v>5</v>
      </c>
      <c r="C1823" s="105" t="s">
        <v>41</v>
      </c>
      <c r="D1823" s="105" t="s">
        <v>24</v>
      </c>
      <c r="E1823">
        <v>9</v>
      </c>
      <c r="F1823" s="1">
        <v>6032</v>
      </c>
    </row>
    <row r="1824" spans="1:6" hidden="1" x14ac:dyDescent="0.3">
      <c r="A1824">
        <v>2026</v>
      </c>
      <c r="B1824">
        <v>5</v>
      </c>
      <c r="C1824" s="105" t="s">
        <v>41</v>
      </c>
      <c r="D1824" s="105" t="s">
        <v>25</v>
      </c>
      <c r="E1824">
        <v>15</v>
      </c>
      <c r="F1824" s="1">
        <v>12924</v>
      </c>
    </row>
    <row r="1825" spans="1:6" hidden="1" x14ac:dyDescent="0.3">
      <c r="A1825">
        <v>2026</v>
      </c>
      <c r="B1825">
        <v>5</v>
      </c>
      <c r="C1825" s="105" t="s">
        <v>41</v>
      </c>
      <c r="D1825" s="105" t="s">
        <v>26</v>
      </c>
      <c r="E1825">
        <v>6</v>
      </c>
      <c r="F1825" s="1">
        <v>4481</v>
      </c>
    </row>
    <row r="1826" spans="1:6" hidden="1" x14ac:dyDescent="0.3">
      <c r="A1826">
        <v>2026</v>
      </c>
      <c r="B1826">
        <v>5</v>
      </c>
      <c r="C1826" s="105" t="s">
        <v>41</v>
      </c>
      <c r="D1826" s="105" t="s">
        <v>27</v>
      </c>
      <c r="E1826">
        <v>5</v>
      </c>
      <c r="F1826" s="1">
        <v>3941</v>
      </c>
    </row>
    <row r="1827" spans="1:6" hidden="1" x14ac:dyDescent="0.3">
      <c r="A1827">
        <v>2026</v>
      </c>
      <c r="B1827">
        <v>5</v>
      </c>
      <c r="C1827" s="105" t="s">
        <v>41</v>
      </c>
      <c r="D1827" s="105" t="s">
        <v>28</v>
      </c>
      <c r="E1827">
        <v>2</v>
      </c>
      <c r="F1827" s="1">
        <v>1242</v>
      </c>
    </row>
    <row r="1828" spans="1:6" hidden="1" x14ac:dyDescent="0.3">
      <c r="A1828">
        <v>2026</v>
      </c>
      <c r="B1828">
        <v>5</v>
      </c>
      <c r="C1828" s="105" t="s">
        <v>41</v>
      </c>
      <c r="D1828" s="105" t="s">
        <v>29</v>
      </c>
      <c r="E1828">
        <v>17</v>
      </c>
      <c r="F1828" s="1">
        <v>14660</v>
      </c>
    </row>
    <row r="1829" spans="1:6" hidden="1" x14ac:dyDescent="0.3">
      <c r="A1829">
        <v>2026</v>
      </c>
      <c r="B1829">
        <v>5</v>
      </c>
      <c r="C1829" s="105" t="s">
        <v>41</v>
      </c>
      <c r="D1829" s="105" t="s">
        <v>30</v>
      </c>
      <c r="E1829">
        <v>14</v>
      </c>
      <c r="F1829" s="1">
        <v>10004</v>
      </c>
    </row>
    <row r="1830" spans="1:6" hidden="1" x14ac:dyDescent="0.3">
      <c r="A1830">
        <v>2026</v>
      </c>
      <c r="B1830">
        <v>5</v>
      </c>
      <c r="C1830" s="105" t="s">
        <v>41</v>
      </c>
      <c r="D1830" s="105" t="s">
        <v>31</v>
      </c>
      <c r="E1830">
        <v>45</v>
      </c>
      <c r="F1830" s="1">
        <v>48293</v>
      </c>
    </row>
    <row r="1831" spans="1:6" hidden="1" x14ac:dyDescent="0.3">
      <c r="A1831">
        <v>2026</v>
      </c>
      <c r="B1831">
        <v>5</v>
      </c>
      <c r="C1831" s="105" t="s">
        <v>41</v>
      </c>
      <c r="D1831" s="105" t="s">
        <v>51</v>
      </c>
      <c r="E1831">
        <v>6</v>
      </c>
      <c r="F1831" s="1">
        <v>4377</v>
      </c>
    </row>
    <row r="1832" spans="1:6" hidden="1" x14ac:dyDescent="0.3">
      <c r="A1832">
        <v>2026</v>
      </c>
      <c r="B1832">
        <v>5</v>
      </c>
      <c r="C1832" s="105" t="s">
        <v>41</v>
      </c>
      <c r="D1832" s="105" t="s">
        <v>32</v>
      </c>
      <c r="E1832">
        <v>7</v>
      </c>
      <c r="F1832" s="1">
        <v>5137</v>
      </c>
    </row>
    <row r="1833" spans="1:6" hidden="1" x14ac:dyDescent="0.3">
      <c r="A1833">
        <v>2026</v>
      </c>
      <c r="B1833">
        <v>5</v>
      </c>
      <c r="C1833" s="105" t="s">
        <v>41</v>
      </c>
      <c r="D1833" s="105" t="s">
        <v>52</v>
      </c>
      <c r="E1833">
        <v>5</v>
      </c>
      <c r="F1833" s="1">
        <v>3924</v>
      </c>
    </row>
    <row r="1834" spans="1:6" hidden="1" x14ac:dyDescent="0.3">
      <c r="A1834">
        <v>2026</v>
      </c>
      <c r="B1834">
        <v>5</v>
      </c>
      <c r="C1834" s="105" t="s">
        <v>41</v>
      </c>
      <c r="D1834" s="105" t="s">
        <v>33</v>
      </c>
      <c r="E1834">
        <v>29</v>
      </c>
      <c r="F1834" s="1">
        <v>26960</v>
      </c>
    </row>
    <row r="1835" spans="1:6" hidden="1" x14ac:dyDescent="0.3">
      <c r="A1835">
        <v>2026</v>
      </c>
      <c r="B1835">
        <v>5</v>
      </c>
      <c r="C1835" s="105" t="s">
        <v>41</v>
      </c>
      <c r="D1835" s="105" t="s">
        <v>58</v>
      </c>
      <c r="E1835">
        <v>3</v>
      </c>
      <c r="F1835" s="1">
        <v>2657</v>
      </c>
    </row>
    <row r="1836" spans="1:6" hidden="1" x14ac:dyDescent="0.3">
      <c r="A1836">
        <v>2026</v>
      </c>
      <c r="B1836">
        <v>5</v>
      </c>
      <c r="C1836" s="105" t="s">
        <v>41</v>
      </c>
      <c r="D1836" s="105" t="s">
        <v>34</v>
      </c>
      <c r="E1836">
        <v>24</v>
      </c>
      <c r="F1836" s="1">
        <v>19771</v>
      </c>
    </row>
    <row r="1837" spans="1:6" hidden="1" x14ac:dyDescent="0.3">
      <c r="A1837">
        <v>2026</v>
      </c>
      <c r="B1837">
        <v>5</v>
      </c>
      <c r="C1837" s="105" t="s">
        <v>41</v>
      </c>
      <c r="D1837" s="105" t="s">
        <v>56</v>
      </c>
      <c r="E1837">
        <v>2</v>
      </c>
      <c r="F1837" s="1">
        <v>1713</v>
      </c>
    </row>
    <row r="1838" spans="1:6" hidden="1" x14ac:dyDescent="0.3">
      <c r="A1838">
        <v>2026</v>
      </c>
      <c r="B1838">
        <v>5</v>
      </c>
      <c r="C1838" s="105" t="s">
        <v>41</v>
      </c>
      <c r="D1838" s="105" t="s">
        <v>57</v>
      </c>
      <c r="E1838">
        <v>2</v>
      </c>
      <c r="F1838" s="1">
        <v>1554</v>
      </c>
    </row>
    <row r="1839" spans="1:6" hidden="1" x14ac:dyDescent="0.3">
      <c r="A1839">
        <v>2026</v>
      </c>
      <c r="B1839">
        <v>5</v>
      </c>
      <c r="C1839" s="105" t="s">
        <v>41</v>
      </c>
      <c r="D1839" s="105" t="s">
        <v>49</v>
      </c>
      <c r="E1839">
        <v>4</v>
      </c>
      <c r="F1839" s="1">
        <v>3335</v>
      </c>
    </row>
    <row r="1840" spans="1:6" hidden="1" x14ac:dyDescent="0.3">
      <c r="A1840">
        <v>2026</v>
      </c>
      <c r="B1840">
        <v>5</v>
      </c>
      <c r="C1840" s="105" t="s">
        <v>41</v>
      </c>
      <c r="D1840" s="105" t="s">
        <v>53</v>
      </c>
      <c r="E1840">
        <v>5</v>
      </c>
      <c r="F1840" s="1">
        <v>4825</v>
      </c>
    </row>
    <row r="1841" spans="1:6" hidden="1" x14ac:dyDescent="0.3">
      <c r="A1841">
        <v>2026</v>
      </c>
      <c r="B1841">
        <v>5</v>
      </c>
      <c r="C1841" s="105" t="s">
        <v>41</v>
      </c>
      <c r="D1841" s="105" t="s">
        <v>35</v>
      </c>
      <c r="E1841">
        <v>23</v>
      </c>
      <c r="F1841" s="1">
        <v>16422</v>
      </c>
    </row>
    <row r="1842" spans="1:6" hidden="1" x14ac:dyDescent="0.3">
      <c r="A1842">
        <v>2026</v>
      </c>
      <c r="B1842">
        <v>5</v>
      </c>
      <c r="C1842" s="105" t="s">
        <v>41</v>
      </c>
      <c r="D1842" s="105" t="s">
        <v>36</v>
      </c>
      <c r="E1842">
        <v>6</v>
      </c>
      <c r="F1842" s="1">
        <v>4466</v>
      </c>
    </row>
    <row r="1843" spans="1:6" hidden="1" x14ac:dyDescent="0.3">
      <c r="A1843">
        <v>2026</v>
      </c>
      <c r="B1843">
        <v>5</v>
      </c>
      <c r="C1843" s="105" t="s">
        <v>41</v>
      </c>
      <c r="D1843" s="105" t="s">
        <v>37</v>
      </c>
      <c r="E1843">
        <v>16</v>
      </c>
      <c r="F1843" s="1">
        <v>15225</v>
      </c>
    </row>
    <row r="1844" spans="1:6" hidden="1" x14ac:dyDescent="0.3">
      <c r="A1844">
        <v>2026</v>
      </c>
      <c r="B1844">
        <v>5</v>
      </c>
      <c r="C1844" s="105" t="s">
        <v>41</v>
      </c>
      <c r="D1844" s="105" t="s">
        <v>73</v>
      </c>
      <c r="E1844">
        <v>6</v>
      </c>
      <c r="F1844" s="1">
        <v>5341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775B-FE4D-4823-9C43-BFE92E2BD95E}">
  <dimension ref="A1:F1873"/>
  <sheetViews>
    <sheetView workbookViewId="0"/>
  </sheetViews>
  <sheetFormatPr defaultRowHeight="14.4" x14ac:dyDescent="0.3"/>
  <cols>
    <col min="1" max="1" width="6.88671875" bestFit="1" customWidth="1"/>
    <col min="2" max="2" width="13.109375" bestFit="1" customWidth="1"/>
    <col min="3" max="3" width="9.77734375" bestFit="1" customWidth="1"/>
    <col min="4" max="4" width="28.44140625" bestFit="1" customWidth="1"/>
    <col min="5" max="5" width="9.5546875" bestFit="1" customWidth="1"/>
    <col min="6" max="6" width="15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60</v>
      </c>
      <c r="F1" t="s">
        <v>5</v>
      </c>
    </row>
    <row r="2" spans="1:6" x14ac:dyDescent="0.3">
      <c r="A2">
        <v>2022</v>
      </c>
      <c r="B2">
        <v>1</v>
      </c>
      <c r="C2" s="105" t="s">
        <v>6</v>
      </c>
      <c r="D2" s="105" t="s">
        <v>7</v>
      </c>
      <c r="E2">
        <v>100</v>
      </c>
      <c r="F2">
        <v>71458.5</v>
      </c>
    </row>
    <row r="3" spans="1:6" x14ac:dyDescent="0.3">
      <c r="A3">
        <v>2022</v>
      </c>
      <c r="B3">
        <v>1</v>
      </c>
      <c r="C3" s="105" t="s">
        <v>6</v>
      </c>
      <c r="D3" s="105" t="s">
        <v>8</v>
      </c>
      <c r="E3">
        <v>260</v>
      </c>
      <c r="F3">
        <v>120380.22</v>
      </c>
    </row>
    <row r="4" spans="1:6" x14ac:dyDescent="0.3">
      <c r="A4">
        <v>2022</v>
      </c>
      <c r="B4">
        <v>1</v>
      </c>
      <c r="C4" s="105" t="s">
        <v>6</v>
      </c>
      <c r="D4" s="105" t="s">
        <v>9</v>
      </c>
      <c r="E4">
        <v>28</v>
      </c>
      <c r="F4">
        <v>26446.89</v>
      </c>
    </row>
    <row r="5" spans="1:6" x14ac:dyDescent="0.3">
      <c r="A5">
        <v>2022</v>
      </c>
      <c r="B5">
        <v>1</v>
      </c>
      <c r="C5" s="105" t="s">
        <v>6</v>
      </c>
      <c r="D5" s="105" t="s">
        <v>10</v>
      </c>
      <c r="E5">
        <v>154</v>
      </c>
      <c r="F5">
        <v>109044.69</v>
      </c>
    </row>
    <row r="6" spans="1:6" x14ac:dyDescent="0.3">
      <c r="A6">
        <v>2022</v>
      </c>
      <c r="B6">
        <v>1</v>
      </c>
      <c r="C6" s="105" t="s">
        <v>6</v>
      </c>
      <c r="D6" s="105" t="s">
        <v>11</v>
      </c>
      <c r="E6">
        <v>117</v>
      </c>
      <c r="F6">
        <v>73658</v>
      </c>
    </row>
    <row r="7" spans="1:6" x14ac:dyDescent="0.3">
      <c r="A7">
        <v>2022</v>
      </c>
      <c r="B7">
        <v>1</v>
      </c>
      <c r="C7" s="105" t="s">
        <v>6</v>
      </c>
      <c r="D7" s="105" t="s">
        <v>12</v>
      </c>
      <c r="E7">
        <v>78</v>
      </c>
      <c r="F7">
        <v>44613.16</v>
      </c>
    </row>
    <row r="8" spans="1:6" x14ac:dyDescent="0.3">
      <c r="A8">
        <v>2022</v>
      </c>
      <c r="B8">
        <v>1</v>
      </c>
      <c r="C8" s="105" t="s">
        <v>6</v>
      </c>
      <c r="D8" s="105" t="s">
        <v>13</v>
      </c>
      <c r="E8">
        <v>138</v>
      </c>
      <c r="F8">
        <v>81073.740000000005</v>
      </c>
    </row>
    <row r="9" spans="1:6" x14ac:dyDescent="0.3">
      <c r="A9">
        <v>2022</v>
      </c>
      <c r="B9">
        <v>1</v>
      </c>
      <c r="C9" s="105" t="s">
        <v>6</v>
      </c>
      <c r="D9" s="105" t="s">
        <v>14</v>
      </c>
      <c r="E9">
        <v>238</v>
      </c>
      <c r="F9">
        <v>134086.03</v>
      </c>
    </row>
    <row r="10" spans="1:6" x14ac:dyDescent="0.3">
      <c r="A10">
        <v>2022</v>
      </c>
      <c r="B10">
        <v>1</v>
      </c>
      <c r="C10" s="105" t="s">
        <v>6</v>
      </c>
      <c r="D10" s="105" t="s">
        <v>15</v>
      </c>
      <c r="E10">
        <v>111</v>
      </c>
      <c r="F10">
        <v>34137.4</v>
      </c>
    </row>
    <row r="11" spans="1:6" x14ac:dyDescent="0.3">
      <c r="A11">
        <v>2022</v>
      </c>
      <c r="B11">
        <v>1</v>
      </c>
      <c r="C11" s="105" t="s">
        <v>6</v>
      </c>
      <c r="D11" s="105" t="s">
        <v>16</v>
      </c>
      <c r="E11">
        <v>41</v>
      </c>
      <c r="F11">
        <v>18886.32</v>
      </c>
    </row>
    <row r="12" spans="1:6" x14ac:dyDescent="0.3">
      <c r="A12">
        <v>2022</v>
      </c>
      <c r="B12">
        <v>1</v>
      </c>
      <c r="C12" s="105" t="s">
        <v>6</v>
      </c>
      <c r="D12" s="105" t="s">
        <v>17</v>
      </c>
      <c r="E12">
        <v>172</v>
      </c>
      <c r="F12">
        <v>112236.82</v>
      </c>
    </row>
    <row r="13" spans="1:6" x14ac:dyDescent="0.3">
      <c r="A13">
        <v>2022</v>
      </c>
      <c r="B13">
        <v>1</v>
      </c>
      <c r="C13" s="105" t="s">
        <v>6</v>
      </c>
      <c r="D13" s="105" t="s">
        <v>18</v>
      </c>
      <c r="E13">
        <v>430</v>
      </c>
      <c r="F13">
        <v>327990.44</v>
      </c>
    </row>
    <row r="14" spans="1:6" x14ac:dyDescent="0.3">
      <c r="A14">
        <v>2022</v>
      </c>
      <c r="B14">
        <v>1</v>
      </c>
      <c r="C14" s="105" t="s">
        <v>6</v>
      </c>
      <c r="D14" s="105" t="s">
        <v>19</v>
      </c>
      <c r="E14">
        <v>71</v>
      </c>
      <c r="F14">
        <v>29890</v>
      </c>
    </row>
    <row r="15" spans="1:6" x14ac:dyDescent="0.3">
      <c r="A15">
        <v>2022</v>
      </c>
      <c r="B15">
        <v>1</v>
      </c>
      <c r="C15" s="105" t="s">
        <v>6</v>
      </c>
      <c r="D15" s="105" t="s">
        <v>20</v>
      </c>
      <c r="E15">
        <v>206</v>
      </c>
      <c r="F15">
        <v>101460.65</v>
      </c>
    </row>
    <row r="16" spans="1:6" x14ac:dyDescent="0.3">
      <c r="A16">
        <v>2022</v>
      </c>
      <c r="B16">
        <v>1</v>
      </c>
      <c r="C16" s="105" t="s">
        <v>6</v>
      </c>
      <c r="D16" s="105" t="s">
        <v>21</v>
      </c>
      <c r="E16">
        <v>226</v>
      </c>
      <c r="F16">
        <v>158970.78</v>
      </c>
    </row>
    <row r="17" spans="1:6" x14ac:dyDescent="0.3">
      <c r="A17">
        <v>2022</v>
      </c>
      <c r="B17">
        <v>1</v>
      </c>
      <c r="C17" s="105" t="s">
        <v>6</v>
      </c>
      <c r="D17" s="105" t="s">
        <v>22</v>
      </c>
      <c r="E17">
        <v>87</v>
      </c>
      <c r="F17">
        <v>42801.36</v>
      </c>
    </row>
    <row r="18" spans="1:6" x14ac:dyDescent="0.3">
      <c r="A18">
        <v>2022</v>
      </c>
      <c r="B18">
        <v>1</v>
      </c>
      <c r="C18" s="105" t="s">
        <v>6</v>
      </c>
      <c r="D18" s="105" t="s">
        <v>23</v>
      </c>
      <c r="E18">
        <v>104</v>
      </c>
      <c r="F18">
        <v>73377</v>
      </c>
    </row>
    <row r="19" spans="1:6" x14ac:dyDescent="0.3">
      <c r="A19">
        <v>2022</v>
      </c>
      <c r="B19">
        <v>1</v>
      </c>
      <c r="C19" s="105" t="s">
        <v>6</v>
      </c>
      <c r="D19" s="105" t="s">
        <v>24</v>
      </c>
      <c r="E19">
        <v>355</v>
      </c>
      <c r="F19">
        <v>184422.61</v>
      </c>
    </row>
    <row r="20" spans="1:6" x14ac:dyDescent="0.3">
      <c r="A20">
        <v>2022</v>
      </c>
      <c r="B20">
        <v>1</v>
      </c>
      <c r="C20" s="105" t="s">
        <v>6</v>
      </c>
      <c r="D20" s="105" t="s">
        <v>25</v>
      </c>
      <c r="E20">
        <v>333</v>
      </c>
      <c r="F20">
        <v>181947</v>
      </c>
    </row>
    <row r="21" spans="1:6" x14ac:dyDescent="0.3">
      <c r="A21">
        <v>2022</v>
      </c>
      <c r="B21">
        <v>1</v>
      </c>
      <c r="C21" s="105" t="s">
        <v>6</v>
      </c>
      <c r="D21" s="105" t="s">
        <v>26</v>
      </c>
      <c r="E21">
        <v>76</v>
      </c>
      <c r="F21">
        <v>41131</v>
      </c>
    </row>
    <row r="22" spans="1:6" x14ac:dyDescent="0.3">
      <c r="A22">
        <v>2022</v>
      </c>
      <c r="B22">
        <v>1</v>
      </c>
      <c r="C22" s="105" t="s">
        <v>6</v>
      </c>
      <c r="D22" s="105" t="s">
        <v>27</v>
      </c>
      <c r="E22">
        <v>279</v>
      </c>
      <c r="F22">
        <v>145444.1</v>
      </c>
    </row>
    <row r="23" spans="1:6" x14ac:dyDescent="0.3">
      <c r="A23">
        <v>2022</v>
      </c>
      <c r="B23">
        <v>1</v>
      </c>
      <c r="C23" s="105" t="s">
        <v>6</v>
      </c>
      <c r="D23" s="105" t="s">
        <v>28</v>
      </c>
      <c r="E23">
        <v>89</v>
      </c>
      <c r="F23">
        <v>36343.75</v>
      </c>
    </row>
    <row r="24" spans="1:6" x14ac:dyDescent="0.3">
      <c r="A24">
        <v>2022</v>
      </c>
      <c r="B24">
        <v>1</v>
      </c>
      <c r="C24" s="105" t="s">
        <v>6</v>
      </c>
      <c r="D24" s="105" t="s">
        <v>29</v>
      </c>
      <c r="E24">
        <v>115</v>
      </c>
      <c r="F24">
        <v>74699</v>
      </c>
    </row>
    <row r="25" spans="1:6" x14ac:dyDescent="0.3">
      <c r="A25">
        <v>2022</v>
      </c>
      <c r="B25">
        <v>1</v>
      </c>
      <c r="C25" s="105" t="s">
        <v>6</v>
      </c>
      <c r="D25" s="105" t="s">
        <v>30</v>
      </c>
      <c r="E25">
        <v>118</v>
      </c>
      <c r="F25">
        <v>44292.93</v>
      </c>
    </row>
    <row r="26" spans="1:6" x14ac:dyDescent="0.3">
      <c r="A26">
        <v>2022</v>
      </c>
      <c r="B26">
        <v>1</v>
      </c>
      <c r="C26" s="105" t="s">
        <v>6</v>
      </c>
      <c r="D26" s="105" t="s">
        <v>31</v>
      </c>
      <c r="E26">
        <v>305</v>
      </c>
      <c r="F26">
        <v>243006.16</v>
      </c>
    </row>
    <row r="27" spans="1:6" x14ac:dyDescent="0.3">
      <c r="A27">
        <v>2022</v>
      </c>
      <c r="B27">
        <v>1</v>
      </c>
      <c r="C27" s="105" t="s">
        <v>6</v>
      </c>
      <c r="D27" s="105" t="s">
        <v>32</v>
      </c>
      <c r="E27">
        <v>21</v>
      </c>
      <c r="F27">
        <v>11808</v>
      </c>
    </row>
    <row r="28" spans="1:6" x14ac:dyDescent="0.3">
      <c r="A28">
        <v>2022</v>
      </c>
      <c r="B28">
        <v>1</v>
      </c>
      <c r="C28" s="105" t="s">
        <v>6</v>
      </c>
      <c r="D28" s="105" t="s">
        <v>33</v>
      </c>
      <c r="E28">
        <v>167</v>
      </c>
      <c r="F28">
        <v>118146.37</v>
      </c>
    </row>
    <row r="29" spans="1:6" x14ac:dyDescent="0.3">
      <c r="A29">
        <v>2022</v>
      </c>
      <c r="B29">
        <v>1</v>
      </c>
      <c r="C29" s="105" t="s">
        <v>6</v>
      </c>
      <c r="D29" s="105" t="s">
        <v>34</v>
      </c>
      <c r="E29">
        <v>155</v>
      </c>
      <c r="F29">
        <v>101912.28</v>
      </c>
    </row>
    <row r="30" spans="1:6" x14ac:dyDescent="0.3">
      <c r="A30">
        <v>2022</v>
      </c>
      <c r="B30">
        <v>1</v>
      </c>
      <c r="C30" s="105" t="s">
        <v>6</v>
      </c>
      <c r="D30" s="105" t="s">
        <v>35</v>
      </c>
      <c r="E30">
        <v>83</v>
      </c>
      <c r="F30">
        <v>54857.1</v>
      </c>
    </row>
    <row r="31" spans="1:6" x14ac:dyDescent="0.3">
      <c r="A31">
        <v>2022</v>
      </c>
      <c r="B31">
        <v>1</v>
      </c>
      <c r="C31" s="105" t="s">
        <v>6</v>
      </c>
      <c r="D31" s="105" t="s">
        <v>36</v>
      </c>
      <c r="E31">
        <v>205</v>
      </c>
      <c r="F31">
        <v>110458.22</v>
      </c>
    </row>
    <row r="32" spans="1:6" x14ac:dyDescent="0.3">
      <c r="A32">
        <v>2022</v>
      </c>
      <c r="B32">
        <v>1</v>
      </c>
      <c r="C32" s="105" t="s">
        <v>6</v>
      </c>
      <c r="D32" s="105" t="s">
        <v>37</v>
      </c>
      <c r="E32">
        <v>191</v>
      </c>
      <c r="F32">
        <v>141357.09</v>
      </c>
    </row>
    <row r="33" spans="1:6" x14ac:dyDescent="0.3">
      <c r="A33">
        <v>2022</v>
      </c>
      <c r="B33">
        <v>2</v>
      </c>
      <c r="C33" s="105" t="s">
        <v>38</v>
      </c>
      <c r="D33" s="105" t="s">
        <v>7</v>
      </c>
      <c r="E33">
        <v>48</v>
      </c>
      <c r="F33">
        <v>37281.54</v>
      </c>
    </row>
    <row r="34" spans="1:6" x14ac:dyDescent="0.3">
      <c r="A34">
        <v>2022</v>
      </c>
      <c r="B34">
        <v>2</v>
      </c>
      <c r="C34" s="105" t="s">
        <v>38</v>
      </c>
      <c r="D34" s="105" t="s">
        <v>8</v>
      </c>
      <c r="E34">
        <v>334</v>
      </c>
      <c r="F34">
        <v>155206.68</v>
      </c>
    </row>
    <row r="35" spans="1:6" x14ac:dyDescent="0.3">
      <c r="A35">
        <v>2022</v>
      </c>
      <c r="B35">
        <v>2</v>
      </c>
      <c r="C35" s="105" t="s">
        <v>38</v>
      </c>
      <c r="D35" s="105" t="s">
        <v>9</v>
      </c>
      <c r="E35">
        <v>24</v>
      </c>
      <c r="F35">
        <v>14265</v>
      </c>
    </row>
    <row r="36" spans="1:6" x14ac:dyDescent="0.3">
      <c r="A36">
        <v>2022</v>
      </c>
      <c r="B36">
        <v>2</v>
      </c>
      <c r="C36" s="105" t="s">
        <v>38</v>
      </c>
      <c r="D36" s="105" t="s">
        <v>10</v>
      </c>
      <c r="E36">
        <v>115</v>
      </c>
      <c r="F36">
        <v>85346.9</v>
      </c>
    </row>
    <row r="37" spans="1:6" x14ac:dyDescent="0.3">
      <c r="A37">
        <v>2022</v>
      </c>
      <c r="B37">
        <v>2</v>
      </c>
      <c r="C37" s="105" t="s">
        <v>38</v>
      </c>
      <c r="D37" s="105" t="s">
        <v>11</v>
      </c>
      <c r="E37">
        <v>134</v>
      </c>
      <c r="F37">
        <v>77985</v>
      </c>
    </row>
    <row r="38" spans="1:6" x14ac:dyDescent="0.3">
      <c r="A38">
        <v>2022</v>
      </c>
      <c r="B38">
        <v>2</v>
      </c>
      <c r="C38" s="105" t="s">
        <v>38</v>
      </c>
      <c r="D38" s="105" t="s">
        <v>12</v>
      </c>
      <c r="E38">
        <v>116</v>
      </c>
      <c r="F38">
        <v>63200.41</v>
      </c>
    </row>
    <row r="39" spans="1:6" x14ac:dyDescent="0.3">
      <c r="A39">
        <v>2022</v>
      </c>
      <c r="B39">
        <v>2</v>
      </c>
      <c r="C39" s="105" t="s">
        <v>38</v>
      </c>
      <c r="D39" s="105" t="s">
        <v>13</v>
      </c>
      <c r="E39">
        <v>187</v>
      </c>
      <c r="F39">
        <v>109085.4</v>
      </c>
    </row>
    <row r="40" spans="1:6" x14ac:dyDescent="0.3">
      <c r="A40">
        <v>2022</v>
      </c>
      <c r="B40">
        <v>2</v>
      </c>
      <c r="C40" s="105" t="s">
        <v>38</v>
      </c>
      <c r="D40" s="105" t="s">
        <v>14</v>
      </c>
      <c r="E40">
        <v>781</v>
      </c>
      <c r="F40">
        <v>409574.05</v>
      </c>
    </row>
    <row r="41" spans="1:6" x14ac:dyDescent="0.3">
      <c r="A41">
        <v>2022</v>
      </c>
      <c r="B41">
        <v>2</v>
      </c>
      <c r="C41" s="105" t="s">
        <v>38</v>
      </c>
      <c r="D41" s="105" t="s">
        <v>15</v>
      </c>
      <c r="E41">
        <v>38</v>
      </c>
      <c r="F41">
        <v>17591.84</v>
      </c>
    </row>
    <row r="42" spans="1:6" x14ac:dyDescent="0.3">
      <c r="A42">
        <v>2022</v>
      </c>
      <c r="B42">
        <v>2</v>
      </c>
      <c r="C42" s="105" t="s">
        <v>38</v>
      </c>
      <c r="D42" s="105" t="s">
        <v>16</v>
      </c>
      <c r="E42">
        <v>33</v>
      </c>
      <c r="F42">
        <v>18278.72</v>
      </c>
    </row>
    <row r="43" spans="1:6" x14ac:dyDescent="0.3">
      <c r="A43">
        <v>2022</v>
      </c>
      <c r="B43">
        <v>2</v>
      </c>
      <c r="C43" s="105" t="s">
        <v>38</v>
      </c>
      <c r="D43" s="105" t="s">
        <v>17</v>
      </c>
      <c r="E43">
        <v>81</v>
      </c>
      <c r="F43">
        <v>56730.59</v>
      </c>
    </row>
    <row r="44" spans="1:6" x14ac:dyDescent="0.3">
      <c r="A44">
        <v>2022</v>
      </c>
      <c r="B44">
        <v>2</v>
      </c>
      <c r="C44" s="105" t="s">
        <v>38</v>
      </c>
      <c r="D44" s="105" t="s">
        <v>18</v>
      </c>
      <c r="E44">
        <v>204</v>
      </c>
      <c r="F44">
        <v>141089.91</v>
      </c>
    </row>
    <row r="45" spans="1:6" x14ac:dyDescent="0.3">
      <c r="A45">
        <v>2022</v>
      </c>
      <c r="B45">
        <v>2</v>
      </c>
      <c r="C45" s="105" t="s">
        <v>38</v>
      </c>
      <c r="D45" s="105" t="s">
        <v>19</v>
      </c>
      <c r="E45">
        <v>199</v>
      </c>
      <c r="F45">
        <v>87643.99</v>
      </c>
    </row>
    <row r="46" spans="1:6" x14ac:dyDescent="0.3">
      <c r="A46">
        <v>2022</v>
      </c>
      <c r="B46">
        <v>2</v>
      </c>
      <c r="C46" s="105" t="s">
        <v>38</v>
      </c>
      <c r="D46" s="105" t="s">
        <v>20</v>
      </c>
      <c r="E46">
        <v>232</v>
      </c>
      <c r="F46">
        <v>138149.78</v>
      </c>
    </row>
    <row r="47" spans="1:6" x14ac:dyDescent="0.3">
      <c r="A47">
        <v>2022</v>
      </c>
      <c r="B47">
        <v>2</v>
      </c>
      <c r="C47" s="105" t="s">
        <v>38</v>
      </c>
      <c r="D47" s="105" t="s">
        <v>21</v>
      </c>
      <c r="E47">
        <v>266</v>
      </c>
      <c r="F47">
        <v>182657.17</v>
      </c>
    </row>
    <row r="48" spans="1:6" x14ac:dyDescent="0.3">
      <c r="A48">
        <v>2022</v>
      </c>
      <c r="B48">
        <v>2</v>
      </c>
      <c r="C48" s="105" t="s">
        <v>38</v>
      </c>
      <c r="D48" s="105" t="s">
        <v>22</v>
      </c>
      <c r="E48">
        <v>134</v>
      </c>
      <c r="F48">
        <v>68600.25</v>
      </c>
    </row>
    <row r="49" spans="1:6" x14ac:dyDescent="0.3">
      <c r="A49">
        <v>2022</v>
      </c>
      <c r="B49">
        <v>2</v>
      </c>
      <c r="C49" s="105" t="s">
        <v>38</v>
      </c>
      <c r="D49" s="105" t="s">
        <v>23</v>
      </c>
      <c r="E49">
        <v>101</v>
      </c>
      <c r="F49">
        <v>78294.100000000006</v>
      </c>
    </row>
    <row r="50" spans="1:6" x14ac:dyDescent="0.3">
      <c r="A50">
        <v>2022</v>
      </c>
      <c r="B50">
        <v>2</v>
      </c>
      <c r="C50" s="105" t="s">
        <v>38</v>
      </c>
      <c r="D50" s="105" t="s">
        <v>24</v>
      </c>
      <c r="E50">
        <v>639</v>
      </c>
      <c r="F50">
        <v>351713.24</v>
      </c>
    </row>
    <row r="51" spans="1:6" x14ac:dyDescent="0.3">
      <c r="A51">
        <v>2022</v>
      </c>
      <c r="B51">
        <v>2</v>
      </c>
      <c r="C51" s="105" t="s">
        <v>38</v>
      </c>
      <c r="D51" s="105" t="s">
        <v>25</v>
      </c>
      <c r="E51">
        <v>383</v>
      </c>
      <c r="F51">
        <v>233978.61</v>
      </c>
    </row>
    <row r="52" spans="1:6" x14ac:dyDescent="0.3">
      <c r="A52">
        <v>2022</v>
      </c>
      <c r="B52">
        <v>2</v>
      </c>
      <c r="C52" s="105" t="s">
        <v>38</v>
      </c>
      <c r="D52" s="105" t="s">
        <v>26</v>
      </c>
      <c r="E52">
        <v>38</v>
      </c>
      <c r="F52">
        <v>25473</v>
      </c>
    </row>
    <row r="53" spans="1:6" x14ac:dyDescent="0.3">
      <c r="A53">
        <v>2022</v>
      </c>
      <c r="B53">
        <v>2</v>
      </c>
      <c r="C53" s="105" t="s">
        <v>38</v>
      </c>
      <c r="D53" s="105" t="s">
        <v>27</v>
      </c>
      <c r="E53">
        <v>230</v>
      </c>
      <c r="F53">
        <v>133052.87</v>
      </c>
    </row>
    <row r="54" spans="1:6" x14ac:dyDescent="0.3">
      <c r="A54">
        <v>2022</v>
      </c>
      <c r="B54">
        <v>2</v>
      </c>
      <c r="C54" s="105" t="s">
        <v>38</v>
      </c>
      <c r="D54" s="105" t="s">
        <v>28</v>
      </c>
      <c r="E54">
        <v>127</v>
      </c>
      <c r="F54">
        <v>59188.91</v>
      </c>
    </row>
    <row r="55" spans="1:6" x14ac:dyDescent="0.3">
      <c r="A55">
        <v>2022</v>
      </c>
      <c r="B55">
        <v>2</v>
      </c>
      <c r="C55" s="105" t="s">
        <v>38</v>
      </c>
      <c r="D55" s="105" t="s">
        <v>29</v>
      </c>
      <c r="E55">
        <v>134</v>
      </c>
      <c r="F55">
        <v>84825.89</v>
      </c>
    </row>
    <row r="56" spans="1:6" x14ac:dyDescent="0.3">
      <c r="A56">
        <v>2022</v>
      </c>
      <c r="B56">
        <v>2</v>
      </c>
      <c r="C56" s="105" t="s">
        <v>38</v>
      </c>
      <c r="D56" s="105" t="s">
        <v>30</v>
      </c>
      <c r="E56">
        <v>160</v>
      </c>
      <c r="F56">
        <v>59277.69</v>
      </c>
    </row>
    <row r="57" spans="1:6" x14ac:dyDescent="0.3">
      <c r="A57">
        <v>2022</v>
      </c>
      <c r="B57">
        <v>2</v>
      </c>
      <c r="C57" s="105" t="s">
        <v>38</v>
      </c>
      <c r="D57" s="105" t="s">
        <v>31</v>
      </c>
      <c r="E57">
        <v>343</v>
      </c>
      <c r="F57">
        <v>250003.4</v>
      </c>
    </row>
    <row r="58" spans="1:6" x14ac:dyDescent="0.3">
      <c r="A58">
        <v>2022</v>
      </c>
      <c r="B58">
        <v>2</v>
      </c>
      <c r="C58" s="105" t="s">
        <v>38</v>
      </c>
      <c r="D58" s="105" t="s">
        <v>32</v>
      </c>
      <c r="E58">
        <v>23</v>
      </c>
      <c r="F58">
        <v>13083</v>
      </c>
    </row>
    <row r="59" spans="1:6" x14ac:dyDescent="0.3">
      <c r="A59">
        <v>2022</v>
      </c>
      <c r="B59">
        <v>2</v>
      </c>
      <c r="C59" s="105" t="s">
        <v>38</v>
      </c>
      <c r="D59" s="105" t="s">
        <v>33</v>
      </c>
      <c r="E59">
        <v>164</v>
      </c>
      <c r="F59">
        <v>110122.1</v>
      </c>
    </row>
    <row r="60" spans="1:6" x14ac:dyDescent="0.3">
      <c r="A60">
        <v>2022</v>
      </c>
      <c r="B60">
        <v>2</v>
      </c>
      <c r="C60" s="105" t="s">
        <v>38</v>
      </c>
      <c r="D60" s="105" t="s">
        <v>34</v>
      </c>
      <c r="E60">
        <v>258</v>
      </c>
      <c r="F60">
        <v>163103.32999999999</v>
      </c>
    </row>
    <row r="61" spans="1:6" x14ac:dyDescent="0.3">
      <c r="A61">
        <v>2022</v>
      </c>
      <c r="B61">
        <v>2</v>
      </c>
      <c r="C61" s="105" t="s">
        <v>38</v>
      </c>
      <c r="D61" s="105" t="s">
        <v>35</v>
      </c>
      <c r="E61">
        <v>144</v>
      </c>
      <c r="F61">
        <v>93714.97</v>
      </c>
    </row>
    <row r="62" spans="1:6" x14ac:dyDescent="0.3">
      <c r="A62">
        <v>2022</v>
      </c>
      <c r="B62">
        <v>2</v>
      </c>
      <c r="C62" s="105" t="s">
        <v>38</v>
      </c>
      <c r="D62" s="105" t="s">
        <v>36</v>
      </c>
      <c r="E62">
        <v>291</v>
      </c>
      <c r="F62">
        <v>176931.15</v>
      </c>
    </row>
    <row r="63" spans="1:6" x14ac:dyDescent="0.3">
      <c r="A63">
        <v>2022</v>
      </c>
      <c r="B63">
        <v>2</v>
      </c>
      <c r="C63" s="105" t="s">
        <v>38</v>
      </c>
      <c r="D63" s="105" t="s">
        <v>37</v>
      </c>
      <c r="E63">
        <v>90</v>
      </c>
      <c r="F63">
        <v>67398.47</v>
      </c>
    </row>
    <row r="64" spans="1:6" x14ac:dyDescent="0.3">
      <c r="A64">
        <v>2022</v>
      </c>
      <c r="B64">
        <v>3</v>
      </c>
      <c r="C64" s="105" t="s">
        <v>39</v>
      </c>
      <c r="D64" s="105" t="s">
        <v>7</v>
      </c>
      <c r="E64">
        <v>112</v>
      </c>
      <c r="F64">
        <v>75930.16</v>
      </c>
    </row>
    <row r="65" spans="1:6" x14ac:dyDescent="0.3">
      <c r="A65">
        <v>2022</v>
      </c>
      <c r="B65">
        <v>3</v>
      </c>
      <c r="C65" s="105" t="s">
        <v>39</v>
      </c>
      <c r="D65" s="105" t="s">
        <v>8</v>
      </c>
      <c r="E65">
        <v>268</v>
      </c>
      <c r="F65">
        <v>124190.32</v>
      </c>
    </row>
    <row r="66" spans="1:6" x14ac:dyDescent="0.3">
      <c r="A66">
        <v>2022</v>
      </c>
      <c r="B66">
        <v>3</v>
      </c>
      <c r="C66" s="105" t="s">
        <v>39</v>
      </c>
      <c r="D66" s="105" t="s">
        <v>9</v>
      </c>
      <c r="E66">
        <v>22</v>
      </c>
      <c r="F66">
        <v>15554.2</v>
      </c>
    </row>
    <row r="67" spans="1:6" x14ac:dyDescent="0.3">
      <c r="A67">
        <v>2022</v>
      </c>
      <c r="B67">
        <v>3</v>
      </c>
      <c r="C67" s="105" t="s">
        <v>39</v>
      </c>
      <c r="D67" s="105" t="s">
        <v>10</v>
      </c>
      <c r="E67">
        <v>146</v>
      </c>
      <c r="F67">
        <v>106308.31</v>
      </c>
    </row>
    <row r="68" spans="1:6" x14ac:dyDescent="0.3">
      <c r="A68">
        <v>2022</v>
      </c>
      <c r="B68">
        <v>3</v>
      </c>
      <c r="C68" s="105" t="s">
        <v>39</v>
      </c>
      <c r="D68" s="105" t="s">
        <v>11</v>
      </c>
      <c r="E68">
        <v>157</v>
      </c>
      <c r="F68">
        <v>95224.89</v>
      </c>
    </row>
    <row r="69" spans="1:6" x14ac:dyDescent="0.3">
      <c r="A69">
        <v>2022</v>
      </c>
      <c r="B69">
        <v>3</v>
      </c>
      <c r="C69" s="105" t="s">
        <v>39</v>
      </c>
      <c r="D69" s="105" t="s">
        <v>12</v>
      </c>
      <c r="E69">
        <v>79</v>
      </c>
      <c r="F69">
        <v>42541.43</v>
      </c>
    </row>
    <row r="70" spans="1:6" x14ac:dyDescent="0.3">
      <c r="A70">
        <v>2022</v>
      </c>
      <c r="B70">
        <v>3</v>
      </c>
      <c r="C70" s="105" t="s">
        <v>39</v>
      </c>
      <c r="D70" s="105" t="s">
        <v>13</v>
      </c>
      <c r="E70">
        <v>109</v>
      </c>
      <c r="F70">
        <v>67684.350000000006</v>
      </c>
    </row>
    <row r="71" spans="1:6" x14ac:dyDescent="0.3">
      <c r="A71">
        <v>2022</v>
      </c>
      <c r="B71">
        <v>3</v>
      </c>
      <c r="C71" s="105" t="s">
        <v>39</v>
      </c>
      <c r="D71" s="105" t="s">
        <v>14</v>
      </c>
      <c r="E71">
        <v>244</v>
      </c>
      <c r="F71">
        <v>136757.70000000001</v>
      </c>
    </row>
    <row r="72" spans="1:6" x14ac:dyDescent="0.3">
      <c r="A72">
        <v>2022</v>
      </c>
      <c r="B72">
        <v>3</v>
      </c>
      <c r="C72" s="105" t="s">
        <v>39</v>
      </c>
      <c r="D72" s="105" t="s">
        <v>15</v>
      </c>
      <c r="E72">
        <v>76</v>
      </c>
      <c r="F72">
        <v>34550</v>
      </c>
    </row>
    <row r="73" spans="1:6" x14ac:dyDescent="0.3">
      <c r="A73">
        <v>2022</v>
      </c>
      <c r="B73">
        <v>3</v>
      </c>
      <c r="C73" s="105" t="s">
        <v>39</v>
      </c>
      <c r="D73" s="105" t="s">
        <v>16</v>
      </c>
      <c r="E73">
        <v>37</v>
      </c>
      <c r="F73">
        <v>18538.86</v>
      </c>
    </row>
    <row r="74" spans="1:6" x14ac:dyDescent="0.3">
      <c r="A74">
        <v>2022</v>
      </c>
      <c r="B74">
        <v>3</v>
      </c>
      <c r="C74" s="105" t="s">
        <v>39</v>
      </c>
      <c r="D74" s="105" t="s">
        <v>17</v>
      </c>
      <c r="E74">
        <v>153</v>
      </c>
      <c r="F74">
        <v>100493.31</v>
      </c>
    </row>
    <row r="75" spans="1:6" x14ac:dyDescent="0.3">
      <c r="A75">
        <v>2022</v>
      </c>
      <c r="B75">
        <v>3</v>
      </c>
      <c r="C75" s="105" t="s">
        <v>39</v>
      </c>
      <c r="D75" s="105" t="s">
        <v>18</v>
      </c>
      <c r="E75">
        <v>223</v>
      </c>
      <c r="F75">
        <v>164778.78</v>
      </c>
    </row>
    <row r="76" spans="1:6" x14ac:dyDescent="0.3">
      <c r="A76">
        <v>2022</v>
      </c>
      <c r="B76">
        <v>3</v>
      </c>
      <c r="C76" s="105" t="s">
        <v>39</v>
      </c>
      <c r="D76" s="105" t="s">
        <v>19</v>
      </c>
      <c r="E76">
        <v>116</v>
      </c>
      <c r="F76">
        <v>48269.73</v>
      </c>
    </row>
    <row r="77" spans="1:6" x14ac:dyDescent="0.3">
      <c r="A77">
        <v>2022</v>
      </c>
      <c r="B77">
        <v>3</v>
      </c>
      <c r="C77" s="105" t="s">
        <v>39</v>
      </c>
      <c r="D77" s="105" t="s">
        <v>20</v>
      </c>
      <c r="E77">
        <v>165</v>
      </c>
      <c r="F77">
        <v>97284.82</v>
      </c>
    </row>
    <row r="78" spans="1:6" x14ac:dyDescent="0.3">
      <c r="A78">
        <v>2022</v>
      </c>
      <c r="B78">
        <v>3</v>
      </c>
      <c r="C78" s="105" t="s">
        <v>39</v>
      </c>
      <c r="D78" s="105" t="s">
        <v>21</v>
      </c>
      <c r="E78">
        <v>158</v>
      </c>
      <c r="F78">
        <v>111191.72</v>
      </c>
    </row>
    <row r="79" spans="1:6" x14ac:dyDescent="0.3">
      <c r="A79">
        <v>2022</v>
      </c>
      <c r="B79">
        <v>3</v>
      </c>
      <c r="C79" s="105" t="s">
        <v>39</v>
      </c>
      <c r="D79" s="105" t="s">
        <v>22</v>
      </c>
      <c r="E79">
        <v>94</v>
      </c>
      <c r="F79">
        <v>46347.34</v>
      </c>
    </row>
    <row r="80" spans="1:6" x14ac:dyDescent="0.3">
      <c r="A80">
        <v>2022</v>
      </c>
      <c r="B80">
        <v>3</v>
      </c>
      <c r="C80" s="105" t="s">
        <v>39</v>
      </c>
      <c r="D80" s="105" t="s">
        <v>23</v>
      </c>
      <c r="E80">
        <v>83</v>
      </c>
      <c r="F80">
        <v>62906.2</v>
      </c>
    </row>
    <row r="81" spans="1:6" x14ac:dyDescent="0.3">
      <c r="A81">
        <v>2022</v>
      </c>
      <c r="B81">
        <v>3</v>
      </c>
      <c r="C81" s="105" t="s">
        <v>39</v>
      </c>
      <c r="D81" s="105" t="s">
        <v>24</v>
      </c>
      <c r="E81">
        <v>403</v>
      </c>
      <c r="F81">
        <v>213101.24</v>
      </c>
    </row>
    <row r="82" spans="1:6" x14ac:dyDescent="0.3">
      <c r="A82">
        <v>2022</v>
      </c>
      <c r="B82">
        <v>3</v>
      </c>
      <c r="C82" s="105" t="s">
        <v>39</v>
      </c>
      <c r="D82" s="105" t="s">
        <v>25</v>
      </c>
      <c r="E82">
        <v>292</v>
      </c>
      <c r="F82">
        <v>166980.35999999999</v>
      </c>
    </row>
    <row r="83" spans="1:6" x14ac:dyDescent="0.3">
      <c r="A83">
        <v>2022</v>
      </c>
      <c r="B83">
        <v>3</v>
      </c>
      <c r="C83" s="105" t="s">
        <v>39</v>
      </c>
      <c r="D83" s="105" t="s">
        <v>26</v>
      </c>
      <c r="E83">
        <v>70</v>
      </c>
      <c r="F83">
        <v>41982</v>
      </c>
    </row>
    <row r="84" spans="1:6" x14ac:dyDescent="0.3">
      <c r="A84">
        <v>2022</v>
      </c>
      <c r="B84">
        <v>3</v>
      </c>
      <c r="C84" s="105" t="s">
        <v>39</v>
      </c>
      <c r="D84" s="105" t="s">
        <v>27</v>
      </c>
      <c r="E84">
        <v>220</v>
      </c>
      <c r="F84">
        <v>126476.75</v>
      </c>
    </row>
    <row r="85" spans="1:6" x14ac:dyDescent="0.3">
      <c r="A85">
        <v>2022</v>
      </c>
      <c r="B85">
        <v>3</v>
      </c>
      <c r="C85" s="105" t="s">
        <v>39</v>
      </c>
      <c r="D85" s="105" t="s">
        <v>28</v>
      </c>
      <c r="E85">
        <v>78</v>
      </c>
      <c r="F85">
        <v>38403.4</v>
      </c>
    </row>
    <row r="86" spans="1:6" x14ac:dyDescent="0.3">
      <c r="A86">
        <v>2022</v>
      </c>
      <c r="B86">
        <v>3</v>
      </c>
      <c r="C86" s="105" t="s">
        <v>39</v>
      </c>
      <c r="D86" s="105" t="s">
        <v>29</v>
      </c>
      <c r="E86">
        <v>169</v>
      </c>
      <c r="F86">
        <v>113589.73</v>
      </c>
    </row>
    <row r="87" spans="1:6" x14ac:dyDescent="0.3">
      <c r="A87">
        <v>2022</v>
      </c>
      <c r="B87">
        <v>3</v>
      </c>
      <c r="C87" s="105" t="s">
        <v>39</v>
      </c>
      <c r="D87" s="105" t="s">
        <v>30</v>
      </c>
      <c r="E87">
        <v>118</v>
      </c>
      <c r="F87">
        <v>53652.959999999999</v>
      </c>
    </row>
    <row r="88" spans="1:6" x14ac:dyDescent="0.3">
      <c r="A88">
        <v>2022</v>
      </c>
      <c r="B88">
        <v>3</v>
      </c>
      <c r="C88" s="105" t="s">
        <v>39</v>
      </c>
      <c r="D88" s="105" t="s">
        <v>31</v>
      </c>
      <c r="E88">
        <v>472</v>
      </c>
      <c r="F88">
        <v>332308.05</v>
      </c>
    </row>
    <row r="89" spans="1:6" x14ac:dyDescent="0.3">
      <c r="A89">
        <v>2022</v>
      </c>
      <c r="B89">
        <v>3</v>
      </c>
      <c r="C89" s="105" t="s">
        <v>39</v>
      </c>
      <c r="D89" s="105" t="s">
        <v>32</v>
      </c>
      <c r="E89">
        <v>18</v>
      </c>
      <c r="F89">
        <v>9391</v>
      </c>
    </row>
    <row r="90" spans="1:6" x14ac:dyDescent="0.3">
      <c r="A90">
        <v>2022</v>
      </c>
      <c r="B90">
        <v>3</v>
      </c>
      <c r="C90" s="105" t="s">
        <v>39</v>
      </c>
      <c r="D90" s="105" t="s">
        <v>33</v>
      </c>
      <c r="E90">
        <v>567</v>
      </c>
      <c r="F90">
        <v>347405.7</v>
      </c>
    </row>
    <row r="91" spans="1:6" x14ac:dyDescent="0.3">
      <c r="A91">
        <v>2022</v>
      </c>
      <c r="B91">
        <v>3</v>
      </c>
      <c r="C91" s="105" t="s">
        <v>39</v>
      </c>
      <c r="D91" s="105" t="s">
        <v>34</v>
      </c>
      <c r="E91">
        <v>274</v>
      </c>
      <c r="F91">
        <v>164192.24</v>
      </c>
    </row>
    <row r="92" spans="1:6" x14ac:dyDescent="0.3">
      <c r="A92">
        <v>2022</v>
      </c>
      <c r="B92">
        <v>3</v>
      </c>
      <c r="C92" s="105" t="s">
        <v>39</v>
      </c>
      <c r="D92" s="105" t="s">
        <v>35</v>
      </c>
      <c r="E92">
        <v>87</v>
      </c>
      <c r="F92">
        <v>52736</v>
      </c>
    </row>
    <row r="93" spans="1:6" x14ac:dyDescent="0.3">
      <c r="A93">
        <v>2022</v>
      </c>
      <c r="B93">
        <v>3</v>
      </c>
      <c r="C93" s="105" t="s">
        <v>39</v>
      </c>
      <c r="D93" s="105" t="s">
        <v>36</v>
      </c>
      <c r="E93">
        <v>211</v>
      </c>
      <c r="F93">
        <v>120500.25</v>
      </c>
    </row>
    <row r="94" spans="1:6" x14ac:dyDescent="0.3">
      <c r="A94">
        <v>2022</v>
      </c>
      <c r="B94">
        <v>3</v>
      </c>
      <c r="C94" s="105" t="s">
        <v>39</v>
      </c>
      <c r="D94" s="105" t="s">
        <v>37</v>
      </c>
      <c r="E94">
        <v>107</v>
      </c>
      <c r="F94">
        <v>74892.38</v>
      </c>
    </row>
    <row r="95" spans="1:6" x14ac:dyDescent="0.3">
      <c r="A95">
        <v>2022</v>
      </c>
      <c r="B95">
        <v>4</v>
      </c>
      <c r="C95" s="105" t="s">
        <v>40</v>
      </c>
      <c r="D95" s="105" t="s">
        <v>7</v>
      </c>
      <c r="E95">
        <v>132</v>
      </c>
      <c r="F95">
        <v>90594.77</v>
      </c>
    </row>
    <row r="96" spans="1:6" x14ac:dyDescent="0.3">
      <c r="A96">
        <v>2022</v>
      </c>
      <c r="B96">
        <v>4</v>
      </c>
      <c r="C96" s="105" t="s">
        <v>40</v>
      </c>
      <c r="D96" s="105" t="s">
        <v>8</v>
      </c>
      <c r="E96">
        <v>266</v>
      </c>
      <c r="F96">
        <v>117821.66</v>
      </c>
    </row>
    <row r="97" spans="1:6" x14ac:dyDescent="0.3">
      <c r="A97">
        <v>2022</v>
      </c>
      <c r="B97">
        <v>4</v>
      </c>
      <c r="C97" s="105" t="s">
        <v>40</v>
      </c>
      <c r="D97" s="105" t="s">
        <v>9</v>
      </c>
      <c r="E97">
        <v>41</v>
      </c>
      <c r="F97">
        <v>18143</v>
      </c>
    </row>
    <row r="98" spans="1:6" x14ac:dyDescent="0.3">
      <c r="A98">
        <v>2022</v>
      </c>
      <c r="B98">
        <v>4</v>
      </c>
      <c r="C98" s="105" t="s">
        <v>40</v>
      </c>
      <c r="D98" s="105" t="s">
        <v>10</v>
      </c>
      <c r="E98">
        <v>162</v>
      </c>
      <c r="F98">
        <v>110753.47</v>
      </c>
    </row>
    <row r="99" spans="1:6" x14ac:dyDescent="0.3">
      <c r="A99">
        <v>2022</v>
      </c>
      <c r="B99">
        <v>4</v>
      </c>
      <c r="C99" s="105" t="s">
        <v>40</v>
      </c>
      <c r="D99" s="105" t="s">
        <v>11</v>
      </c>
      <c r="E99">
        <v>232</v>
      </c>
      <c r="F99">
        <v>131064.15</v>
      </c>
    </row>
    <row r="100" spans="1:6" x14ac:dyDescent="0.3">
      <c r="A100">
        <v>2022</v>
      </c>
      <c r="B100">
        <v>4</v>
      </c>
      <c r="C100" s="105" t="s">
        <v>40</v>
      </c>
      <c r="D100" s="105" t="s">
        <v>12</v>
      </c>
      <c r="E100">
        <v>90</v>
      </c>
      <c r="F100">
        <v>50714.35</v>
      </c>
    </row>
    <row r="101" spans="1:6" x14ac:dyDescent="0.3">
      <c r="A101">
        <v>2022</v>
      </c>
      <c r="B101">
        <v>4</v>
      </c>
      <c r="C101" s="105" t="s">
        <v>40</v>
      </c>
      <c r="D101" s="105" t="s">
        <v>13</v>
      </c>
      <c r="E101">
        <v>130</v>
      </c>
      <c r="F101">
        <v>72551.34</v>
      </c>
    </row>
    <row r="102" spans="1:6" x14ac:dyDescent="0.3">
      <c r="A102">
        <v>2022</v>
      </c>
      <c r="B102">
        <v>4</v>
      </c>
      <c r="C102" s="105" t="s">
        <v>40</v>
      </c>
      <c r="D102" s="105" t="s">
        <v>14</v>
      </c>
      <c r="E102">
        <v>237</v>
      </c>
      <c r="F102">
        <v>129585.14</v>
      </c>
    </row>
    <row r="103" spans="1:6" x14ac:dyDescent="0.3">
      <c r="A103">
        <v>2022</v>
      </c>
      <c r="B103">
        <v>4</v>
      </c>
      <c r="C103" s="105" t="s">
        <v>40</v>
      </c>
      <c r="D103" s="105" t="s">
        <v>15</v>
      </c>
      <c r="E103">
        <v>80</v>
      </c>
      <c r="F103">
        <v>34828.68</v>
      </c>
    </row>
    <row r="104" spans="1:6" x14ac:dyDescent="0.3">
      <c r="A104">
        <v>2022</v>
      </c>
      <c r="B104">
        <v>4</v>
      </c>
      <c r="C104" s="105" t="s">
        <v>40</v>
      </c>
      <c r="D104" s="105" t="s">
        <v>16</v>
      </c>
      <c r="E104">
        <v>52</v>
      </c>
      <c r="F104">
        <v>29882.23</v>
      </c>
    </row>
    <row r="105" spans="1:6" x14ac:dyDescent="0.3">
      <c r="A105">
        <v>2022</v>
      </c>
      <c r="B105">
        <v>4</v>
      </c>
      <c r="C105" s="105" t="s">
        <v>40</v>
      </c>
      <c r="D105" s="105" t="s">
        <v>17</v>
      </c>
      <c r="E105">
        <v>203</v>
      </c>
      <c r="F105">
        <v>140828.12</v>
      </c>
    </row>
    <row r="106" spans="1:6" x14ac:dyDescent="0.3">
      <c r="A106">
        <v>2022</v>
      </c>
      <c r="B106">
        <v>4</v>
      </c>
      <c r="C106" s="105" t="s">
        <v>40</v>
      </c>
      <c r="D106" s="105" t="s">
        <v>18</v>
      </c>
      <c r="E106">
        <v>264</v>
      </c>
      <c r="F106">
        <v>185729.58</v>
      </c>
    </row>
    <row r="107" spans="1:6" x14ac:dyDescent="0.3">
      <c r="A107">
        <v>2022</v>
      </c>
      <c r="B107">
        <v>4</v>
      </c>
      <c r="C107" s="105" t="s">
        <v>40</v>
      </c>
      <c r="D107" s="105" t="s">
        <v>19</v>
      </c>
      <c r="E107">
        <v>124</v>
      </c>
      <c r="F107">
        <v>50177.2</v>
      </c>
    </row>
    <row r="108" spans="1:6" x14ac:dyDescent="0.3">
      <c r="A108">
        <v>2022</v>
      </c>
      <c r="B108">
        <v>4</v>
      </c>
      <c r="C108" s="105" t="s">
        <v>40</v>
      </c>
      <c r="D108" s="105" t="s">
        <v>20</v>
      </c>
      <c r="E108">
        <v>244</v>
      </c>
      <c r="F108">
        <v>122486.09</v>
      </c>
    </row>
    <row r="109" spans="1:6" x14ac:dyDescent="0.3">
      <c r="A109">
        <v>2022</v>
      </c>
      <c r="B109">
        <v>4</v>
      </c>
      <c r="C109" s="105" t="s">
        <v>40</v>
      </c>
      <c r="D109" s="105" t="s">
        <v>21</v>
      </c>
      <c r="E109">
        <v>309</v>
      </c>
      <c r="F109">
        <v>191505.49</v>
      </c>
    </row>
    <row r="110" spans="1:6" x14ac:dyDescent="0.3">
      <c r="A110">
        <v>2022</v>
      </c>
      <c r="B110">
        <v>4</v>
      </c>
      <c r="C110" s="105" t="s">
        <v>40</v>
      </c>
      <c r="D110" s="105" t="s">
        <v>22</v>
      </c>
      <c r="E110">
        <v>135</v>
      </c>
      <c r="F110">
        <v>72045.67</v>
      </c>
    </row>
    <row r="111" spans="1:6" x14ac:dyDescent="0.3">
      <c r="A111">
        <v>2022</v>
      </c>
      <c r="B111">
        <v>4</v>
      </c>
      <c r="C111" s="105" t="s">
        <v>40</v>
      </c>
      <c r="D111" s="105" t="s">
        <v>23</v>
      </c>
      <c r="E111">
        <v>95</v>
      </c>
      <c r="F111">
        <v>69015.12</v>
      </c>
    </row>
    <row r="112" spans="1:6" x14ac:dyDescent="0.3">
      <c r="A112">
        <v>2022</v>
      </c>
      <c r="B112">
        <v>4</v>
      </c>
      <c r="C112" s="105" t="s">
        <v>40</v>
      </c>
      <c r="D112" s="105" t="s">
        <v>24</v>
      </c>
      <c r="E112">
        <v>274</v>
      </c>
      <c r="F112">
        <v>148100.09</v>
      </c>
    </row>
    <row r="113" spans="1:6" x14ac:dyDescent="0.3">
      <c r="A113">
        <v>2022</v>
      </c>
      <c r="B113">
        <v>4</v>
      </c>
      <c r="C113" s="105" t="s">
        <v>40</v>
      </c>
      <c r="D113" s="105" t="s">
        <v>25</v>
      </c>
      <c r="E113">
        <v>306</v>
      </c>
      <c r="F113">
        <v>184660.33</v>
      </c>
    </row>
    <row r="114" spans="1:6" x14ac:dyDescent="0.3">
      <c r="A114">
        <v>2022</v>
      </c>
      <c r="B114">
        <v>4</v>
      </c>
      <c r="C114" s="105" t="s">
        <v>40</v>
      </c>
      <c r="D114" s="105" t="s">
        <v>26</v>
      </c>
      <c r="E114">
        <v>101</v>
      </c>
      <c r="F114">
        <v>55839.41</v>
      </c>
    </row>
    <row r="115" spans="1:6" x14ac:dyDescent="0.3">
      <c r="A115">
        <v>2022</v>
      </c>
      <c r="B115">
        <v>4</v>
      </c>
      <c r="C115" s="105" t="s">
        <v>40</v>
      </c>
      <c r="D115" s="105" t="s">
        <v>27</v>
      </c>
      <c r="E115">
        <v>222</v>
      </c>
      <c r="F115">
        <v>123291.23</v>
      </c>
    </row>
    <row r="116" spans="1:6" x14ac:dyDescent="0.3">
      <c r="A116">
        <v>2022</v>
      </c>
      <c r="B116">
        <v>4</v>
      </c>
      <c r="C116" s="105" t="s">
        <v>40</v>
      </c>
      <c r="D116" s="105" t="s">
        <v>28</v>
      </c>
      <c r="E116">
        <v>95</v>
      </c>
      <c r="F116">
        <v>44506</v>
      </c>
    </row>
    <row r="117" spans="1:6" x14ac:dyDescent="0.3">
      <c r="A117">
        <v>2022</v>
      </c>
      <c r="B117">
        <v>4</v>
      </c>
      <c r="C117" s="105" t="s">
        <v>40</v>
      </c>
      <c r="D117" s="105" t="s">
        <v>29</v>
      </c>
      <c r="E117">
        <v>169</v>
      </c>
      <c r="F117">
        <v>105005.44</v>
      </c>
    </row>
    <row r="118" spans="1:6" x14ac:dyDescent="0.3">
      <c r="A118">
        <v>2022</v>
      </c>
      <c r="B118">
        <v>4</v>
      </c>
      <c r="C118" s="105" t="s">
        <v>40</v>
      </c>
      <c r="D118" s="105" t="s">
        <v>30</v>
      </c>
      <c r="E118">
        <v>118</v>
      </c>
      <c r="F118">
        <v>47831.11</v>
      </c>
    </row>
    <row r="119" spans="1:6" x14ac:dyDescent="0.3">
      <c r="A119">
        <v>2022</v>
      </c>
      <c r="B119">
        <v>4</v>
      </c>
      <c r="C119" s="105" t="s">
        <v>40</v>
      </c>
      <c r="D119" s="105" t="s">
        <v>31</v>
      </c>
      <c r="E119">
        <v>244</v>
      </c>
      <c r="F119">
        <v>180476.96</v>
      </c>
    </row>
    <row r="120" spans="1:6" x14ac:dyDescent="0.3">
      <c r="A120">
        <v>2022</v>
      </c>
      <c r="B120">
        <v>4</v>
      </c>
      <c r="C120" s="105" t="s">
        <v>40</v>
      </c>
      <c r="D120" s="105" t="s">
        <v>32</v>
      </c>
      <c r="E120">
        <v>38</v>
      </c>
      <c r="F120">
        <v>21475</v>
      </c>
    </row>
    <row r="121" spans="1:6" x14ac:dyDescent="0.3">
      <c r="A121">
        <v>2022</v>
      </c>
      <c r="B121">
        <v>4</v>
      </c>
      <c r="C121" s="105" t="s">
        <v>40</v>
      </c>
      <c r="D121" s="105" t="s">
        <v>33</v>
      </c>
      <c r="E121">
        <v>250</v>
      </c>
      <c r="F121">
        <v>165172.76999999999</v>
      </c>
    </row>
    <row r="122" spans="1:6" x14ac:dyDescent="0.3">
      <c r="A122">
        <v>2022</v>
      </c>
      <c r="B122">
        <v>4</v>
      </c>
      <c r="C122" s="105" t="s">
        <v>40</v>
      </c>
      <c r="D122" s="105" t="s">
        <v>34</v>
      </c>
      <c r="E122">
        <v>843</v>
      </c>
      <c r="F122">
        <v>430219.56</v>
      </c>
    </row>
    <row r="123" spans="1:6" x14ac:dyDescent="0.3">
      <c r="A123">
        <v>2022</v>
      </c>
      <c r="B123">
        <v>4</v>
      </c>
      <c r="C123" s="105" t="s">
        <v>40</v>
      </c>
      <c r="D123" s="105" t="s">
        <v>35</v>
      </c>
      <c r="E123">
        <v>108</v>
      </c>
      <c r="F123">
        <v>59837.599999999999</v>
      </c>
    </row>
    <row r="124" spans="1:6" x14ac:dyDescent="0.3">
      <c r="A124">
        <v>2022</v>
      </c>
      <c r="B124">
        <v>4</v>
      </c>
      <c r="C124" s="105" t="s">
        <v>40</v>
      </c>
      <c r="D124" s="105" t="s">
        <v>36</v>
      </c>
      <c r="E124">
        <v>350</v>
      </c>
      <c r="F124">
        <v>164706.63</v>
      </c>
    </row>
    <row r="125" spans="1:6" x14ac:dyDescent="0.3">
      <c r="A125">
        <v>2022</v>
      </c>
      <c r="B125">
        <v>4</v>
      </c>
      <c r="C125" s="105" t="s">
        <v>40</v>
      </c>
      <c r="D125" s="105" t="s">
        <v>37</v>
      </c>
      <c r="E125">
        <v>169</v>
      </c>
      <c r="F125">
        <v>122405.48</v>
      </c>
    </row>
    <row r="126" spans="1:6" x14ac:dyDescent="0.3">
      <c r="A126">
        <v>2022</v>
      </c>
      <c r="B126">
        <v>5</v>
      </c>
      <c r="C126" s="105" t="s">
        <v>41</v>
      </c>
      <c r="D126" s="105" t="s">
        <v>7</v>
      </c>
      <c r="E126">
        <v>159</v>
      </c>
      <c r="F126">
        <v>120354.45</v>
      </c>
    </row>
    <row r="127" spans="1:6" x14ac:dyDescent="0.3">
      <c r="A127">
        <v>2022</v>
      </c>
      <c r="B127">
        <v>5</v>
      </c>
      <c r="C127" s="105" t="s">
        <v>41</v>
      </c>
      <c r="D127" s="105" t="s">
        <v>8</v>
      </c>
      <c r="E127">
        <v>330</v>
      </c>
      <c r="F127">
        <v>153223.14000000001</v>
      </c>
    </row>
    <row r="128" spans="1:6" x14ac:dyDescent="0.3">
      <c r="A128">
        <v>2022</v>
      </c>
      <c r="B128">
        <v>5</v>
      </c>
      <c r="C128" s="105" t="s">
        <v>41</v>
      </c>
      <c r="D128" s="105" t="s">
        <v>9</v>
      </c>
      <c r="E128">
        <v>29</v>
      </c>
      <c r="F128">
        <v>19030</v>
      </c>
    </row>
    <row r="129" spans="1:6" x14ac:dyDescent="0.3">
      <c r="A129">
        <v>2022</v>
      </c>
      <c r="B129">
        <v>5</v>
      </c>
      <c r="C129" s="105" t="s">
        <v>41</v>
      </c>
      <c r="D129" s="105" t="s">
        <v>10</v>
      </c>
      <c r="E129">
        <v>252</v>
      </c>
      <c r="F129">
        <v>203066.72</v>
      </c>
    </row>
    <row r="130" spans="1:6" x14ac:dyDescent="0.3">
      <c r="A130">
        <v>2022</v>
      </c>
      <c r="B130">
        <v>5</v>
      </c>
      <c r="C130" s="105" t="s">
        <v>41</v>
      </c>
      <c r="D130" s="105" t="s">
        <v>11</v>
      </c>
      <c r="E130">
        <v>338</v>
      </c>
      <c r="F130">
        <v>188843.71</v>
      </c>
    </row>
    <row r="131" spans="1:6" x14ac:dyDescent="0.3">
      <c r="A131">
        <v>2022</v>
      </c>
      <c r="B131">
        <v>5</v>
      </c>
      <c r="C131" s="105" t="s">
        <v>41</v>
      </c>
      <c r="D131" s="105" t="s">
        <v>12</v>
      </c>
      <c r="E131">
        <v>104</v>
      </c>
      <c r="F131">
        <v>63501.98</v>
      </c>
    </row>
    <row r="132" spans="1:6" x14ac:dyDescent="0.3">
      <c r="A132">
        <v>2022</v>
      </c>
      <c r="B132">
        <v>5</v>
      </c>
      <c r="C132" s="105" t="s">
        <v>41</v>
      </c>
      <c r="D132" s="105" t="s">
        <v>13</v>
      </c>
      <c r="E132">
        <v>110</v>
      </c>
      <c r="F132">
        <v>70957.11</v>
      </c>
    </row>
    <row r="133" spans="1:6" x14ac:dyDescent="0.3">
      <c r="A133">
        <v>2022</v>
      </c>
      <c r="B133">
        <v>5</v>
      </c>
      <c r="C133" s="105" t="s">
        <v>41</v>
      </c>
      <c r="D133" s="105" t="s">
        <v>14</v>
      </c>
      <c r="E133">
        <v>201</v>
      </c>
      <c r="F133">
        <v>113809.8</v>
      </c>
    </row>
    <row r="134" spans="1:6" x14ac:dyDescent="0.3">
      <c r="A134">
        <v>2022</v>
      </c>
      <c r="B134">
        <v>5</v>
      </c>
      <c r="C134" s="105" t="s">
        <v>41</v>
      </c>
      <c r="D134" s="105" t="s">
        <v>15</v>
      </c>
      <c r="E134">
        <v>196</v>
      </c>
      <c r="F134">
        <v>83673.39</v>
      </c>
    </row>
    <row r="135" spans="1:6" x14ac:dyDescent="0.3">
      <c r="A135">
        <v>2022</v>
      </c>
      <c r="B135">
        <v>5</v>
      </c>
      <c r="C135" s="105" t="s">
        <v>41</v>
      </c>
      <c r="D135" s="105" t="s">
        <v>16</v>
      </c>
      <c r="E135">
        <v>83</v>
      </c>
      <c r="F135">
        <v>53139.54</v>
      </c>
    </row>
    <row r="136" spans="1:6" x14ac:dyDescent="0.3">
      <c r="A136">
        <v>2022</v>
      </c>
      <c r="B136">
        <v>5</v>
      </c>
      <c r="C136" s="105" t="s">
        <v>41</v>
      </c>
      <c r="D136" s="105" t="s">
        <v>17</v>
      </c>
      <c r="E136">
        <v>323</v>
      </c>
      <c r="F136">
        <v>233118.79</v>
      </c>
    </row>
    <row r="137" spans="1:6" x14ac:dyDescent="0.3">
      <c r="A137">
        <v>2022</v>
      </c>
      <c r="B137">
        <v>5</v>
      </c>
      <c r="C137" s="105" t="s">
        <v>41</v>
      </c>
      <c r="D137" s="105" t="s">
        <v>18</v>
      </c>
      <c r="E137">
        <v>320</v>
      </c>
      <c r="F137">
        <v>227601.15</v>
      </c>
    </row>
    <row r="138" spans="1:6" x14ac:dyDescent="0.3">
      <c r="A138">
        <v>2022</v>
      </c>
      <c r="B138">
        <v>5</v>
      </c>
      <c r="C138" s="105" t="s">
        <v>41</v>
      </c>
      <c r="D138" s="105" t="s">
        <v>19</v>
      </c>
      <c r="E138">
        <v>139</v>
      </c>
      <c r="F138">
        <v>70488.72</v>
      </c>
    </row>
    <row r="139" spans="1:6" x14ac:dyDescent="0.3">
      <c r="A139">
        <v>2022</v>
      </c>
      <c r="B139">
        <v>5</v>
      </c>
      <c r="C139" s="105" t="s">
        <v>41</v>
      </c>
      <c r="D139" s="105" t="s">
        <v>20</v>
      </c>
      <c r="E139">
        <v>228</v>
      </c>
      <c r="F139">
        <v>118637</v>
      </c>
    </row>
    <row r="140" spans="1:6" x14ac:dyDescent="0.3">
      <c r="A140">
        <v>2022</v>
      </c>
      <c r="B140">
        <v>5</v>
      </c>
      <c r="C140" s="105" t="s">
        <v>41</v>
      </c>
      <c r="D140" s="105" t="s">
        <v>21</v>
      </c>
      <c r="E140">
        <v>236</v>
      </c>
      <c r="F140">
        <v>171296.31</v>
      </c>
    </row>
    <row r="141" spans="1:6" x14ac:dyDescent="0.3">
      <c r="A141">
        <v>2022</v>
      </c>
      <c r="B141">
        <v>5</v>
      </c>
      <c r="C141" s="105" t="s">
        <v>41</v>
      </c>
      <c r="D141" s="105" t="s">
        <v>22</v>
      </c>
      <c r="E141">
        <v>139</v>
      </c>
      <c r="F141">
        <v>72247.56</v>
      </c>
    </row>
    <row r="142" spans="1:6" x14ac:dyDescent="0.3">
      <c r="A142">
        <v>2022</v>
      </c>
      <c r="B142">
        <v>5</v>
      </c>
      <c r="C142" s="105" t="s">
        <v>41</v>
      </c>
      <c r="D142" s="105" t="s">
        <v>23</v>
      </c>
      <c r="E142">
        <v>122</v>
      </c>
      <c r="F142">
        <v>97737.1</v>
      </c>
    </row>
    <row r="143" spans="1:6" x14ac:dyDescent="0.3">
      <c r="A143">
        <v>2022</v>
      </c>
      <c r="B143">
        <v>5</v>
      </c>
      <c r="C143" s="105" t="s">
        <v>41</v>
      </c>
      <c r="D143" s="105" t="s">
        <v>24</v>
      </c>
      <c r="E143">
        <v>201</v>
      </c>
      <c r="F143">
        <v>124117.78</v>
      </c>
    </row>
    <row r="144" spans="1:6" x14ac:dyDescent="0.3">
      <c r="A144">
        <v>2022</v>
      </c>
      <c r="B144">
        <v>5</v>
      </c>
      <c r="C144" s="105" t="s">
        <v>41</v>
      </c>
      <c r="D144" s="105" t="s">
        <v>25</v>
      </c>
      <c r="E144">
        <v>276</v>
      </c>
      <c r="F144">
        <v>197906.6</v>
      </c>
    </row>
    <row r="145" spans="1:6" x14ac:dyDescent="0.3">
      <c r="A145">
        <v>2022</v>
      </c>
      <c r="B145">
        <v>5</v>
      </c>
      <c r="C145" s="105" t="s">
        <v>41</v>
      </c>
      <c r="D145" s="105" t="s">
        <v>26</v>
      </c>
      <c r="E145">
        <v>130</v>
      </c>
      <c r="F145">
        <v>87415.1</v>
      </c>
    </row>
    <row r="146" spans="1:6" x14ac:dyDescent="0.3">
      <c r="A146">
        <v>2022</v>
      </c>
      <c r="B146">
        <v>5</v>
      </c>
      <c r="C146" s="105" t="s">
        <v>41</v>
      </c>
      <c r="D146" s="105" t="s">
        <v>27</v>
      </c>
      <c r="E146">
        <v>270</v>
      </c>
      <c r="F146">
        <v>156855.76999999999</v>
      </c>
    </row>
    <row r="147" spans="1:6" x14ac:dyDescent="0.3">
      <c r="A147">
        <v>2022</v>
      </c>
      <c r="B147">
        <v>5</v>
      </c>
      <c r="C147" s="105" t="s">
        <v>41</v>
      </c>
      <c r="D147" s="105" t="s">
        <v>28</v>
      </c>
      <c r="E147">
        <v>99</v>
      </c>
      <c r="F147">
        <v>48978.89</v>
      </c>
    </row>
    <row r="148" spans="1:6" x14ac:dyDescent="0.3">
      <c r="A148">
        <v>2022</v>
      </c>
      <c r="B148">
        <v>5</v>
      </c>
      <c r="C148" s="105" t="s">
        <v>41</v>
      </c>
      <c r="D148" s="105" t="s">
        <v>29</v>
      </c>
      <c r="E148">
        <v>257</v>
      </c>
      <c r="F148">
        <v>140994.96</v>
      </c>
    </row>
    <row r="149" spans="1:6" x14ac:dyDescent="0.3">
      <c r="A149">
        <v>2022</v>
      </c>
      <c r="B149">
        <v>5</v>
      </c>
      <c r="C149" s="105" t="s">
        <v>41</v>
      </c>
      <c r="D149" s="105" t="s">
        <v>30</v>
      </c>
      <c r="E149">
        <v>104</v>
      </c>
      <c r="F149">
        <v>49078</v>
      </c>
    </row>
    <row r="150" spans="1:6" x14ac:dyDescent="0.3">
      <c r="A150">
        <v>2022</v>
      </c>
      <c r="B150">
        <v>5</v>
      </c>
      <c r="C150" s="105" t="s">
        <v>41</v>
      </c>
      <c r="D150" s="105" t="s">
        <v>31</v>
      </c>
      <c r="E150">
        <v>262</v>
      </c>
      <c r="F150">
        <v>191947.21</v>
      </c>
    </row>
    <row r="151" spans="1:6" x14ac:dyDescent="0.3">
      <c r="A151">
        <v>2022</v>
      </c>
      <c r="B151">
        <v>5</v>
      </c>
      <c r="C151" s="105" t="s">
        <v>41</v>
      </c>
      <c r="D151" s="105" t="s">
        <v>32</v>
      </c>
      <c r="E151">
        <v>85</v>
      </c>
      <c r="F151">
        <v>61635.99</v>
      </c>
    </row>
    <row r="152" spans="1:6" x14ac:dyDescent="0.3">
      <c r="A152">
        <v>2022</v>
      </c>
      <c r="B152">
        <v>5</v>
      </c>
      <c r="C152" s="105" t="s">
        <v>41</v>
      </c>
      <c r="D152" s="105" t="s">
        <v>33</v>
      </c>
      <c r="E152">
        <v>242</v>
      </c>
      <c r="F152">
        <v>176403.84</v>
      </c>
    </row>
    <row r="153" spans="1:6" x14ac:dyDescent="0.3">
      <c r="A153">
        <v>2022</v>
      </c>
      <c r="B153">
        <v>5</v>
      </c>
      <c r="C153" s="105" t="s">
        <v>41</v>
      </c>
      <c r="D153" s="105" t="s">
        <v>34</v>
      </c>
      <c r="E153">
        <v>220</v>
      </c>
      <c r="F153">
        <v>135390.68</v>
      </c>
    </row>
    <row r="154" spans="1:6" x14ac:dyDescent="0.3">
      <c r="A154">
        <v>2022</v>
      </c>
      <c r="B154">
        <v>5</v>
      </c>
      <c r="C154" s="105" t="s">
        <v>41</v>
      </c>
      <c r="D154" s="105" t="s">
        <v>35</v>
      </c>
      <c r="E154">
        <v>105</v>
      </c>
      <c r="F154">
        <v>60354.52</v>
      </c>
    </row>
    <row r="155" spans="1:6" x14ac:dyDescent="0.3">
      <c r="A155">
        <v>2022</v>
      </c>
      <c r="B155">
        <v>5</v>
      </c>
      <c r="C155" s="105" t="s">
        <v>41</v>
      </c>
      <c r="D155" s="105" t="s">
        <v>36</v>
      </c>
      <c r="E155">
        <v>279</v>
      </c>
      <c r="F155">
        <v>140156.74</v>
      </c>
    </row>
    <row r="156" spans="1:6" x14ac:dyDescent="0.3">
      <c r="A156">
        <v>2022</v>
      </c>
      <c r="B156">
        <v>5</v>
      </c>
      <c r="C156" s="105" t="s">
        <v>41</v>
      </c>
      <c r="D156" s="105" t="s">
        <v>37</v>
      </c>
      <c r="E156">
        <v>125</v>
      </c>
      <c r="F156">
        <v>84617.72</v>
      </c>
    </row>
    <row r="157" spans="1:6" x14ac:dyDescent="0.3">
      <c r="A157">
        <v>2022</v>
      </c>
      <c r="B157">
        <v>6</v>
      </c>
      <c r="C157" s="105" t="s">
        <v>42</v>
      </c>
      <c r="D157" s="105" t="s">
        <v>7</v>
      </c>
      <c r="E157">
        <v>240</v>
      </c>
      <c r="F157">
        <v>195324.43</v>
      </c>
    </row>
    <row r="158" spans="1:6" x14ac:dyDescent="0.3">
      <c r="A158">
        <v>2022</v>
      </c>
      <c r="B158">
        <v>6</v>
      </c>
      <c r="C158" s="105" t="s">
        <v>42</v>
      </c>
      <c r="D158" s="105" t="s">
        <v>8</v>
      </c>
      <c r="E158">
        <v>352</v>
      </c>
      <c r="F158">
        <v>172594.92</v>
      </c>
    </row>
    <row r="159" spans="1:6" x14ac:dyDescent="0.3">
      <c r="A159">
        <v>2022</v>
      </c>
      <c r="B159">
        <v>6</v>
      </c>
      <c r="C159" s="105" t="s">
        <v>42</v>
      </c>
      <c r="D159" s="105" t="s">
        <v>9</v>
      </c>
      <c r="E159">
        <v>47</v>
      </c>
      <c r="F159">
        <v>31261.58</v>
      </c>
    </row>
    <row r="160" spans="1:6" x14ac:dyDescent="0.3">
      <c r="A160">
        <v>2022</v>
      </c>
      <c r="B160">
        <v>6</v>
      </c>
      <c r="C160" s="105" t="s">
        <v>42</v>
      </c>
      <c r="D160" s="105" t="s">
        <v>10</v>
      </c>
      <c r="E160">
        <v>302</v>
      </c>
      <c r="F160">
        <v>240176.09</v>
      </c>
    </row>
    <row r="161" spans="1:6" x14ac:dyDescent="0.3">
      <c r="A161">
        <v>2022</v>
      </c>
      <c r="B161">
        <v>6</v>
      </c>
      <c r="C161" s="105" t="s">
        <v>42</v>
      </c>
      <c r="D161" s="105" t="s">
        <v>11</v>
      </c>
      <c r="E161">
        <v>173</v>
      </c>
      <c r="F161">
        <v>104373.42</v>
      </c>
    </row>
    <row r="162" spans="1:6" x14ac:dyDescent="0.3">
      <c r="A162">
        <v>2022</v>
      </c>
      <c r="B162">
        <v>6</v>
      </c>
      <c r="C162" s="105" t="s">
        <v>42</v>
      </c>
      <c r="D162" s="105" t="s">
        <v>12</v>
      </c>
      <c r="E162">
        <v>114</v>
      </c>
      <c r="F162">
        <v>76078.03</v>
      </c>
    </row>
    <row r="163" spans="1:6" x14ac:dyDescent="0.3">
      <c r="A163">
        <v>2022</v>
      </c>
      <c r="B163">
        <v>6</v>
      </c>
      <c r="C163" s="105" t="s">
        <v>42</v>
      </c>
      <c r="D163" s="105" t="s">
        <v>13</v>
      </c>
      <c r="E163">
        <v>190</v>
      </c>
      <c r="F163">
        <v>122231.2</v>
      </c>
    </row>
    <row r="164" spans="1:6" x14ac:dyDescent="0.3">
      <c r="A164">
        <v>2022</v>
      </c>
      <c r="B164">
        <v>6</v>
      </c>
      <c r="C164" s="105" t="s">
        <v>42</v>
      </c>
      <c r="D164" s="105" t="s">
        <v>14</v>
      </c>
      <c r="E164">
        <v>233</v>
      </c>
      <c r="F164">
        <v>134286.68</v>
      </c>
    </row>
    <row r="165" spans="1:6" x14ac:dyDescent="0.3">
      <c r="A165">
        <v>2022</v>
      </c>
      <c r="B165">
        <v>6</v>
      </c>
      <c r="C165" s="105" t="s">
        <v>42</v>
      </c>
      <c r="D165" s="105" t="s">
        <v>15</v>
      </c>
      <c r="E165">
        <v>142</v>
      </c>
      <c r="F165">
        <v>69404.36</v>
      </c>
    </row>
    <row r="166" spans="1:6" x14ac:dyDescent="0.3">
      <c r="A166">
        <v>2022</v>
      </c>
      <c r="B166">
        <v>6</v>
      </c>
      <c r="C166" s="105" t="s">
        <v>42</v>
      </c>
      <c r="D166" s="105" t="s">
        <v>16</v>
      </c>
      <c r="E166">
        <v>120</v>
      </c>
      <c r="F166">
        <v>83736.25</v>
      </c>
    </row>
    <row r="167" spans="1:6" x14ac:dyDescent="0.3">
      <c r="A167">
        <v>2022</v>
      </c>
      <c r="B167">
        <v>6</v>
      </c>
      <c r="C167" s="105" t="s">
        <v>42</v>
      </c>
      <c r="D167" s="105" t="s">
        <v>17</v>
      </c>
      <c r="E167">
        <v>481</v>
      </c>
      <c r="F167">
        <v>360612.34</v>
      </c>
    </row>
    <row r="168" spans="1:6" x14ac:dyDescent="0.3">
      <c r="A168">
        <v>2022</v>
      </c>
      <c r="B168">
        <v>6</v>
      </c>
      <c r="C168" s="105" t="s">
        <v>42</v>
      </c>
      <c r="D168" s="105" t="s">
        <v>18</v>
      </c>
      <c r="E168">
        <v>424</v>
      </c>
      <c r="F168">
        <v>327560.2</v>
      </c>
    </row>
    <row r="169" spans="1:6" x14ac:dyDescent="0.3">
      <c r="A169">
        <v>2022</v>
      </c>
      <c r="B169">
        <v>6</v>
      </c>
      <c r="C169" s="105" t="s">
        <v>42</v>
      </c>
      <c r="D169" s="105" t="s">
        <v>19</v>
      </c>
      <c r="E169">
        <v>180</v>
      </c>
      <c r="F169">
        <v>91827.28</v>
      </c>
    </row>
    <row r="170" spans="1:6" x14ac:dyDescent="0.3">
      <c r="A170">
        <v>2022</v>
      </c>
      <c r="B170">
        <v>6</v>
      </c>
      <c r="C170" s="105" t="s">
        <v>42</v>
      </c>
      <c r="D170" s="105" t="s">
        <v>20</v>
      </c>
      <c r="E170">
        <v>266</v>
      </c>
      <c r="F170">
        <v>160417.9</v>
      </c>
    </row>
    <row r="171" spans="1:6" x14ac:dyDescent="0.3">
      <c r="A171">
        <v>2022</v>
      </c>
      <c r="B171">
        <v>6</v>
      </c>
      <c r="C171" s="105" t="s">
        <v>42</v>
      </c>
      <c r="D171" s="105" t="s">
        <v>21</v>
      </c>
      <c r="E171">
        <v>291</v>
      </c>
      <c r="F171">
        <v>222573.29</v>
      </c>
    </row>
    <row r="172" spans="1:6" x14ac:dyDescent="0.3">
      <c r="A172">
        <v>2022</v>
      </c>
      <c r="B172">
        <v>6</v>
      </c>
      <c r="C172" s="105" t="s">
        <v>42</v>
      </c>
      <c r="D172" s="105" t="s">
        <v>22</v>
      </c>
      <c r="E172">
        <v>171</v>
      </c>
      <c r="F172">
        <v>93870.35</v>
      </c>
    </row>
    <row r="173" spans="1:6" x14ac:dyDescent="0.3">
      <c r="A173">
        <v>2022</v>
      </c>
      <c r="B173">
        <v>6</v>
      </c>
      <c r="C173" s="105" t="s">
        <v>42</v>
      </c>
      <c r="D173" s="105" t="s">
        <v>23</v>
      </c>
      <c r="E173">
        <v>152</v>
      </c>
      <c r="F173">
        <v>120047.67999999999</v>
      </c>
    </row>
    <row r="174" spans="1:6" x14ac:dyDescent="0.3">
      <c r="A174">
        <v>2022</v>
      </c>
      <c r="B174">
        <v>6</v>
      </c>
      <c r="C174" s="105" t="s">
        <v>42</v>
      </c>
      <c r="D174" s="105" t="s">
        <v>24</v>
      </c>
      <c r="E174">
        <v>310</v>
      </c>
      <c r="F174">
        <v>171657.01</v>
      </c>
    </row>
    <row r="175" spans="1:6" x14ac:dyDescent="0.3">
      <c r="A175">
        <v>2022</v>
      </c>
      <c r="B175">
        <v>6</v>
      </c>
      <c r="C175" s="105" t="s">
        <v>42</v>
      </c>
      <c r="D175" s="105" t="s">
        <v>25</v>
      </c>
      <c r="E175">
        <v>287</v>
      </c>
      <c r="F175">
        <v>174806.53</v>
      </c>
    </row>
    <row r="176" spans="1:6" x14ac:dyDescent="0.3">
      <c r="A176">
        <v>2022</v>
      </c>
      <c r="B176">
        <v>6</v>
      </c>
      <c r="C176" s="105" t="s">
        <v>42</v>
      </c>
      <c r="D176" s="105" t="s">
        <v>26</v>
      </c>
      <c r="E176">
        <v>174</v>
      </c>
      <c r="F176">
        <v>135378.49</v>
      </c>
    </row>
    <row r="177" spans="1:6" x14ac:dyDescent="0.3">
      <c r="A177">
        <v>2022</v>
      </c>
      <c r="B177">
        <v>6</v>
      </c>
      <c r="C177" s="105" t="s">
        <v>42</v>
      </c>
      <c r="D177" s="105" t="s">
        <v>27</v>
      </c>
      <c r="E177">
        <v>311</v>
      </c>
      <c r="F177">
        <v>200512.06</v>
      </c>
    </row>
    <row r="178" spans="1:6" x14ac:dyDescent="0.3">
      <c r="A178">
        <v>2022</v>
      </c>
      <c r="B178">
        <v>6</v>
      </c>
      <c r="C178" s="105" t="s">
        <v>42</v>
      </c>
      <c r="D178" s="105" t="s">
        <v>28</v>
      </c>
      <c r="E178">
        <v>192</v>
      </c>
      <c r="F178">
        <v>99670.58</v>
      </c>
    </row>
    <row r="179" spans="1:6" x14ac:dyDescent="0.3">
      <c r="A179">
        <v>2022</v>
      </c>
      <c r="B179">
        <v>6</v>
      </c>
      <c r="C179" s="105" t="s">
        <v>42</v>
      </c>
      <c r="D179" s="105" t="s">
        <v>29</v>
      </c>
      <c r="E179">
        <v>186</v>
      </c>
      <c r="F179">
        <v>117073.09</v>
      </c>
    </row>
    <row r="180" spans="1:6" x14ac:dyDescent="0.3">
      <c r="A180">
        <v>2022</v>
      </c>
      <c r="B180">
        <v>6</v>
      </c>
      <c r="C180" s="105" t="s">
        <v>42</v>
      </c>
      <c r="D180" s="105" t="s">
        <v>30</v>
      </c>
      <c r="E180">
        <v>105</v>
      </c>
      <c r="F180">
        <v>53804.92</v>
      </c>
    </row>
    <row r="181" spans="1:6" x14ac:dyDescent="0.3">
      <c r="A181">
        <v>2022</v>
      </c>
      <c r="B181">
        <v>6</v>
      </c>
      <c r="C181" s="105" t="s">
        <v>42</v>
      </c>
      <c r="D181" s="105" t="s">
        <v>31</v>
      </c>
      <c r="E181">
        <v>394</v>
      </c>
      <c r="F181">
        <v>310082.21999999997</v>
      </c>
    </row>
    <row r="182" spans="1:6" x14ac:dyDescent="0.3">
      <c r="A182">
        <v>2022</v>
      </c>
      <c r="B182">
        <v>6</v>
      </c>
      <c r="C182" s="105" t="s">
        <v>42</v>
      </c>
      <c r="D182" s="105" t="s">
        <v>32</v>
      </c>
      <c r="E182">
        <v>130</v>
      </c>
      <c r="F182">
        <v>94744.56</v>
      </c>
    </row>
    <row r="183" spans="1:6" x14ac:dyDescent="0.3">
      <c r="A183">
        <v>2022</v>
      </c>
      <c r="B183">
        <v>6</v>
      </c>
      <c r="C183" s="105" t="s">
        <v>42</v>
      </c>
      <c r="D183" s="105" t="s">
        <v>33</v>
      </c>
      <c r="E183">
        <v>257</v>
      </c>
      <c r="F183">
        <v>177979.01</v>
      </c>
    </row>
    <row r="184" spans="1:6" x14ac:dyDescent="0.3">
      <c r="A184">
        <v>2022</v>
      </c>
      <c r="B184">
        <v>6</v>
      </c>
      <c r="C184" s="105" t="s">
        <v>42</v>
      </c>
      <c r="D184" s="105" t="s">
        <v>34</v>
      </c>
      <c r="E184">
        <v>383</v>
      </c>
      <c r="F184">
        <v>227604.48000000001</v>
      </c>
    </row>
    <row r="185" spans="1:6" x14ac:dyDescent="0.3">
      <c r="A185">
        <v>2022</v>
      </c>
      <c r="B185">
        <v>6</v>
      </c>
      <c r="C185" s="105" t="s">
        <v>42</v>
      </c>
      <c r="D185" s="105" t="s">
        <v>35</v>
      </c>
      <c r="E185">
        <v>195</v>
      </c>
      <c r="F185">
        <v>116500.64</v>
      </c>
    </row>
    <row r="186" spans="1:6" x14ac:dyDescent="0.3">
      <c r="A186">
        <v>2022</v>
      </c>
      <c r="B186">
        <v>6</v>
      </c>
      <c r="C186" s="105" t="s">
        <v>42</v>
      </c>
      <c r="D186" s="105" t="s">
        <v>36</v>
      </c>
      <c r="E186">
        <v>314</v>
      </c>
      <c r="F186">
        <v>194199.79</v>
      </c>
    </row>
    <row r="187" spans="1:6" x14ac:dyDescent="0.3">
      <c r="A187">
        <v>2022</v>
      </c>
      <c r="B187">
        <v>6</v>
      </c>
      <c r="C187" s="105" t="s">
        <v>42</v>
      </c>
      <c r="D187" s="105" t="s">
        <v>37</v>
      </c>
      <c r="E187">
        <v>201</v>
      </c>
      <c r="F187">
        <v>137929.29</v>
      </c>
    </row>
    <row r="188" spans="1:6" x14ac:dyDescent="0.3">
      <c r="A188">
        <v>2022</v>
      </c>
      <c r="B188">
        <v>7</v>
      </c>
      <c r="C188" s="105" t="s">
        <v>43</v>
      </c>
      <c r="D188" s="105" t="s">
        <v>7</v>
      </c>
      <c r="E188">
        <v>359</v>
      </c>
      <c r="F188">
        <v>216460.87</v>
      </c>
    </row>
    <row r="189" spans="1:6" x14ac:dyDescent="0.3">
      <c r="A189">
        <v>2022</v>
      </c>
      <c r="B189">
        <v>7</v>
      </c>
      <c r="C189" s="105" t="s">
        <v>43</v>
      </c>
      <c r="D189" s="105" t="s">
        <v>8</v>
      </c>
      <c r="E189">
        <v>682</v>
      </c>
      <c r="F189">
        <v>223686.29</v>
      </c>
    </row>
    <row r="190" spans="1:6" x14ac:dyDescent="0.3">
      <c r="A190">
        <v>2022</v>
      </c>
      <c r="B190">
        <v>7</v>
      </c>
      <c r="C190" s="105" t="s">
        <v>43</v>
      </c>
      <c r="D190" s="105" t="s">
        <v>9</v>
      </c>
      <c r="E190">
        <v>51</v>
      </c>
      <c r="F190">
        <v>30172.21</v>
      </c>
    </row>
    <row r="191" spans="1:6" x14ac:dyDescent="0.3">
      <c r="A191">
        <v>2022</v>
      </c>
      <c r="B191">
        <v>7</v>
      </c>
      <c r="C191" s="105" t="s">
        <v>43</v>
      </c>
      <c r="D191" s="105" t="s">
        <v>10</v>
      </c>
      <c r="E191">
        <v>388</v>
      </c>
      <c r="F191">
        <v>304179.09000000003</v>
      </c>
    </row>
    <row r="192" spans="1:6" x14ac:dyDescent="0.3">
      <c r="A192">
        <v>2022</v>
      </c>
      <c r="B192">
        <v>7</v>
      </c>
      <c r="C192" s="105" t="s">
        <v>43</v>
      </c>
      <c r="D192" s="105" t="s">
        <v>11</v>
      </c>
      <c r="E192">
        <v>158</v>
      </c>
      <c r="F192">
        <v>98099.58</v>
      </c>
    </row>
    <row r="193" spans="1:6" x14ac:dyDescent="0.3">
      <c r="A193">
        <v>2022</v>
      </c>
      <c r="B193">
        <v>7</v>
      </c>
      <c r="C193" s="105" t="s">
        <v>43</v>
      </c>
      <c r="D193" s="105" t="s">
        <v>12</v>
      </c>
      <c r="E193">
        <v>141</v>
      </c>
      <c r="F193">
        <v>91563.25</v>
      </c>
    </row>
    <row r="194" spans="1:6" x14ac:dyDescent="0.3">
      <c r="A194">
        <v>2022</v>
      </c>
      <c r="B194">
        <v>7</v>
      </c>
      <c r="C194" s="105" t="s">
        <v>43</v>
      </c>
      <c r="D194" s="105" t="s">
        <v>13</v>
      </c>
      <c r="E194">
        <v>221</v>
      </c>
      <c r="F194">
        <v>138712.87</v>
      </c>
    </row>
    <row r="195" spans="1:6" x14ac:dyDescent="0.3">
      <c r="A195">
        <v>2022</v>
      </c>
      <c r="B195">
        <v>7</v>
      </c>
      <c r="C195" s="105" t="s">
        <v>43</v>
      </c>
      <c r="D195" s="105" t="s">
        <v>14</v>
      </c>
      <c r="E195">
        <v>431</v>
      </c>
      <c r="F195">
        <v>162019.9</v>
      </c>
    </row>
    <row r="196" spans="1:6" x14ac:dyDescent="0.3">
      <c r="A196">
        <v>2022</v>
      </c>
      <c r="B196">
        <v>7</v>
      </c>
      <c r="C196" s="105" t="s">
        <v>43</v>
      </c>
      <c r="D196" s="105" t="s">
        <v>15</v>
      </c>
      <c r="E196">
        <v>167</v>
      </c>
      <c r="F196">
        <v>77241.16</v>
      </c>
    </row>
    <row r="197" spans="1:6" x14ac:dyDescent="0.3">
      <c r="A197">
        <v>2022</v>
      </c>
      <c r="B197">
        <v>7</v>
      </c>
      <c r="C197" s="105" t="s">
        <v>43</v>
      </c>
      <c r="D197" s="105" t="s">
        <v>16</v>
      </c>
      <c r="E197">
        <v>135</v>
      </c>
      <c r="F197">
        <v>83951.89</v>
      </c>
    </row>
    <row r="198" spans="1:6" x14ac:dyDescent="0.3">
      <c r="A198">
        <v>2022</v>
      </c>
      <c r="B198">
        <v>7</v>
      </c>
      <c r="C198" s="105" t="s">
        <v>43</v>
      </c>
      <c r="D198" s="105" t="s">
        <v>17</v>
      </c>
      <c r="E198">
        <v>540</v>
      </c>
      <c r="F198">
        <v>383249.72</v>
      </c>
    </row>
    <row r="199" spans="1:6" x14ac:dyDescent="0.3">
      <c r="A199">
        <v>2022</v>
      </c>
      <c r="B199">
        <v>7</v>
      </c>
      <c r="C199" s="105" t="s">
        <v>43</v>
      </c>
      <c r="D199" s="105" t="s">
        <v>18</v>
      </c>
      <c r="E199">
        <v>461</v>
      </c>
      <c r="F199">
        <v>322215.32</v>
      </c>
    </row>
    <row r="200" spans="1:6" x14ac:dyDescent="0.3">
      <c r="A200">
        <v>2022</v>
      </c>
      <c r="B200">
        <v>7</v>
      </c>
      <c r="C200" s="105" t="s">
        <v>43</v>
      </c>
      <c r="D200" s="105" t="s">
        <v>19</v>
      </c>
      <c r="E200">
        <v>183</v>
      </c>
      <c r="F200">
        <v>81700.539999999994</v>
      </c>
    </row>
    <row r="201" spans="1:6" x14ac:dyDescent="0.3">
      <c r="A201">
        <v>2022</v>
      </c>
      <c r="B201">
        <v>7</v>
      </c>
      <c r="C201" s="105" t="s">
        <v>43</v>
      </c>
      <c r="D201" s="105" t="s">
        <v>20</v>
      </c>
      <c r="E201">
        <v>283</v>
      </c>
      <c r="F201">
        <v>153261.46</v>
      </c>
    </row>
    <row r="202" spans="1:6" x14ac:dyDescent="0.3">
      <c r="A202">
        <v>2022</v>
      </c>
      <c r="B202">
        <v>7</v>
      </c>
      <c r="C202" s="105" t="s">
        <v>43</v>
      </c>
      <c r="D202" s="105" t="s">
        <v>21</v>
      </c>
      <c r="E202">
        <v>501</v>
      </c>
      <c r="F202">
        <v>266992.53999999998</v>
      </c>
    </row>
    <row r="203" spans="1:6" x14ac:dyDescent="0.3">
      <c r="A203">
        <v>2022</v>
      </c>
      <c r="B203">
        <v>7</v>
      </c>
      <c r="C203" s="105" t="s">
        <v>43</v>
      </c>
      <c r="D203" s="105" t="s">
        <v>22</v>
      </c>
      <c r="E203">
        <v>142</v>
      </c>
      <c r="F203">
        <v>72307.47</v>
      </c>
    </row>
    <row r="204" spans="1:6" x14ac:dyDescent="0.3">
      <c r="A204">
        <v>2022</v>
      </c>
      <c r="B204">
        <v>7</v>
      </c>
      <c r="C204" s="105" t="s">
        <v>43</v>
      </c>
      <c r="D204" s="105" t="s">
        <v>23</v>
      </c>
      <c r="E204">
        <v>196</v>
      </c>
      <c r="F204">
        <v>144484.5</v>
      </c>
    </row>
    <row r="205" spans="1:6" x14ac:dyDescent="0.3">
      <c r="A205">
        <v>2022</v>
      </c>
      <c r="B205">
        <v>7</v>
      </c>
      <c r="C205" s="105" t="s">
        <v>43</v>
      </c>
      <c r="D205" s="105" t="s">
        <v>24</v>
      </c>
      <c r="E205">
        <v>461</v>
      </c>
      <c r="F205">
        <v>156162.23000000001</v>
      </c>
    </row>
    <row r="206" spans="1:6" x14ac:dyDescent="0.3">
      <c r="A206">
        <v>2022</v>
      </c>
      <c r="B206">
        <v>7</v>
      </c>
      <c r="C206" s="105" t="s">
        <v>43</v>
      </c>
      <c r="D206" s="105" t="s">
        <v>25</v>
      </c>
      <c r="E206">
        <v>638</v>
      </c>
      <c r="F206">
        <v>239917</v>
      </c>
    </row>
    <row r="207" spans="1:6" x14ac:dyDescent="0.3">
      <c r="A207">
        <v>2022</v>
      </c>
      <c r="B207">
        <v>7</v>
      </c>
      <c r="C207" s="105" t="s">
        <v>43</v>
      </c>
      <c r="D207" s="105" t="s">
        <v>26</v>
      </c>
      <c r="E207">
        <v>295</v>
      </c>
      <c r="F207">
        <v>201790.05</v>
      </c>
    </row>
    <row r="208" spans="1:6" x14ac:dyDescent="0.3">
      <c r="A208">
        <v>2022</v>
      </c>
      <c r="B208">
        <v>7</v>
      </c>
      <c r="C208" s="105" t="s">
        <v>43</v>
      </c>
      <c r="D208" s="105" t="s">
        <v>27</v>
      </c>
      <c r="E208">
        <v>917</v>
      </c>
      <c r="F208">
        <v>187550.55</v>
      </c>
    </row>
    <row r="209" spans="1:6" x14ac:dyDescent="0.3">
      <c r="A209">
        <v>2022</v>
      </c>
      <c r="B209">
        <v>7</v>
      </c>
      <c r="C209" s="105" t="s">
        <v>43</v>
      </c>
      <c r="D209" s="105" t="s">
        <v>28</v>
      </c>
      <c r="E209">
        <v>279</v>
      </c>
      <c r="F209">
        <v>97365.16</v>
      </c>
    </row>
    <row r="210" spans="1:6" x14ac:dyDescent="0.3">
      <c r="A210">
        <v>2022</v>
      </c>
      <c r="B210">
        <v>7</v>
      </c>
      <c r="C210" s="105" t="s">
        <v>43</v>
      </c>
      <c r="D210" s="105" t="s">
        <v>29</v>
      </c>
      <c r="E210">
        <v>207</v>
      </c>
      <c r="F210">
        <v>129280.65</v>
      </c>
    </row>
    <row r="211" spans="1:6" x14ac:dyDescent="0.3">
      <c r="A211">
        <v>2022</v>
      </c>
      <c r="B211">
        <v>7</v>
      </c>
      <c r="C211" s="105" t="s">
        <v>43</v>
      </c>
      <c r="D211" s="105" t="s">
        <v>30</v>
      </c>
      <c r="E211">
        <v>118</v>
      </c>
      <c r="F211">
        <v>64034.52</v>
      </c>
    </row>
    <row r="212" spans="1:6" x14ac:dyDescent="0.3">
      <c r="A212">
        <v>2022</v>
      </c>
      <c r="B212">
        <v>7</v>
      </c>
      <c r="C212" s="105" t="s">
        <v>43</v>
      </c>
      <c r="D212" s="105" t="s">
        <v>31</v>
      </c>
      <c r="E212">
        <v>432</v>
      </c>
      <c r="F212">
        <v>345697.74</v>
      </c>
    </row>
    <row r="213" spans="1:6" x14ac:dyDescent="0.3">
      <c r="A213">
        <v>2022</v>
      </c>
      <c r="B213">
        <v>7</v>
      </c>
      <c r="C213" s="105" t="s">
        <v>43</v>
      </c>
      <c r="D213" s="105" t="s">
        <v>32</v>
      </c>
      <c r="E213">
        <v>169</v>
      </c>
      <c r="F213">
        <v>116828.9</v>
      </c>
    </row>
    <row r="214" spans="1:6" x14ac:dyDescent="0.3">
      <c r="A214">
        <v>2022</v>
      </c>
      <c r="B214">
        <v>7</v>
      </c>
      <c r="C214" s="105" t="s">
        <v>43</v>
      </c>
      <c r="D214" s="105" t="s">
        <v>33</v>
      </c>
      <c r="E214">
        <v>336</v>
      </c>
      <c r="F214">
        <v>237043.02</v>
      </c>
    </row>
    <row r="215" spans="1:6" x14ac:dyDescent="0.3">
      <c r="A215">
        <v>2022</v>
      </c>
      <c r="B215">
        <v>7</v>
      </c>
      <c r="C215" s="105" t="s">
        <v>43</v>
      </c>
      <c r="D215" s="105" t="s">
        <v>34</v>
      </c>
      <c r="E215">
        <v>280</v>
      </c>
      <c r="F215">
        <v>181474.75</v>
      </c>
    </row>
    <row r="216" spans="1:6" x14ac:dyDescent="0.3">
      <c r="A216">
        <v>2022</v>
      </c>
      <c r="B216">
        <v>7</v>
      </c>
      <c r="C216" s="105" t="s">
        <v>43</v>
      </c>
      <c r="D216" s="105" t="s">
        <v>35</v>
      </c>
      <c r="E216">
        <v>168</v>
      </c>
      <c r="F216">
        <v>104099.48</v>
      </c>
    </row>
    <row r="217" spans="1:6" x14ac:dyDescent="0.3">
      <c r="A217">
        <v>2022</v>
      </c>
      <c r="B217">
        <v>7</v>
      </c>
      <c r="C217" s="105" t="s">
        <v>43</v>
      </c>
      <c r="D217" s="105" t="s">
        <v>36</v>
      </c>
      <c r="E217">
        <v>717</v>
      </c>
      <c r="F217">
        <v>195355.47</v>
      </c>
    </row>
    <row r="218" spans="1:6" x14ac:dyDescent="0.3">
      <c r="A218">
        <v>2022</v>
      </c>
      <c r="B218">
        <v>7</v>
      </c>
      <c r="C218" s="105" t="s">
        <v>43</v>
      </c>
      <c r="D218" s="105" t="s">
        <v>37</v>
      </c>
      <c r="E218">
        <v>331</v>
      </c>
      <c r="F218">
        <v>160128.5</v>
      </c>
    </row>
    <row r="219" spans="1:6" x14ac:dyDescent="0.3">
      <c r="A219">
        <v>2022</v>
      </c>
      <c r="B219">
        <v>8</v>
      </c>
      <c r="C219" s="105" t="s">
        <v>44</v>
      </c>
      <c r="D219" s="105" t="s">
        <v>7</v>
      </c>
      <c r="E219">
        <v>268</v>
      </c>
      <c r="F219">
        <v>204171.58</v>
      </c>
    </row>
    <row r="220" spans="1:6" x14ac:dyDescent="0.3">
      <c r="A220">
        <v>2022</v>
      </c>
      <c r="B220">
        <v>8</v>
      </c>
      <c r="C220" s="105" t="s">
        <v>44</v>
      </c>
      <c r="D220" s="105" t="s">
        <v>8</v>
      </c>
      <c r="E220">
        <v>371</v>
      </c>
      <c r="F220">
        <v>195931.28</v>
      </c>
    </row>
    <row r="221" spans="1:6" x14ac:dyDescent="0.3">
      <c r="A221">
        <v>2022</v>
      </c>
      <c r="B221">
        <v>8</v>
      </c>
      <c r="C221" s="105" t="s">
        <v>44</v>
      </c>
      <c r="D221" s="105" t="s">
        <v>9</v>
      </c>
      <c r="E221">
        <v>39</v>
      </c>
      <c r="F221">
        <v>26254.91</v>
      </c>
    </row>
    <row r="222" spans="1:6" x14ac:dyDescent="0.3">
      <c r="A222">
        <v>2022</v>
      </c>
      <c r="B222">
        <v>8</v>
      </c>
      <c r="C222" s="105" t="s">
        <v>44</v>
      </c>
      <c r="D222" s="105" t="s">
        <v>10</v>
      </c>
      <c r="E222">
        <v>384</v>
      </c>
      <c r="F222">
        <v>285017.93</v>
      </c>
    </row>
    <row r="223" spans="1:6" x14ac:dyDescent="0.3">
      <c r="A223">
        <v>2022</v>
      </c>
      <c r="B223">
        <v>8</v>
      </c>
      <c r="C223" s="105" t="s">
        <v>44</v>
      </c>
      <c r="D223" s="105" t="s">
        <v>11</v>
      </c>
      <c r="E223">
        <v>225</v>
      </c>
      <c r="F223">
        <v>136383.17000000001</v>
      </c>
    </row>
    <row r="224" spans="1:6" x14ac:dyDescent="0.3">
      <c r="A224">
        <v>2022</v>
      </c>
      <c r="B224">
        <v>8</v>
      </c>
      <c r="C224" s="105" t="s">
        <v>44</v>
      </c>
      <c r="D224" s="105" t="s">
        <v>12</v>
      </c>
      <c r="E224">
        <v>137</v>
      </c>
      <c r="F224">
        <v>85081</v>
      </c>
    </row>
    <row r="225" spans="1:6" x14ac:dyDescent="0.3">
      <c r="A225">
        <v>2022</v>
      </c>
      <c r="B225">
        <v>8</v>
      </c>
      <c r="C225" s="105" t="s">
        <v>44</v>
      </c>
      <c r="D225" s="105" t="s">
        <v>13</v>
      </c>
      <c r="E225">
        <v>219</v>
      </c>
      <c r="F225">
        <v>141407.81</v>
      </c>
    </row>
    <row r="226" spans="1:6" x14ac:dyDescent="0.3">
      <c r="A226">
        <v>2022</v>
      </c>
      <c r="B226">
        <v>8</v>
      </c>
      <c r="C226" s="105" t="s">
        <v>44</v>
      </c>
      <c r="D226" s="105" t="s">
        <v>14</v>
      </c>
      <c r="E226">
        <v>296</v>
      </c>
      <c r="F226">
        <v>176130.01</v>
      </c>
    </row>
    <row r="227" spans="1:6" x14ac:dyDescent="0.3">
      <c r="A227">
        <v>2022</v>
      </c>
      <c r="B227">
        <v>8</v>
      </c>
      <c r="C227" s="105" t="s">
        <v>44</v>
      </c>
      <c r="D227" s="105" t="s">
        <v>15</v>
      </c>
      <c r="E227">
        <v>162</v>
      </c>
      <c r="F227">
        <v>83064.759999999995</v>
      </c>
    </row>
    <row r="228" spans="1:6" x14ac:dyDescent="0.3">
      <c r="A228">
        <v>2022</v>
      </c>
      <c r="B228">
        <v>8</v>
      </c>
      <c r="C228" s="105" t="s">
        <v>44</v>
      </c>
      <c r="D228" s="105" t="s">
        <v>16</v>
      </c>
      <c r="E228">
        <v>161</v>
      </c>
      <c r="F228">
        <v>119941.85</v>
      </c>
    </row>
    <row r="229" spans="1:6" x14ac:dyDescent="0.3">
      <c r="A229">
        <v>2022</v>
      </c>
      <c r="B229">
        <v>8</v>
      </c>
      <c r="C229" s="105" t="s">
        <v>44</v>
      </c>
      <c r="D229" s="105" t="s">
        <v>17</v>
      </c>
      <c r="E229">
        <v>444</v>
      </c>
      <c r="F229">
        <v>344717.56</v>
      </c>
    </row>
    <row r="230" spans="1:6" x14ac:dyDescent="0.3">
      <c r="A230">
        <v>2022</v>
      </c>
      <c r="B230">
        <v>8</v>
      </c>
      <c r="C230" s="105" t="s">
        <v>44</v>
      </c>
      <c r="D230" s="105" t="s">
        <v>18</v>
      </c>
      <c r="E230">
        <v>423</v>
      </c>
      <c r="F230">
        <v>298024.23</v>
      </c>
    </row>
    <row r="231" spans="1:6" x14ac:dyDescent="0.3">
      <c r="A231">
        <v>2022</v>
      </c>
      <c r="B231">
        <v>8</v>
      </c>
      <c r="C231" s="105" t="s">
        <v>44</v>
      </c>
      <c r="D231" s="105" t="s">
        <v>19</v>
      </c>
      <c r="E231">
        <v>160</v>
      </c>
      <c r="F231">
        <v>80789.039999999994</v>
      </c>
    </row>
    <row r="232" spans="1:6" x14ac:dyDescent="0.3">
      <c r="A232">
        <v>2022</v>
      </c>
      <c r="B232">
        <v>8</v>
      </c>
      <c r="C232" s="105" t="s">
        <v>44</v>
      </c>
      <c r="D232" s="105" t="s">
        <v>20</v>
      </c>
      <c r="E232">
        <v>262</v>
      </c>
      <c r="F232">
        <v>158786.19</v>
      </c>
    </row>
    <row r="233" spans="1:6" x14ac:dyDescent="0.3">
      <c r="A233">
        <v>2022</v>
      </c>
      <c r="B233">
        <v>8</v>
      </c>
      <c r="C233" s="105" t="s">
        <v>44</v>
      </c>
      <c r="D233" s="105" t="s">
        <v>21</v>
      </c>
      <c r="E233">
        <v>736</v>
      </c>
      <c r="F233">
        <v>296448.27</v>
      </c>
    </row>
    <row r="234" spans="1:6" x14ac:dyDescent="0.3">
      <c r="A234">
        <v>2022</v>
      </c>
      <c r="B234">
        <v>8</v>
      </c>
      <c r="C234" s="105" t="s">
        <v>44</v>
      </c>
      <c r="D234" s="105" t="s">
        <v>22</v>
      </c>
      <c r="E234">
        <v>118</v>
      </c>
      <c r="F234">
        <v>71032.05</v>
      </c>
    </row>
    <row r="235" spans="1:6" x14ac:dyDescent="0.3">
      <c r="A235">
        <v>2022</v>
      </c>
      <c r="B235">
        <v>8</v>
      </c>
      <c r="C235" s="105" t="s">
        <v>44</v>
      </c>
      <c r="D235" s="105" t="s">
        <v>23</v>
      </c>
      <c r="E235">
        <v>156</v>
      </c>
      <c r="F235">
        <v>127561.65</v>
      </c>
    </row>
    <row r="236" spans="1:6" x14ac:dyDescent="0.3">
      <c r="A236">
        <v>2022</v>
      </c>
      <c r="B236">
        <v>8</v>
      </c>
      <c r="C236" s="105" t="s">
        <v>44</v>
      </c>
      <c r="D236" s="105" t="s">
        <v>24</v>
      </c>
      <c r="E236">
        <v>241</v>
      </c>
      <c r="F236">
        <v>140711.31</v>
      </c>
    </row>
    <row r="237" spans="1:6" x14ac:dyDescent="0.3">
      <c r="A237">
        <v>2022</v>
      </c>
      <c r="B237">
        <v>8</v>
      </c>
      <c r="C237" s="105" t="s">
        <v>44</v>
      </c>
      <c r="D237" s="105" t="s">
        <v>25</v>
      </c>
      <c r="E237">
        <v>413</v>
      </c>
      <c r="F237">
        <v>257061.99</v>
      </c>
    </row>
    <row r="238" spans="1:6" x14ac:dyDescent="0.3">
      <c r="A238">
        <v>2022</v>
      </c>
      <c r="B238">
        <v>8</v>
      </c>
      <c r="C238" s="105" t="s">
        <v>44</v>
      </c>
      <c r="D238" s="105" t="s">
        <v>26</v>
      </c>
      <c r="E238">
        <v>215</v>
      </c>
      <c r="F238">
        <v>161125.4</v>
      </c>
    </row>
    <row r="239" spans="1:6" x14ac:dyDescent="0.3">
      <c r="A239">
        <v>2022</v>
      </c>
      <c r="B239">
        <v>8</v>
      </c>
      <c r="C239" s="105" t="s">
        <v>44</v>
      </c>
      <c r="D239" s="105" t="s">
        <v>27</v>
      </c>
      <c r="E239">
        <v>309</v>
      </c>
      <c r="F239">
        <v>194261.21</v>
      </c>
    </row>
    <row r="240" spans="1:6" x14ac:dyDescent="0.3">
      <c r="A240">
        <v>2022</v>
      </c>
      <c r="B240">
        <v>8</v>
      </c>
      <c r="C240" s="105" t="s">
        <v>44</v>
      </c>
      <c r="D240" s="105" t="s">
        <v>28</v>
      </c>
      <c r="E240">
        <v>173</v>
      </c>
      <c r="F240">
        <v>85934.07</v>
      </c>
    </row>
    <row r="241" spans="1:6" x14ac:dyDescent="0.3">
      <c r="A241">
        <v>2022</v>
      </c>
      <c r="B241">
        <v>8</v>
      </c>
      <c r="C241" s="105" t="s">
        <v>44</v>
      </c>
      <c r="D241" s="105" t="s">
        <v>29</v>
      </c>
      <c r="E241">
        <v>241</v>
      </c>
      <c r="F241">
        <v>138778.75</v>
      </c>
    </row>
    <row r="242" spans="1:6" x14ac:dyDescent="0.3">
      <c r="A242">
        <v>2022</v>
      </c>
      <c r="B242">
        <v>8</v>
      </c>
      <c r="C242" s="105" t="s">
        <v>44</v>
      </c>
      <c r="D242" s="105" t="s">
        <v>30</v>
      </c>
      <c r="E242">
        <v>161</v>
      </c>
      <c r="F242">
        <v>91124.800000000003</v>
      </c>
    </row>
    <row r="243" spans="1:6" x14ac:dyDescent="0.3">
      <c r="A243">
        <v>2022</v>
      </c>
      <c r="B243">
        <v>8</v>
      </c>
      <c r="C243" s="105" t="s">
        <v>44</v>
      </c>
      <c r="D243" s="105" t="s">
        <v>31</v>
      </c>
      <c r="E243">
        <v>509</v>
      </c>
      <c r="F243">
        <v>397796.17</v>
      </c>
    </row>
    <row r="244" spans="1:6" x14ac:dyDescent="0.3">
      <c r="A244">
        <v>2022</v>
      </c>
      <c r="B244">
        <v>8</v>
      </c>
      <c r="C244" s="105" t="s">
        <v>44</v>
      </c>
      <c r="D244" s="105" t="s">
        <v>32</v>
      </c>
      <c r="E244">
        <v>146</v>
      </c>
      <c r="F244">
        <v>97569.34</v>
      </c>
    </row>
    <row r="245" spans="1:6" x14ac:dyDescent="0.3">
      <c r="A245">
        <v>2022</v>
      </c>
      <c r="B245">
        <v>8</v>
      </c>
      <c r="C245" s="105" t="s">
        <v>44</v>
      </c>
      <c r="D245" s="105" t="s">
        <v>33</v>
      </c>
      <c r="E245">
        <v>274</v>
      </c>
      <c r="F245">
        <v>200174.11</v>
      </c>
    </row>
    <row r="246" spans="1:6" x14ac:dyDescent="0.3">
      <c r="A246">
        <v>2022</v>
      </c>
      <c r="B246">
        <v>8</v>
      </c>
      <c r="C246" s="105" t="s">
        <v>44</v>
      </c>
      <c r="D246" s="105" t="s">
        <v>34</v>
      </c>
      <c r="E246">
        <v>333</v>
      </c>
      <c r="F246">
        <v>211404.72</v>
      </c>
    </row>
    <row r="247" spans="1:6" x14ac:dyDescent="0.3">
      <c r="A247">
        <v>2022</v>
      </c>
      <c r="B247">
        <v>8</v>
      </c>
      <c r="C247" s="105" t="s">
        <v>44</v>
      </c>
      <c r="D247" s="105" t="s">
        <v>35</v>
      </c>
      <c r="E247">
        <v>206</v>
      </c>
      <c r="F247">
        <v>120464.59</v>
      </c>
    </row>
    <row r="248" spans="1:6" x14ac:dyDescent="0.3">
      <c r="A248">
        <v>2022</v>
      </c>
      <c r="B248">
        <v>8</v>
      </c>
      <c r="C248" s="105" t="s">
        <v>44</v>
      </c>
      <c r="D248" s="105" t="s">
        <v>36</v>
      </c>
      <c r="E248">
        <v>447</v>
      </c>
      <c r="F248">
        <v>216656.42</v>
      </c>
    </row>
    <row r="249" spans="1:6" x14ac:dyDescent="0.3">
      <c r="A249">
        <v>2022</v>
      </c>
      <c r="B249">
        <v>8</v>
      </c>
      <c r="C249" s="105" t="s">
        <v>44</v>
      </c>
      <c r="D249" s="105" t="s">
        <v>37</v>
      </c>
      <c r="E249">
        <v>246</v>
      </c>
      <c r="F249">
        <v>162777.57999999999</v>
      </c>
    </row>
    <row r="250" spans="1:6" x14ac:dyDescent="0.3">
      <c r="A250">
        <v>2022</v>
      </c>
      <c r="B250">
        <v>9</v>
      </c>
      <c r="C250" s="105" t="s">
        <v>45</v>
      </c>
      <c r="D250" s="105" t="s">
        <v>7</v>
      </c>
      <c r="E250">
        <v>185</v>
      </c>
      <c r="F250">
        <v>155672.54</v>
      </c>
    </row>
    <row r="251" spans="1:6" x14ac:dyDescent="0.3">
      <c r="A251">
        <v>2022</v>
      </c>
      <c r="B251">
        <v>9</v>
      </c>
      <c r="C251" s="105" t="s">
        <v>45</v>
      </c>
      <c r="D251" s="105" t="s">
        <v>8</v>
      </c>
      <c r="E251">
        <v>284</v>
      </c>
      <c r="F251">
        <v>147603.01999999999</v>
      </c>
    </row>
    <row r="252" spans="1:6" x14ac:dyDescent="0.3">
      <c r="A252">
        <v>2022</v>
      </c>
      <c r="B252">
        <v>9</v>
      </c>
      <c r="C252" s="105" t="s">
        <v>45</v>
      </c>
      <c r="D252" s="105" t="s">
        <v>9</v>
      </c>
      <c r="E252">
        <v>50</v>
      </c>
      <c r="F252">
        <v>28424.66</v>
      </c>
    </row>
    <row r="253" spans="1:6" x14ac:dyDescent="0.3">
      <c r="A253">
        <v>2022</v>
      </c>
      <c r="B253">
        <v>9</v>
      </c>
      <c r="C253" s="105" t="s">
        <v>45</v>
      </c>
      <c r="D253" s="105" t="s">
        <v>10</v>
      </c>
      <c r="E253">
        <v>331</v>
      </c>
      <c r="F253">
        <v>269343.3</v>
      </c>
    </row>
    <row r="254" spans="1:6" x14ac:dyDescent="0.3">
      <c r="A254">
        <v>2022</v>
      </c>
      <c r="B254">
        <v>9</v>
      </c>
      <c r="C254" s="105" t="s">
        <v>45</v>
      </c>
      <c r="D254" s="105" t="s">
        <v>11</v>
      </c>
      <c r="E254">
        <v>281</v>
      </c>
      <c r="F254">
        <v>167671.09</v>
      </c>
    </row>
    <row r="255" spans="1:6" x14ac:dyDescent="0.3">
      <c r="A255">
        <v>2022</v>
      </c>
      <c r="B255">
        <v>9</v>
      </c>
      <c r="C255" s="105" t="s">
        <v>45</v>
      </c>
      <c r="D255" s="105" t="s">
        <v>12</v>
      </c>
      <c r="E255">
        <v>118</v>
      </c>
      <c r="F255">
        <v>75063.98</v>
      </c>
    </row>
    <row r="256" spans="1:6" x14ac:dyDescent="0.3">
      <c r="A256">
        <v>2022</v>
      </c>
      <c r="B256">
        <v>9</v>
      </c>
      <c r="C256" s="105" t="s">
        <v>45</v>
      </c>
      <c r="D256" s="105" t="s">
        <v>13</v>
      </c>
      <c r="E256">
        <v>229</v>
      </c>
      <c r="F256">
        <v>123418.95</v>
      </c>
    </row>
    <row r="257" spans="1:6" x14ac:dyDescent="0.3">
      <c r="A257">
        <v>2022</v>
      </c>
      <c r="B257">
        <v>9</v>
      </c>
      <c r="C257" s="105" t="s">
        <v>45</v>
      </c>
      <c r="D257" s="105" t="s">
        <v>14</v>
      </c>
      <c r="E257">
        <v>293</v>
      </c>
      <c r="F257">
        <v>169624.03</v>
      </c>
    </row>
    <row r="258" spans="1:6" x14ac:dyDescent="0.3">
      <c r="A258">
        <v>2022</v>
      </c>
      <c r="B258">
        <v>9</v>
      </c>
      <c r="C258" s="105" t="s">
        <v>45</v>
      </c>
      <c r="D258" s="105" t="s">
        <v>15</v>
      </c>
      <c r="E258">
        <v>101</v>
      </c>
      <c r="F258">
        <v>53827.839999999997</v>
      </c>
    </row>
    <row r="259" spans="1:6" x14ac:dyDescent="0.3">
      <c r="A259">
        <v>2022</v>
      </c>
      <c r="B259">
        <v>9</v>
      </c>
      <c r="C259" s="105" t="s">
        <v>45</v>
      </c>
      <c r="D259" s="105" t="s">
        <v>16</v>
      </c>
      <c r="E259">
        <v>128</v>
      </c>
      <c r="F259">
        <v>96144.38</v>
      </c>
    </row>
    <row r="260" spans="1:6" x14ac:dyDescent="0.3">
      <c r="A260">
        <v>2022</v>
      </c>
      <c r="B260">
        <v>9</v>
      </c>
      <c r="C260" s="105" t="s">
        <v>45</v>
      </c>
      <c r="D260" s="105" t="s">
        <v>17</v>
      </c>
      <c r="E260">
        <v>384</v>
      </c>
      <c r="F260">
        <v>263582.71000000002</v>
      </c>
    </row>
    <row r="261" spans="1:6" x14ac:dyDescent="0.3">
      <c r="A261">
        <v>2022</v>
      </c>
      <c r="B261">
        <v>9</v>
      </c>
      <c r="C261" s="105" t="s">
        <v>45</v>
      </c>
      <c r="D261" s="105" t="s">
        <v>18</v>
      </c>
      <c r="E261">
        <v>1009</v>
      </c>
      <c r="F261">
        <v>594475.06000000006</v>
      </c>
    </row>
    <row r="262" spans="1:6" x14ac:dyDescent="0.3">
      <c r="A262">
        <v>2022</v>
      </c>
      <c r="B262">
        <v>9</v>
      </c>
      <c r="C262" s="105" t="s">
        <v>45</v>
      </c>
      <c r="D262" s="105" t="s">
        <v>19</v>
      </c>
      <c r="E262">
        <v>131</v>
      </c>
      <c r="F262">
        <v>64680.06</v>
      </c>
    </row>
    <row r="263" spans="1:6" x14ac:dyDescent="0.3">
      <c r="A263">
        <v>2022</v>
      </c>
      <c r="B263">
        <v>9</v>
      </c>
      <c r="C263" s="105" t="s">
        <v>45</v>
      </c>
      <c r="D263" s="105" t="s">
        <v>20</v>
      </c>
      <c r="E263">
        <v>265</v>
      </c>
      <c r="F263">
        <v>151236.89000000001</v>
      </c>
    </row>
    <row r="264" spans="1:6" x14ac:dyDescent="0.3">
      <c r="A264">
        <v>2022</v>
      </c>
      <c r="B264">
        <v>9</v>
      </c>
      <c r="C264" s="105" t="s">
        <v>45</v>
      </c>
      <c r="D264" s="105" t="s">
        <v>21</v>
      </c>
      <c r="E264">
        <v>473</v>
      </c>
      <c r="F264">
        <v>288864.09999999998</v>
      </c>
    </row>
    <row r="265" spans="1:6" x14ac:dyDescent="0.3">
      <c r="A265">
        <v>2022</v>
      </c>
      <c r="B265">
        <v>9</v>
      </c>
      <c r="C265" s="105" t="s">
        <v>45</v>
      </c>
      <c r="D265" s="105" t="s">
        <v>22</v>
      </c>
      <c r="E265">
        <v>89</v>
      </c>
      <c r="F265">
        <v>51156.29</v>
      </c>
    </row>
    <row r="266" spans="1:6" x14ac:dyDescent="0.3">
      <c r="A266">
        <v>2022</v>
      </c>
      <c r="B266">
        <v>9</v>
      </c>
      <c r="C266" s="105" t="s">
        <v>45</v>
      </c>
      <c r="D266" s="105" t="s">
        <v>23</v>
      </c>
      <c r="E266">
        <v>150</v>
      </c>
      <c r="F266">
        <v>119613.42</v>
      </c>
    </row>
    <row r="267" spans="1:6" x14ac:dyDescent="0.3">
      <c r="A267">
        <v>2022</v>
      </c>
      <c r="B267">
        <v>9</v>
      </c>
      <c r="C267" s="105" t="s">
        <v>45</v>
      </c>
      <c r="D267" s="105" t="s">
        <v>24</v>
      </c>
      <c r="E267">
        <v>277</v>
      </c>
      <c r="F267">
        <v>163176.85</v>
      </c>
    </row>
    <row r="268" spans="1:6" x14ac:dyDescent="0.3">
      <c r="A268">
        <v>2022</v>
      </c>
      <c r="B268">
        <v>9</v>
      </c>
      <c r="C268" s="105" t="s">
        <v>45</v>
      </c>
      <c r="D268" s="105" t="s">
        <v>25</v>
      </c>
      <c r="E268">
        <v>321</v>
      </c>
      <c r="F268">
        <v>202008.31</v>
      </c>
    </row>
    <row r="269" spans="1:6" x14ac:dyDescent="0.3">
      <c r="A269">
        <v>2022</v>
      </c>
      <c r="B269">
        <v>9</v>
      </c>
      <c r="C269" s="105" t="s">
        <v>45</v>
      </c>
      <c r="D269" s="105" t="s">
        <v>26</v>
      </c>
      <c r="E269">
        <v>197</v>
      </c>
      <c r="F269">
        <v>135057.79999999999</v>
      </c>
    </row>
    <row r="270" spans="1:6" x14ac:dyDescent="0.3">
      <c r="A270">
        <v>2022</v>
      </c>
      <c r="B270">
        <v>9</v>
      </c>
      <c r="C270" s="105" t="s">
        <v>45</v>
      </c>
      <c r="D270" s="105" t="s">
        <v>27</v>
      </c>
      <c r="E270">
        <v>292</v>
      </c>
      <c r="F270">
        <v>178913.82</v>
      </c>
    </row>
    <row r="271" spans="1:6" x14ac:dyDescent="0.3">
      <c r="A271">
        <v>2022</v>
      </c>
      <c r="B271">
        <v>9</v>
      </c>
      <c r="C271" s="105" t="s">
        <v>45</v>
      </c>
      <c r="D271" s="105" t="s">
        <v>28</v>
      </c>
      <c r="E271">
        <v>94</v>
      </c>
      <c r="F271">
        <v>53546.720000000001</v>
      </c>
    </row>
    <row r="272" spans="1:6" x14ac:dyDescent="0.3">
      <c r="A272">
        <v>2022</v>
      </c>
      <c r="B272">
        <v>9</v>
      </c>
      <c r="C272" s="105" t="s">
        <v>45</v>
      </c>
      <c r="D272" s="105" t="s">
        <v>29</v>
      </c>
      <c r="E272">
        <v>259</v>
      </c>
      <c r="F272">
        <v>139947.29999999999</v>
      </c>
    </row>
    <row r="273" spans="1:6" x14ac:dyDescent="0.3">
      <c r="A273">
        <v>2022</v>
      </c>
      <c r="B273">
        <v>9</v>
      </c>
      <c r="C273" s="105" t="s">
        <v>45</v>
      </c>
      <c r="D273" s="105" t="s">
        <v>30</v>
      </c>
      <c r="E273">
        <v>127</v>
      </c>
      <c r="F273">
        <v>68738.2</v>
      </c>
    </row>
    <row r="274" spans="1:6" x14ac:dyDescent="0.3">
      <c r="A274">
        <v>2022</v>
      </c>
      <c r="B274">
        <v>9</v>
      </c>
      <c r="C274" s="105" t="s">
        <v>45</v>
      </c>
      <c r="D274" s="105" t="s">
        <v>31</v>
      </c>
      <c r="E274">
        <v>634</v>
      </c>
      <c r="F274">
        <v>471040.59</v>
      </c>
    </row>
    <row r="275" spans="1:6" x14ac:dyDescent="0.3">
      <c r="A275">
        <v>2022</v>
      </c>
      <c r="B275">
        <v>9</v>
      </c>
      <c r="C275" s="105" t="s">
        <v>45</v>
      </c>
      <c r="D275" s="105" t="s">
        <v>32</v>
      </c>
      <c r="E275">
        <v>114</v>
      </c>
      <c r="F275">
        <v>82529.7</v>
      </c>
    </row>
    <row r="276" spans="1:6" x14ac:dyDescent="0.3">
      <c r="A276">
        <v>2022</v>
      </c>
      <c r="B276">
        <v>9</v>
      </c>
      <c r="C276" s="105" t="s">
        <v>45</v>
      </c>
      <c r="D276" s="105" t="s">
        <v>33</v>
      </c>
      <c r="E276">
        <v>245</v>
      </c>
      <c r="F276">
        <v>188767.39</v>
      </c>
    </row>
    <row r="277" spans="1:6" x14ac:dyDescent="0.3">
      <c r="A277">
        <v>2022</v>
      </c>
      <c r="B277">
        <v>9</v>
      </c>
      <c r="C277" s="105" t="s">
        <v>45</v>
      </c>
      <c r="D277" s="105" t="s">
        <v>34</v>
      </c>
      <c r="E277">
        <v>339</v>
      </c>
      <c r="F277">
        <v>196025.22</v>
      </c>
    </row>
    <row r="278" spans="1:6" x14ac:dyDescent="0.3">
      <c r="A278">
        <v>2022</v>
      </c>
      <c r="B278">
        <v>9</v>
      </c>
      <c r="C278" s="105" t="s">
        <v>45</v>
      </c>
      <c r="D278" s="105" t="s">
        <v>35</v>
      </c>
      <c r="E278">
        <v>176</v>
      </c>
      <c r="F278">
        <v>103842.31</v>
      </c>
    </row>
    <row r="279" spans="1:6" x14ac:dyDescent="0.3">
      <c r="A279">
        <v>2022</v>
      </c>
      <c r="B279">
        <v>9</v>
      </c>
      <c r="C279" s="105" t="s">
        <v>45</v>
      </c>
      <c r="D279" s="105" t="s">
        <v>36</v>
      </c>
      <c r="E279">
        <v>292</v>
      </c>
      <c r="F279">
        <v>181580.23</v>
      </c>
    </row>
    <row r="280" spans="1:6" x14ac:dyDescent="0.3">
      <c r="A280">
        <v>2022</v>
      </c>
      <c r="B280">
        <v>9</v>
      </c>
      <c r="C280" s="105" t="s">
        <v>45</v>
      </c>
      <c r="D280" s="105" t="s">
        <v>37</v>
      </c>
      <c r="E280">
        <v>237</v>
      </c>
      <c r="F280">
        <v>149769.34</v>
      </c>
    </row>
    <row r="281" spans="1:6" x14ac:dyDescent="0.3">
      <c r="A281">
        <v>2022</v>
      </c>
      <c r="B281">
        <v>10</v>
      </c>
      <c r="C281" s="105" t="s">
        <v>46</v>
      </c>
      <c r="D281" s="105" t="s">
        <v>7</v>
      </c>
      <c r="E281">
        <v>267</v>
      </c>
      <c r="F281">
        <v>201852.22</v>
      </c>
    </row>
    <row r="282" spans="1:6" x14ac:dyDescent="0.3">
      <c r="A282">
        <v>2022</v>
      </c>
      <c r="B282">
        <v>10</v>
      </c>
      <c r="C282" s="105" t="s">
        <v>46</v>
      </c>
      <c r="D282" s="105" t="s">
        <v>8</v>
      </c>
      <c r="E282">
        <v>302</v>
      </c>
      <c r="F282">
        <v>150473.59</v>
      </c>
    </row>
    <row r="283" spans="1:6" x14ac:dyDescent="0.3">
      <c r="A283">
        <v>2022</v>
      </c>
      <c r="B283">
        <v>10</v>
      </c>
      <c r="C283" s="105" t="s">
        <v>46</v>
      </c>
      <c r="D283" s="105" t="s">
        <v>9</v>
      </c>
      <c r="E283">
        <v>40</v>
      </c>
      <c r="F283">
        <v>22648.18</v>
      </c>
    </row>
    <row r="284" spans="1:6" x14ac:dyDescent="0.3">
      <c r="A284">
        <v>2022</v>
      </c>
      <c r="B284">
        <v>10</v>
      </c>
      <c r="C284" s="105" t="s">
        <v>46</v>
      </c>
      <c r="D284" s="105" t="s">
        <v>10</v>
      </c>
      <c r="E284">
        <v>414</v>
      </c>
      <c r="F284">
        <v>274884.82</v>
      </c>
    </row>
    <row r="285" spans="1:6" x14ac:dyDescent="0.3">
      <c r="A285">
        <v>2022</v>
      </c>
      <c r="B285">
        <v>10</v>
      </c>
      <c r="C285" s="105" t="s">
        <v>46</v>
      </c>
      <c r="D285" s="105" t="s">
        <v>11</v>
      </c>
      <c r="E285">
        <v>214</v>
      </c>
      <c r="F285">
        <v>130442.79</v>
      </c>
    </row>
    <row r="286" spans="1:6" x14ac:dyDescent="0.3">
      <c r="A286">
        <v>2022</v>
      </c>
      <c r="B286">
        <v>10</v>
      </c>
      <c r="C286" s="105" t="s">
        <v>46</v>
      </c>
      <c r="D286" s="105" t="s">
        <v>12</v>
      </c>
      <c r="E286">
        <v>154</v>
      </c>
      <c r="F286">
        <v>92568.06</v>
      </c>
    </row>
    <row r="287" spans="1:6" x14ac:dyDescent="0.3">
      <c r="A287">
        <v>2022</v>
      </c>
      <c r="B287">
        <v>10</v>
      </c>
      <c r="C287" s="105" t="s">
        <v>46</v>
      </c>
      <c r="D287" s="105" t="s">
        <v>13</v>
      </c>
      <c r="E287">
        <v>225</v>
      </c>
      <c r="F287">
        <v>116877.18</v>
      </c>
    </row>
    <row r="288" spans="1:6" x14ac:dyDescent="0.3">
      <c r="A288">
        <v>2022</v>
      </c>
      <c r="B288">
        <v>10</v>
      </c>
      <c r="C288" s="105" t="s">
        <v>46</v>
      </c>
      <c r="D288" s="105" t="s">
        <v>14</v>
      </c>
      <c r="E288">
        <v>252</v>
      </c>
      <c r="F288">
        <v>149331.26999999999</v>
      </c>
    </row>
    <row r="289" spans="1:6" x14ac:dyDescent="0.3">
      <c r="A289">
        <v>2022</v>
      </c>
      <c r="B289">
        <v>10</v>
      </c>
      <c r="C289" s="105" t="s">
        <v>46</v>
      </c>
      <c r="D289" s="105" t="s">
        <v>15</v>
      </c>
      <c r="E289">
        <v>109</v>
      </c>
      <c r="F289">
        <v>59798.53</v>
      </c>
    </row>
    <row r="290" spans="1:6" x14ac:dyDescent="0.3">
      <c r="A290">
        <v>2022</v>
      </c>
      <c r="B290">
        <v>10</v>
      </c>
      <c r="C290" s="105" t="s">
        <v>46</v>
      </c>
      <c r="D290" s="105" t="s">
        <v>16</v>
      </c>
      <c r="E290">
        <v>113</v>
      </c>
      <c r="F290">
        <v>85133.26</v>
      </c>
    </row>
    <row r="291" spans="1:6" x14ac:dyDescent="0.3">
      <c r="A291">
        <v>2022</v>
      </c>
      <c r="B291">
        <v>10</v>
      </c>
      <c r="C291" s="105" t="s">
        <v>46</v>
      </c>
      <c r="D291" s="105" t="s">
        <v>17</v>
      </c>
      <c r="E291">
        <v>249</v>
      </c>
      <c r="F291">
        <v>189577.71</v>
      </c>
    </row>
    <row r="292" spans="1:6" x14ac:dyDescent="0.3">
      <c r="A292">
        <v>2022</v>
      </c>
      <c r="B292">
        <v>10</v>
      </c>
      <c r="C292" s="105" t="s">
        <v>46</v>
      </c>
      <c r="D292" s="105" t="s">
        <v>18</v>
      </c>
      <c r="E292">
        <v>380</v>
      </c>
      <c r="F292">
        <v>275770.31</v>
      </c>
    </row>
    <row r="293" spans="1:6" x14ac:dyDescent="0.3">
      <c r="A293">
        <v>2022</v>
      </c>
      <c r="B293">
        <v>10</v>
      </c>
      <c r="C293" s="105" t="s">
        <v>46</v>
      </c>
      <c r="D293" s="105" t="s">
        <v>19</v>
      </c>
      <c r="E293">
        <v>156</v>
      </c>
      <c r="F293">
        <v>74480.03</v>
      </c>
    </row>
    <row r="294" spans="1:6" x14ac:dyDescent="0.3">
      <c r="A294">
        <v>2022</v>
      </c>
      <c r="B294">
        <v>10</v>
      </c>
      <c r="C294" s="105" t="s">
        <v>46</v>
      </c>
      <c r="D294" s="105" t="s">
        <v>20</v>
      </c>
      <c r="E294">
        <v>239</v>
      </c>
      <c r="F294">
        <v>147622.64000000001</v>
      </c>
    </row>
    <row r="295" spans="1:6" x14ac:dyDescent="0.3">
      <c r="A295">
        <v>2022</v>
      </c>
      <c r="B295">
        <v>10</v>
      </c>
      <c r="C295" s="105" t="s">
        <v>46</v>
      </c>
      <c r="D295" s="105" t="s">
        <v>21</v>
      </c>
      <c r="E295">
        <v>348</v>
      </c>
      <c r="F295">
        <v>262581.44</v>
      </c>
    </row>
    <row r="296" spans="1:6" x14ac:dyDescent="0.3">
      <c r="A296">
        <v>2022</v>
      </c>
      <c r="B296">
        <v>10</v>
      </c>
      <c r="C296" s="105" t="s">
        <v>46</v>
      </c>
      <c r="D296" s="105" t="s">
        <v>22</v>
      </c>
      <c r="E296">
        <v>86</v>
      </c>
      <c r="F296">
        <v>48310.38</v>
      </c>
    </row>
    <row r="297" spans="1:6" x14ac:dyDescent="0.3">
      <c r="A297">
        <v>2022</v>
      </c>
      <c r="B297">
        <v>10</v>
      </c>
      <c r="C297" s="105" t="s">
        <v>46</v>
      </c>
      <c r="D297" s="105" t="s">
        <v>23</v>
      </c>
      <c r="E297">
        <v>145</v>
      </c>
      <c r="F297">
        <v>112850.9</v>
      </c>
    </row>
    <row r="298" spans="1:6" x14ac:dyDescent="0.3">
      <c r="A298">
        <v>2022</v>
      </c>
      <c r="B298">
        <v>10</v>
      </c>
      <c r="C298" s="105" t="s">
        <v>46</v>
      </c>
      <c r="D298" s="105" t="s">
        <v>24</v>
      </c>
      <c r="E298">
        <v>232</v>
      </c>
      <c r="F298">
        <v>133701.94</v>
      </c>
    </row>
    <row r="299" spans="1:6" x14ac:dyDescent="0.3">
      <c r="A299">
        <v>2022</v>
      </c>
      <c r="B299">
        <v>10</v>
      </c>
      <c r="C299" s="105" t="s">
        <v>46</v>
      </c>
      <c r="D299" s="105" t="s">
        <v>25</v>
      </c>
      <c r="E299">
        <v>303</v>
      </c>
      <c r="F299">
        <v>188027.81</v>
      </c>
    </row>
    <row r="300" spans="1:6" x14ac:dyDescent="0.3">
      <c r="A300">
        <v>2022</v>
      </c>
      <c r="B300">
        <v>10</v>
      </c>
      <c r="C300" s="105" t="s">
        <v>46</v>
      </c>
      <c r="D300" s="105" t="s">
        <v>26</v>
      </c>
      <c r="E300">
        <v>208</v>
      </c>
      <c r="F300">
        <v>137388.49</v>
      </c>
    </row>
    <row r="301" spans="1:6" x14ac:dyDescent="0.3">
      <c r="A301">
        <v>2022</v>
      </c>
      <c r="B301">
        <v>10</v>
      </c>
      <c r="C301" s="105" t="s">
        <v>46</v>
      </c>
      <c r="D301" s="105" t="s">
        <v>27</v>
      </c>
      <c r="E301">
        <v>247</v>
      </c>
      <c r="F301">
        <v>156840.69</v>
      </c>
    </row>
    <row r="302" spans="1:6" x14ac:dyDescent="0.3">
      <c r="A302">
        <v>2022</v>
      </c>
      <c r="B302">
        <v>10</v>
      </c>
      <c r="C302" s="105" t="s">
        <v>46</v>
      </c>
      <c r="D302" s="105" t="s">
        <v>28</v>
      </c>
      <c r="E302">
        <v>102</v>
      </c>
      <c r="F302">
        <v>57046.73</v>
      </c>
    </row>
    <row r="303" spans="1:6" x14ac:dyDescent="0.3">
      <c r="A303">
        <v>2022</v>
      </c>
      <c r="B303">
        <v>10</v>
      </c>
      <c r="C303" s="105" t="s">
        <v>46</v>
      </c>
      <c r="D303" s="105" t="s">
        <v>29</v>
      </c>
      <c r="E303">
        <v>222</v>
      </c>
      <c r="F303">
        <v>143566.07999999999</v>
      </c>
    </row>
    <row r="304" spans="1:6" x14ac:dyDescent="0.3">
      <c r="A304">
        <v>2022</v>
      </c>
      <c r="B304">
        <v>10</v>
      </c>
      <c r="C304" s="105" t="s">
        <v>46</v>
      </c>
      <c r="D304" s="105" t="s">
        <v>30</v>
      </c>
      <c r="E304">
        <v>139</v>
      </c>
      <c r="F304">
        <v>74427.78</v>
      </c>
    </row>
    <row r="305" spans="1:6" x14ac:dyDescent="0.3">
      <c r="A305">
        <v>2022</v>
      </c>
      <c r="B305">
        <v>10</v>
      </c>
      <c r="C305" s="105" t="s">
        <v>46</v>
      </c>
      <c r="D305" s="105" t="s">
        <v>31</v>
      </c>
      <c r="E305">
        <v>976</v>
      </c>
      <c r="F305">
        <v>626225.63</v>
      </c>
    </row>
    <row r="306" spans="1:6" x14ac:dyDescent="0.3">
      <c r="A306">
        <v>2022</v>
      </c>
      <c r="B306">
        <v>10</v>
      </c>
      <c r="C306" s="105" t="s">
        <v>46</v>
      </c>
      <c r="D306" s="105" t="s">
        <v>32</v>
      </c>
      <c r="E306">
        <v>78</v>
      </c>
      <c r="F306">
        <v>57427.34</v>
      </c>
    </row>
    <row r="307" spans="1:6" x14ac:dyDescent="0.3">
      <c r="A307">
        <v>2022</v>
      </c>
      <c r="B307">
        <v>10</v>
      </c>
      <c r="C307" s="105" t="s">
        <v>46</v>
      </c>
      <c r="D307" s="105" t="s">
        <v>33</v>
      </c>
      <c r="E307">
        <v>260</v>
      </c>
      <c r="F307">
        <v>202554.76</v>
      </c>
    </row>
    <row r="308" spans="1:6" x14ac:dyDescent="0.3">
      <c r="A308">
        <v>2022</v>
      </c>
      <c r="B308">
        <v>10</v>
      </c>
      <c r="C308" s="105" t="s">
        <v>46</v>
      </c>
      <c r="D308" s="105" t="s">
        <v>34</v>
      </c>
      <c r="E308">
        <v>289</v>
      </c>
      <c r="F308">
        <v>169785.61</v>
      </c>
    </row>
    <row r="309" spans="1:6" x14ac:dyDescent="0.3">
      <c r="A309">
        <v>2022</v>
      </c>
      <c r="B309">
        <v>10</v>
      </c>
      <c r="C309" s="105" t="s">
        <v>46</v>
      </c>
      <c r="D309" s="105" t="s">
        <v>35</v>
      </c>
      <c r="E309">
        <v>151</v>
      </c>
      <c r="F309">
        <v>86361.2</v>
      </c>
    </row>
    <row r="310" spans="1:6" x14ac:dyDescent="0.3">
      <c r="A310">
        <v>2022</v>
      </c>
      <c r="B310">
        <v>10</v>
      </c>
      <c r="C310" s="105" t="s">
        <v>46</v>
      </c>
      <c r="D310" s="105" t="s">
        <v>36</v>
      </c>
      <c r="E310">
        <v>232</v>
      </c>
      <c r="F310">
        <v>150158.76</v>
      </c>
    </row>
    <row r="311" spans="1:6" x14ac:dyDescent="0.3">
      <c r="A311">
        <v>2022</v>
      </c>
      <c r="B311">
        <v>10</v>
      </c>
      <c r="C311" s="105" t="s">
        <v>46</v>
      </c>
      <c r="D311" s="105" t="s">
        <v>37</v>
      </c>
      <c r="E311">
        <v>194</v>
      </c>
      <c r="F311">
        <v>137902.34</v>
      </c>
    </row>
    <row r="312" spans="1:6" x14ac:dyDescent="0.3">
      <c r="A312">
        <v>2022</v>
      </c>
      <c r="B312">
        <v>11</v>
      </c>
      <c r="C312" s="105" t="s">
        <v>47</v>
      </c>
      <c r="D312" s="105" t="s">
        <v>7</v>
      </c>
      <c r="E312">
        <v>133</v>
      </c>
      <c r="F312">
        <v>113995.35</v>
      </c>
    </row>
    <row r="313" spans="1:6" x14ac:dyDescent="0.3">
      <c r="A313">
        <v>2022</v>
      </c>
      <c r="B313">
        <v>11</v>
      </c>
      <c r="C313" s="105" t="s">
        <v>47</v>
      </c>
      <c r="D313" s="105" t="s">
        <v>8</v>
      </c>
      <c r="E313">
        <v>258</v>
      </c>
      <c r="F313">
        <v>131503.19</v>
      </c>
    </row>
    <row r="314" spans="1:6" x14ac:dyDescent="0.3">
      <c r="A314">
        <v>2022</v>
      </c>
      <c r="B314">
        <v>11</v>
      </c>
      <c r="C314" s="105" t="s">
        <v>47</v>
      </c>
      <c r="D314" s="105" t="s">
        <v>9</v>
      </c>
      <c r="E314">
        <v>24</v>
      </c>
      <c r="F314">
        <v>27710.3</v>
      </c>
    </row>
    <row r="315" spans="1:6" x14ac:dyDescent="0.3">
      <c r="A315">
        <v>2022</v>
      </c>
      <c r="B315">
        <v>11</v>
      </c>
      <c r="C315" s="105" t="s">
        <v>47</v>
      </c>
      <c r="D315" s="105" t="s">
        <v>10</v>
      </c>
      <c r="E315">
        <v>442</v>
      </c>
      <c r="F315">
        <v>244518.79</v>
      </c>
    </row>
    <row r="316" spans="1:6" x14ac:dyDescent="0.3">
      <c r="A316">
        <v>2022</v>
      </c>
      <c r="B316">
        <v>11</v>
      </c>
      <c r="C316" s="105" t="s">
        <v>47</v>
      </c>
      <c r="D316" s="105" t="s">
        <v>11</v>
      </c>
      <c r="E316">
        <v>154</v>
      </c>
      <c r="F316">
        <v>104067.31</v>
      </c>
    </row>
    <row r="317" spans="1:6" x14ac:dyDescent="0.3">
      <c r="A317">
        <v>2022</v>
      </c>
      <c r="B317">
        <v>11</v>
      </c>
      <c r="C317" s="105" t="s">
        <v>47</v>
      </c>
      <c r="D317" s="105" t="s">
        <v>12</v>
      </c>
      <c r="E317">
        <v>116</v>
      </c>
      <c r="F317">
        <v>73623.69</v>
      </c>
    </row>
    <row r="318" spans="1:6" x14ac:dyDescent="0.3">
      <c r="A318">
        <v>2022</v>
      </c>
      <c r="B318">
        <v>11</v>
      </c>
      <c r="C318" s="105" t="s">
        <v>47</v>
      </c>
      <c r="D318" s="105" t="s">
        <v>13</v>
      </c>
      <c r="E318">
        <v>130</v>
      </c>
      <c r="F318">
        <v>82245.53</v>
      </c>
    </row>
    <row r="319" spans="1:6" x14ac:dyDescent="0.3">
      <c r="A319">
        <v>2022</v>
      </c>
      <c r="B319">
        <v>11</v>
      </c>
      <c r="C319" s="105" t="s">
        <v>47</v>
      </c>
      <c r="D319" s="105" t="s">
        <v>14</v>
      </c>
      <c r="E319">
        <v>206</v>
      </c>
      <c r="F319">
        <v>115550.32</v>
      </c>
    </row>
    <row r="320" spans="1:6" x14ac:dyDescent="0.3">
      <c r="A320">
        <v>2022</v>
      </c>
      <c r="B320">
        <v>11</v>
      </c>
      <c r="C320" s="105" t="s">
        <v>47</v>
      </c>
      <c r="D320" s="105" t="s">
        <v>15</v>
      </c>
      <c r="E320">
        <v>124</v>
      </c>
      <c r="F320">
        <v>50623.040000000001</v>
      </c>
    </row>
    <row r="321" spans="1:6" x14ac:dyDescent="0.3">
      <c r="A321">
        <v>2022</v>
      </c>
      <c r="B321">
        <v>11</v>
      </c>
      <c r="C321" s="105" t="s">
        <v>47</v>
      </c>
      <c r="D321" s="105" t="s">
        <v>16</v>
      </c>
      <c r="E321">
        <v>75</v>
      </c>
      <c r="F321">
        <v>47955.82</v>
      </c>
    </row>
    <row r="322" spans="1:6" x14ac:dyDescent="0.3">
      <c r="A322">
        <v>2022</v>
      </c>
      <c r="B322">
        <v>11</v>
      </c>
      <c r="C322" s="105" t="s">
        <v>47</v>
      </c>
      <c r="D322" s="105" t="s">
        <v>17</v>
      </c>
      <c r="E322">
        <v>291</v>
      </c>
      <c r="F322">
        <v>190424.94</v>
      </c>
    </row>
    <row r="323" spans="1:6" x14ac:dyDescent="0.3">
      <c r="A323">
        <v>2022</v>
      </c>
      <c r="B323">
        <v>11</v>
      </c>
      <c r="C323" s="105" t="s">
        <v>47</v>
      </c>
      <c r="D323" s="105" t="s">
        <v>18</v>
      </c>
      <c r="E323">
        <v>307</v>
      </c>
      <c r="F323">
        <v>231108.72</v>
      </c>
    </row>
    <row r="324" spans="1:6" x14ac:dyDescent="0.3">
      <c r="A324">
        <v>2022</v>
      </c>
      <c r="B324">
        <v>11</v>
      </c>
      <c r="C324" s="105" t="s">
        <v>47</v>
      </c>
      <c r="D324" s="105" t="s">
        <v>19</v>
      </c>
      <c r="E324">
        <v>126</v>
      </c>
      <c r="F324">
        <v>67426.740000000005</v>
      </c>
    </row>
    <row r="325" spans="1:6" x14ac:dyDescent="0.3">
      <c r="A325">
        <v>2022</v>
      </c>
      <c r="B325">
        <v>11</v>
      </c>
      <c r="C325" s="105" t="s">
        <v>47</v>
      </c>
      <c r="D325" s="105" t="s">
        <v>20</v>
      </c>
      <c r="E325">
        <v>157</v>
      </c>
      <c r="F325">
        <v>95774.71</v>
      </c>
    </row>
    <row r="326" spans="1:6" x14ac:dyDescent="0.3">
      <c r="A326">
        <v>2022</v>
      </c>
      <c r="B326">
        <v>11</v>
      </c>
      <c r="C326" s="105" t="s">
        <v>47</v>
      </c>
      <c r="D326" s="105" t="s">
        <v>21</v>
      </c>
      <c r="E326">
        <v>318</v>
      </c>
      <c r="F326">
        <v>241916.33</v>
      </c>
    </row>
    <row r="327" spans="1:6" x14ac:dyDescent="0.3">
      <c r="A327">
        <v>2022</v>
      </c>
      <c r="B327">
        <v>11</v>
      </c>
      <c r="C327" s="105" t="s">
        <v>47</v>
      </c>
      <c r="D327" s="105" t="s">
        <v>22</v>
      </c>
      <c r="E327">
        <v>84</v>
      </c>
      <c r="F327">
        <v>50023.1</v>
      </c>
    </row>
    <row r="328" spans="1:6" x14ac:dyDescent="0.3">
      <c r="A328">
        <v>2022</v>
      </c>
      <c r="B328">
        <v>11</v>
      </c>
      <c r="C328" s="105" t="s">
        <v>47</v>
      </c>
      <c r="D328" s="105" t="s">
        <v>23</v>
      </c>
      <c r="E328">
        <v>113</v>
      </c>
      <c r="F328">
        <v>93296.8</v>
      </c>
    </row>
    <row r="329" spans="1:6" x14ac:dyDescent="0.3">
      <c r="A329">
        <v>2022</v>
      </c>
      <c r="B329">
        <v>11</v>
      </c>
      <c r="C329" s="105" t="s">
        <v>47</v>
      </c>
      <c r="D329" s="105" t="s">
        <v>24</v>
      </c>
      <c r="E329">
        <v>210</v>
      </c>
      <c r="F329">
        <v>114130.85</v>
      </c>
    </row>
    <row r="330" spans="1:6" x14ac:dyDescent="0.3">
      <c r="A330">
        <v>2022</v>
      </c>
      <c r="B330">
        <v>11</v>
      </c>
      <c r="C330" s="105" t="s">
        <v>47</v>
      </c>
      <c r="D330" s="105" t="s">
        <v>25</v>
      </c>
      <c r="E330">
        <v>221</v>
      </c>
      <c r="F330">
        <v>159542.35</v>
      </c>
    </row>
    <row r="331" spans="1:6" x14ac:dyDescent="0.3">
      <c r="A331">
        <v>2022</v>
      </c>
      <c r="B331">
        <v>11</v>
      </c>
      <c r="C331" s="105" t="s">
        <v>47</v>
      </c>
      <c r="D331" s="105" t="s">
        <v>26</v>
      </c>
      <c r="E331">
        <v>111</v>
      </c>
      <c r="F331">
        <v>74834.509999999995</v>
      </c>
    </row>
    <row r="332" spans="1:6" x14ac:dyDescent="0.3">
      <c r="A332">
        <v>2022</v>
      </c>
      <c r="B332">
        <v>11</v>
      </c>
      <c r="C332" s="105" t="s">
        <v>47</v>
      </c>
      <c r="D332" s="105" t="s">
        <v>27</v>
      </c>
      <c r="E332">
        <v>182</v>
      </c>
      <c r="F332">
        <v>118160.15</v>
      </c>
    </row>
    <row r="333" spans="1:6" x14ac:dyDescent="0.3">
      <c r="A333">
        <v>2022</v>
      </c>
      <c r="B333">
        <v>11</v>
      </c>
      <c r="C333" s="105" t="s">
        <v>47</v>
      </c>
      <c r="D333" s="105" t="s">
        <v>28</v>
      </c>
      <c r="E333">
        <v>90</v>
      </c>
      <c r="F333">
        <v>48452.32</v>
      </c>
    </row>
    <row r="334" spans="1:6" x14ac:dyDescent="0.3">
      <c r="A334">
        <v>2022</v>
      </c>
      <c r="B334">
        <v>11</v>
      </c>
      <c r="C334" s="105" t="s">
        <v>47</v>
      </c>
      <c r="D334" s="105" t="s">
        <v>29</v>
      </c>
      <c r="E334">
        <v>175</v>
      </c>
      <c r="F334">
        <v>118397.64</v>
      </c>
    </row>
    <row r="335" spans="1:6" x14ac:dyDescent="0.3">
      <c r="A335">
        <v>2022</v>
      </c>
      <c r="B335">
        <v>11</v>
      </c>
      <c r="C335" s="105" t="s">
        <v>47</v>
      </c>
      <c r="D335" s="105" t="s">
        <v>30</v>
      </c>
      <c r="E335">
        <v>127</v>
      </c>
      <c r="F335">
        <v>57288.74</v>
      </c>
    </row>
    <row r="336" spans="1:6" x14ac:dyDescent="0.3">
      <c r="A336">
        <v>2022</v>
      </c>
      <c r="B336">
        <v>11</v>
      </c>
      <c r="C336" s="105" t="s">
        <v>47</v>
      </c>
      <c r="D336" s="105" t="s">
        <v>31</v>
      </c>
      <c r="E336">
        <v>578</v>
      </c>
      <c r="F336">
        <v>315851.33</v>
      </c>
    </row>
    <row r="337" spans="1:6" x14ac:dyDescent="0.3">
      <c r="A337">
        <v>2022</v>
      </c>
      <c r="B337">
        <v>11</v>
      </c>
      <c r="C337" s="105" t="s">
        <v>47</v>
      </c>
      <c r="D337" s="105" t="s">
        <v>32</v>
      </c>
      <c r="E337">
        <v>81</v>
      </c>
      <c r="F337">
        <v>55206.6</v>
      </c>
    </row>
    <row r="338" spans="1:6" x14ac:dyDescent="0.3">
      <c r="A338">
        <v>2022</v>
      </c>
      <c r="B338">
        <v>11</v>
      </c>
      <c r="C338" s="105" t="s">
        <v>47</v>
      </c>
      <c r="D338" s="105" t="s">
        <v>33</v>
      </c>
      <c r="E338">
        <v>1045</v>
      </c>
      <c r="F338">
        <v>451269.69</v>
      </c>
    </row>
    <row r="339" spans="1:6" x14ac:dyDescent="0.3">
      <c r="A339">
        <v>2022</v>
      </c>
      <c r="B339">
        <v>11</v>
      </c>
      <c r="C339" s="105" t="s">
        <v>47</v>
      </c>
      <c r="D339" s="105" t="s">
        <v>34</v>
      </c>
      <c r="E339">
        <v>166</v>
      </c>
      <c r="F339">
        <v>122173.46</v>
      </c>
    </row>
    <row r="340" spans="1:6" x14ac:dyDescent="0.3">
      <c r="A340">
        <v>2022</v>
      </c>
      <c r="B340">
        <v>11</v>
      </c>
      <c r="C340" s="105" t="s">
        <v>47</v>
      </c>
      <c r="D340" s="105" t="s">
        <v>35</v>
      </c>
      <c r="E340">
        <v>103</v>
      </c>
      <c r="F340">
        <v>71244.17</v>
      </c>
    </row>
    <row r="341" spans="1:6" x14ac:dyDescent="0.3">
      <c r="A341">
        <v>2022</v>
      </c>
      <c r="B341">
        <v>11</v>
      </c>
      <c r="C341" s="105" t="s">
        <v>47</v>
      </c>
      <c r="D341" s="105" t="s">
        <v>36</v>
      </c>
      <c r="E341">
        <v>197</v>
      </c>
      <c r="F341">
        <v>118714.91</v>
      </c>
    </row>
    <row r="342" spans="1:6" x14ac:dyDescent="0.3">
      <c r="A342">
        <v>2022</v>
      </c>
      <c r="B342">
        <v>11</v>
      </c>
      <c r="C342" s="105" t="s">
        <v>47</v>
      </c>
      <c r="D342" s="105" t="s">
        <v>37</v>
      </c>
      <c r="E342">
        <v>142</v>
      </c>
      <c r="F342">
        <v>115185.84</v>
      </c>
    </row>
    <row r="343" spans="1:6" x14ac:dyDescent="0.3">
      <c r="A343">
        <v>2022</v>
      </c>
      <c r="B343">
        <v>12</v>
      </c>
      <c r="C343" s="105" t="s">
        <v>48</v>
      </c>
      <c r="D343" s="105" t="s">
        <v>7</v>
      </c>
      <c r="E343">
        <v>232</v>
      </c>
      <c r="F343">
        <v>134580.71</v>
      </c>
    </row>
    <row r="344" spans="1:6" x14ac:dyDescent="0.3">
      <c r="A344">
        <v>2022</v>
      </c>
      <c r="B344">
        <v>12</v>
      </c>
      <c r="C344" s="105" t="s">
        <v>48</v>
      </c>
      <c r="D344" s="105" t="s">
        <v>8</v>
      </c>
      <c r="E344">
        <v>268</v>
      </c>
      <c r="F344">
        <v>147077.07</v>
      </c>
    </row>
    <row r="345" spans="1:6" x14ac:dyDescent="0.3">
      <c r="A345">
        <v>2022</v>
      </c>
      <c r="B345">
        <v>12</v>
      </c>
      <c r="C345" s="105" t="s">
        <v>48</v>
      </c>
      <c r="D345" s="105" t="s">
        <v>9</v>
      </c>
      <c r="E345">
        <v>36</v>
      </c>
      <c r="F345">
        <v>25515.759999999998</v>
      </c>
    </row>
    <row r="346" spans="1:6" x14ac:dyDescent="0.3">
      <c r="A346">
        <v>2022</v>
      </c>
      <c r="B346">
        <v>12</v>
      </c>
      <c r="C346" s="105" t="s">
        <v>48</v>
      </c>
      <c r="D346" s="105" t="s">
        <v>10</v>
      </c>
      <c r="E346">
        <v>157</v>
      </c>
      <c r="F346">
        <v>134320.35</v>
      </c>
    </row>
    <row r="347" spans="1:6" x14ac:dyDescent="0.3">
      <c r="A347">
        <v>2022</v>
      </c>
      <c r="B347">
        <v>12</v>
      </c>
      <c r="C347" s="105" t="s">
        <v>48</v>
      </c>
      <c r="D347" s="105" t="s">
        <v>11</v>
      </c>
      <c r="E347">
        <v>127</v>
      </c>
      <c r="F347">
        <v>90020.77</v>
      </c>
    </row>
    <row r="348" spans="1:6" x14ac:dyDescent="0.3">
      <c r="A348">
        <v>2022</v>
      </c>
      <c r="B348">
        <v>12</v>
      </c>
      <c r="C348" s="105" t="s">
        <v>48</v>
      </c>
      <c r="D348" s="105" t="s">
        <v>12</v>
      </c>
      <c r="E348">
        <v>102</v>
      </c>
      <c r="F348">
        <v>68304.639999999999</v>
      </c>
    </row>
    <row r="349" spans="1:6" x14ac:dyDescent="0.3">
      <c r="A349">
        <v>2022</v>
      </c>
      <c r="B349">
        <v>12</v>
      </c>
      <c r="C349" s="105" t="s">
        <v>48</v>
      </c>
      <c r="D349" s="105" t="s">
        <v>13</v>
      </c>
      <c r="E349">
        <v>167</v>
      </c>
      <c r="F349">
        <v>111620.43</v>
      </c>
    </row>
    <row r="350" spans="1:6" x14ac:dyDescent="0.3">
      <c r="A350">
        <v>2022</v>
      </c>
      <c r="B350">
        <v>12</v>
      </c>
      <c r="C350" s="105" t="s">
        <v>48</v>
      </c>
      <c r="D350" s="105" t="s">
        <v>14</v>
      </c>
      <c r="E350">
        <v>236</v>
      </c>
      <c r="F350">
        <v>123251.84</v>
      </c>
    </row>
    <row r="351" spans="1:6" x14ac:dyDescent="0.3">
      <c r="A351">
        <v>2022</v>
      </c>
      <c r="B351">
        <v>12</v>
      </c>
      <c r="C351" s="105" t="s">
        <v>48</v>
      </c>
      <c r="D351" s="105" t="s">
        <v>15</v>
      </c>
      <c r="E351">
        <v>93</v>
      </c>
      <c r="F351">
        <v>47384.39</v>
      </c>
    </row>
    <row r="352" spans="1:6" x14ac:dyDescent="0.3">
      <c r="A352">
        <v>2022</v>
      </c>
      <c r="B352">
        <v>12</v>
      </c>
      <c r="C352" s="105" t="s">
        <v>48</v>
      </c>
      <c r="D352" s="105" t="s">
        <v>16</v>
      </c>
      <c r="E352">
        <v>77</v>
      </c>
      <c r="F352">
        <v>56918.44</v>
      </c>
    </row>
    <row r="353" spans="1:6" x14ac:dyDescent="0.3">
      <c r="A353">
        <v>2022</v>
      </c>
      <c r="B353">
        <v>12</v>
      </c>
      <c r="C353" s="105" t="s">
        <v>48</v>
      </c>
      <c r="D353" s="105" t="s">
        <v>17</v>
      </c>
      <c r="E353">
        <v>395</v>
      </c>
      <c r="F353">
        <v>224087.71</v>
      </c>
    </row>
    <row r="354" spans="1:6" x14ac:dyDescent="0.3">
      <c r="A354">
        <v>2022</v>
      </c>
      <c r="B354">
        <v>12</v>
      </c>
      <c r="C354" s="105" t="s">
        <v>48</v>
      </c>
      <c r="D354" s="105" t="s">
        <v>18</v>
      </c>
      <c r="E354">
        <v>229</v>
      </c>
      <c r="F354">
        <v>181288.07</v>
      </c>
    </row>
    <row r="355" spans="1:6" x14ac:dyDescent="0.3">
      <c r="A355">
        <v>2022</v>
      </c>
      <c r="B355">
        <v>12</v>
      </c>
      <c r="C355" s="105" t="s">
        <v>48</v>
      </c>
      <c r="D355" s="105" t="s">
        <v>19</v>
      </c>
      <c r="E355">
        <v>118</v>
      </c>
      <c r="F355">
        <v>64223.3</v>
      </c>
    </row>
    <row r="356" spans="1:6" x14ac:dyDescent="0.3">
      <c r="A356">
        <v>2022</v>
      </c>
      <c r="B356">
        <v>12</v>
      </c>
      <c r="C356" s="105" t="s">
        <v>48</v>
      </c>
      <c r="D356" s="105" t="s">
        <v>20</v>
      </c>
      <c r="E356">
        <v>158</v>
      </c>
      <c r="F356">
        <v>100975.32</v>
      </c>
    </row>
    <row r="357" spans="1:6" x14ac:dyDescent="0.3">
      <c r="A357">
        <v>2022</v>
      </c>
      <c r="B357">
        <v>12</v>
      </c>
      <c r="C357" s="105" t="s">
        <v>48</v>
      </c>
      <c r="D357" s="105" t="s">
        <v>21</v>
      </c>
      <c r="E357">
        <v>317</v>
      </c>
      <c r="F357">
        <v>262925.27</v>
      </c>
    </row>
    <row r="358" spans="1:6" x14ac:dyDescent="0.3">
      <c r="A358">
        <v>2022</v>
      </c>
      <c r="B358">
        <v>12</v>
      </c>
      <c r="C358" s="105" t="s">
        <v>48</v>
      </c>
      <c r="D358" s="105" t="s">
        <v>22</v>
      </c>
      <c r="E358">
        <v>102</v>
      </c>
      <c r="F358">
        <v>59482.17</v>
      </c>
    </row>
    <row r="359" spans="1:6" x14ac:dyDescent="0.3">
      <c r="A359">
        <v>2022</v>
      </c>
      <c r="B359">
        <v>12</v>
      </c>
      <c r="C359" s="105" t="s">
        <v>48</v>
      </c>
      <c r="D359" s="105" t="s">
        <v>23</v>
      </c>
      <c r="E359">
        <v>84</v>
      </c>
      <c r="F359">
        <v>65265.21</v>
      </c>
    </row>
    <row r="360" spans="1:6" x14ac:dyDescent="0.3">
      <c r="A360">
        <v>2022</v>
      </c>
      <c r="B360">
        <v>12</v>
      </c>
      <c r="C360" s="105" t="s">
        <v>48</v>
      </c>
      <c r="D360" s="105" t="s">
        <v>24</v>
      </c>
      <c r="E360">
        <v>223</v>
      </c>
      <c r="F360">
        <v>132565.07</v>
      </c>
    </row>
    <row r="361" spans="1:6" x14ac:dyDescent="0.3">
      <c r="A361">
        <v>2022</v>
      </c>
      <c r="B361">
        <v>12</v>
      </c>
      <c r="C361" s="105" t="s">
        <v>48</v>
      </c>
      <c r="D361" s="105" t="s">
        <v>25</v>
      </c>
      <c r="E361">
        <v>170</v>
      </c>
      <c r="F361">
        <v>122321.27</v>
      </c>
    </row>
    <row r="362" spans="1:6" x14ac:dyDescent="0.3">
      <c r="A362">
        <v>2022</v>
      </c>
      <c r="B362">
        <v>12</v>
      </c>
      <c r="C362" s="105" t="s">
        <v>48</v>
      </c>
      <c r="D362" s="105" t="s">
        <v>26</v>
      </c>
      <c r="E362">
        <v>144</v>
      </c>
      <c r="F362">
        <v>86746.18</v>
      </c>
    </row>
    <row r="363" spans="1:6" x14ac:dyDescent="0.3">
      <c r="A363">
        <v>2022</v>
      </c>
      <c r="B363">
        <v>12</v>
      </c>
      <c r="C363" s="105" t="s">
        <v>48</v>
      </c>
      <c r="D363" s="105" t="s">
        <v>27</v>
      </c>
      <c r="E363">
        <v>198</v>
      </c>
      <c r="F363">
        <v>126899.05</v>
      </c>
    </row>
    <row r="364" spans="1:6" x14ac:dyDescent="0.3">
      <c r="A364">
        <v>2022</v>
      </c>
      <c r="B364">
        <v>12</v>
      </c>
      <c r="C364" s="105" t="s">
        <v>48</v>
      </c>
      <c r="D364" s="105" t="s">
        <v>28</v>
      </c>
      <c r="E364">
        <v>102</v>
      </c>
      <c r="F364">
        <v>61020.07</v>
      </c>
    </row>
    <row r="365" spans="1:6" x14ac:dyDescent="0.3">
      <c r="A365">
        <v>2022</v>
      </c>
      <c r="B365">
        <v>12</v>
      </c>
      <c r="C365" s="105" t="s">
        <v>48</v>
      </c>
      <c r="D365" s="105" t="s">
        <v>29</v>
      </c>
      <c r="E365">
        <v>162</v>
      </c>
      <c r="F365">
        <v>116014.55</v>
      </c>
    </row>
    <row r="366" spans="1:6" x14ac:dyDescent="0.3">
      <c r="A366">
        <v>2022</v>
      </c>
      <c r="B366">
        <v>12</v>
      </c>
      <c r="C366" s="105" t="s">
        <v>48</v>
      </c>
      <c r="D366" s="105" t="s">
        <v>30</v>
      </c>
      <c r="E366">
        <v>115</v>
      </c>
      <c r="F366">
        <v>49978.13</v>
      </c>
    </row>
    <row r="367" spans="1:6" x14ac:dyDescent="0.3">
      <c r="A367">
        <v>2022</v>
      </c>
      <c r="B367">
        <v>12</v>
      </c>
      <c r="C367" s="105" t="s">
        <v>48</v>
      </c>
      <c r="D367" s="105" t="s">
        <v>31</v>
      </c>
      <c r="E367">
        <v>233</v>
      </c>
      <c r="F367">
        <v>178712.83</v>
      </c>
    </row>
    <row r="368" spans="1:6" x14ac:dyDescent="0.3">
      <c r="A368">
        <v>2022</v>
      </c>
      <c r="B368">
        <v>12</v>
      </c>
      <c r="C368" s="105" t="s">
        <v>48</v>
      </c>
      <c r="D368" s="105" t="s">
        <v>32</v>
      </c>
      <c r="E368">
        <v>73</v>
      </c>
      <c r="F368">
        <v>44679.91</v>
      </c>
    </row>
    <row r="369" spans="1:6" x14ac:dyDescent="0.3">
      <c r="A369">
        <v>2022</v>
      </c>
      <c r="B369">
        <v>12</v>
      </c>
      <c r="C369" s="105" t="s">
        <v>48</v>
      </c>
      <c r="D369" s="105" t="s">
        <v>33</v>
      </c>
      <c r="E369">
        <v>196</v>
      </c>
      <c r="F369">
        <v>167600.59</v>
      </c>
    </row>
    <row r="370" spans="1:6" x14ac:dyDescent="0.3">
      <c r="A370">
        <v>2022</v>
      </c>
      <c r="B370">
        <v>12</v>
      </c>
      <c r="C370" s="105" t="s">
        <v>48</v>
      </c>
      <c r="D370" s="105" t="s">
        <v>34</v>
      </c>
      <c r="E370">
        <v>187</v>
      </c>
      <c r="F370">
        <v>133738.6</v>
      </c>
    </row>
    <row r="371" spans="1:6" x14ac:dyDescent="0.3">
      <c r="A371">
        <v>2022</v>
      </c>
      <c r="B371">
        <v>12</v>
      </c>
      <c r="C371" s="105" t="s">
        <v>48</v>
      </c>
      <c r="D371" s="105" t="s">
        <v>35</v>
      </c>
      <c r="E371">
        <v>81</v>
      </c>
      <c r="F371">
        <v>61623.43</v>
      </c>
    </row>
    <row r="372" spans="1:6" x14ac:dyDescent="0.3">
      <c r="A372">
        <v>2022</v>
      </c>
      <c r="B372">
        <v>12</v>
      </c>
      <c r="C372" s="105" t="s">
        <v>48</v>
      </c>
      <c r="D372" s="105" t="s">
        <v>36</v>
      </c>
      <c r="E372">
        <v>159</v>
      </c>
      <c r="F372">
        <v>99085.37</v>
      </c>
    </row>
    <row r="373" spans="1:6" x14ac:dyDescent="0.3">
      <c r="A373">
        <v>2022</v>
      </c>
      <c r="B373">
        <v>12</v>
      </c>
      <c r="C373" s="105" t="s">
        <v>48</v>
      </c>
      <c r="D373" s="105" t="s">
        <v>37</v>
      </c>
      <c r="E373">
        <v>159</v>
      </c>
      <c r="F373">
        <v>113241.56</v>
      </c>
    </row>
    <row r="374" spans="1:6" x14ac:dyDescent="0.3">
      <c r="A374">
        <v>2023</v>
      </c>
      <c r="B374">
        <v>1</v>
      </c>
      <c r="C374" s="105" t="s">
        <v>6</v>
      </c>
      <c r="D374" s="105" t="s">
        <v>7</v>
      </c>
      <c r="E374">
        <v>204</v>
      </c>
      <c r="F374">
        <v>161563.26</v>
      </c>
    </row>
    <row r="375" spans="1:6" x14ac:dyDescent="0.3">
      <c r="A375">
        <v>2023</v>
      </c>
      <c r="B375">
        <v>1</v>
      </c>
      <c r="C375" s="105" t="s">
        <v>6</v>
      </c>
      <c r="D375" s="105" t="s">
        <v>8</v>
      </c>
      <c r="E375">
        <v>259</v>
      </c>
      <c r="F375">
        <v>138333.48000000001</v>
      </c>
    </row>
    <row r="376" spans="1:6" x14ac:dyDescent="0.3">
      <c r="A376">
        <v>2023</v>
      </c>
      <c r="B376">
        <v>1</v>
      </c>
      <c r="C376" s="105" t="s">
        <v>6</v>
      </c>
      <c r="D376" s="105" t="s">
        <v>9</v>
      </c>
      <c r="E376">
        <v>65</v>
      </c>
      <c r="F376">
        <v>189303.62</v>
      </c>
    </row>
    <row r="377" spans="1:6" x14ac:dyDescent="0.3">
      <c r="A377">
        <v>2023</v>
      </c>
      <c r="B377">
        <v>1</v>
      </c>
      <c r="C377" s="105" t="s">
        <v>6</v>
      </c>
      <c r="D377" s="105" t="s">
        <v>10</v>
      </c>
      <c r="E377">
        <v>176</v>
      </c>
      <c r="F377">
        <v>149210.49</v>
      </c>
    </row>
    <row r="378" spans="1:6" x14ac:dyDescent="0.3">
      <c r="A378">
        <v>2023</v>
      </c>
      <c r="B378">
        <v>1</v>
      </c>
      <c r="C378" s="105" t="s">
        <v>6</v>
      </c>
      <c r="D378" s="105" t="s">
        <v>11</v>
      </c>
      <c r="E378">
        <v>150</v>
      </c>
      <c r="F378">
        <v>102443.84</v>
      </c>
    </row>
    <row r="379" spans="1:6" x14ac:dyDescent="0.3">
      <c r="A379">
        <v>2023</v>
      </c>
      <c r="B379">
        <v>1</v>
      </c>
      <c r="C379" s="105" t="s">
        <v>6</v>
      </c>
      <c r="D379" s="105" t="s">
        <v>12</v>
      </c>
      <c r="E379">
        <v>140</v>
      </c>
      <c r="F379">
        <v>85387.4</v>
      </c>
    </row>
    <row r="380" spans="1:6" x14ac:dyDescent="0.3">
      <c r="A380">
        <v>2023</v>
      </c>
      <c r="B380">
        <v>1</v>
      </c>
      <c r="C380" s="105" t="s">
        <v>6</v>
      </c>
      <c r="D380" s="105" t="s">
        <v>13</v>
      </c>
      <c r="E380">
        <v>195</v>
      </c>
      <c r="F380">
        <v>131540.9</v>
      </c>
    </row>
    <row r="381" spans="1:6" x14ac:dyDescent="0.3">
      <c r="A381">
        <v>2023</v>
      </c>
      <c r="B381">
        <v>1</v>
      </c>
      <c r="C381" s="105" t="s">
        <v>6</v>
      </c>
      <c r="D381" s="105" t="s">
        <v>14</v>
      </c>
      <c r="E381">
        <v>231</v>
      </c>
      <c r="F381">
        <v>127131.2</v>
      </c>
    </row>
    <row r="382" spans="1:6" x14ac:dyDescent="0.3">
      <c r="A382">
        <v>2023</v>
      </c>
      <c r="B382">
        <v>1</v>
      </c>
      <c r="C382" s="105" t="s">
        <v>6</v>
      </c>
      <c r="D382" s="105" t="s">
        <v>15</v>
      </c>
      <c r="E382">
        <v>85</v>
      </c>
      <c r="F382">
        <v>49238.11</v>
      </c>
    </row>
    <row r="383" spans="1:6" x14ac:dyDescent="0.3">
      <c r="A383">
        <v>2023</v>
      </c>
      <c r="B383">
        <v>1</v>
      </c>
      <c r="C383" s="105" t="s">
        <v>6</v>
      </c>
      <c r="D383" s="105" t="s">
        <v>16</v>
      </c>
      <c r="E383">
        <v>93</v>
      </c>
      <c r="F383">
        <v>70451.98</v>
      </c>
    </row>
    <row r="384" spans="1:6" x14ac:dyDescent="0.3">
      <c r="A384">
        <v>2023</v>
      </c>
      <c r="B384">
        <v>1</v>
      </c>
      <c r="C384" s="105" t="s">
        <v>6</v>
      </c>
      <c r="D384" s="105" t="s">
        <v>17</v>
      </c>
      <c r="E384">
        <v>212</v>
      </c>
      <c r="F384">
        <v>172277.91</v>
      </c>
    </row>
    <row r="385" spans="1:6" x14ac:dyDescent="0.3">
      <c r="A385">
        <v>2023</v>
      </c>
      <c r="B385">
        <v>1</v>
      </c>
      <c r="C385" s="105" t="s">
        <v>6</v>
      </c>
      <c r="D385" s="105" t="s">
        <v>18</v>
      </c>
      <c r="E385">
        <v>330</v>
      </c>
      <c r="F385">
        <v>251417.05</v>
      </c>
    </row>
    <row r="386" spans="1:6" x14ac:dyDescent="0.3">
      <c r="A386">
        <v>2023</v>
      </c>
      <c r="B386">
        <v>1</v>
      </c>
      <c r="C386" s="105" t="s">
        <v>6</v>
      </c>
      <c r="D386" s="105" t="s">
        <v>19</v>
      </c>
      <c r="E386">
        <v>132</v>
      </c>
      <c r="F386">
        <v>71031.05</v>
      </c>
    </row>
    <row r="387" spans="1:6" x14ac:dyDescent="0.3">
      <c r="A387">
        <v>2023</v>
      </c>
      <c r="B387">
        <v>1</v>
      </c>
      <c r="C387" s="105" t="s">
        <v>6</v>
      </c>
      <c r="D387" s="105" t="s">
        <v>20</v>
      </c>
      <c r="E387">
        <v>213</v>
      </c>
      <c r="F387">
        <v>126431.11</v>
      </c>
    </row>
    <row r="388" spans="1:6" x14ac:dyDescent="0.3">
      <c r="A388">
        <v>2023</v>
      </c>
      <c r="B388">
        <v>1</v>
      </c>
      <c r="C388" s="105" t="s">
        <v>6</v>
      </c>
      <c r="D388" s="105" t="s">
        <v>21</v>
      </c>
      <c r="E388">
        <v>350</v>
      </c>
      <c r="F388">
        <v>280670.11</v>
      </c>
    </row>
    <row r="389" spans="1:6" x14ac:dyDescent="0.3">
      <c r="A389">
        <v>2023</v>
      </c>
      <c r="B389">
        <v>1</v>
      </c>
      <c r="C389" s="105" t="s">
        <v>6</v>
      </c>
      <c r="D389" s="105" t="s">
        <v>22</v>
      </c>
      <c r="E389">
        <v>90</v>
      </c>
      <c r="F389">
        <v>56431.93</v>
      </c>
    </row>
    <row r="390" spans="1:6" x14ac:dyDescent="0.3">
      <c r="A390">
        <v>2023</v>
      </c>
      <c r="B390">
        <v>1</v>
      </c>
      <c r="C390" s="105" t="s">
        <v>6</v>
      </c>
      <c r="D390" s="105" t="s">
        <v>23</v>
      </c>
      <c r="E390">
        <v>106</v>
      </c>
      <c r="F390">
        <v>83768.98</v>
      </c>
    </row>
    <row r="391" spans="1:6" x14ac:dyDescent="0.3">
      <c r="A391">
        <v>2023</v>
      </c>
      <c r="B391">
        <v>1</v>
      </c>
      <c r="C391" s="105" t="s">
        <v>6</v>
      </c>
      <c r="D391" s="105" t="s">
        <v>24</v>
      </c>
      <c r="E391">
        <v>229</v>
      </c>
      <c r="F391">
        <v>124980.86</v>
      </c>
    </row>
    <row r="392" spans="1:6" x14ac:dyDescent="0.3">
      <c r="A392">
        <v>2023</v>
      </c>
      <c r="B392">
        <v>1</v>
      </c>
      <c r="C392" s="105" t="s">
        <v>6</v>
      </c>
      <c r="D392" s="105" t="s">
        <v>25</v>
      </c>
      <c r="E392">
        <v>316</v>
      </c>
      <c r="F392">
        <v>208933.07</v>
      </c>
    </row>
    <row r="393" spans="1:6" x14ac:dyDescent="0.3">
      <c r="A393">
        <v>2023</v>
      </c>
      <c r="B393">
        <v>1</v>
      </c>
      <c r="C393" s="105" t="s">
        <v>6</v>
      </c>
      <c r="D393" s="105" t="s">
        <v>26</v>
      </c>
      <c r="E393">
        <v>144</v>
      </c>
      <c r="F393">
        <v>90701.55</v>
      </c>
    </row>
    <row r="394" spans="1:6" x14ac:dyDescent="0.3">
      <c r="A394">
        <v>2023</v>
      </c>
      <c r="B394">
        <v>1</v>
      </c>
      <c r="C394" s="105" t="s">
        <v>6</v>
      </c>
      <c r="D394" s="105" t="s">
        <v>27</v>
      </c>
      <c r="E394">
        <v>238</v>
      </c>
      <c r="F394">
        <v>155511.56</v>
      </c>
    </row>
    <row r="395" spans="1:6" x14ac:dyDescent="0.3">
      <c r="A395">
        <v>2023</v>
      </c>
      <c r="B395">
        <v>1</v>
      </c>
      <c r="C395" s="105" t="s">
        <v>6</v>
      </c>
      <c r="D395" s="105" t="s">
        <v>28</v>
      </c>
      <c r="E395">
        <v>102</v>
      </c>
      <c r="F395">
        <v>57789.58</v>
      </c>
    </row>
    <row r="396" spans="1:6" x14ac:dyDescent="0.3">
      <c r="A396">
        <v>2023</v>
      </c>
      <c r="B396">
        <v>1</v>
      </c>
      <c r="C396" s="105" t="s">
        <v>6</v>
      </c>
      <c r="D396" s="105" t="s">
        <v>29</v>
      </c>
      <c r="E396">
        <v>164</v>
      </c>
      <c r="F396">
        <v>112597.75999999999</v>
      </c>
    </row>
    <row r="397" spans="1:6" x14ac:dyDescent="0.3">
      <c r="A397">
        <v>2023</v>
      </c>
      <c r="B397">
        <v>1</v>
      </c>
      <c r="C397" s="105" t="s">
        <v>6</v>
      </c>
      <c r="D397" s="105" t="s">
        <v>30</v>
      </c>
      <c r="E397">
        <v>123</v>
      </c>
      <c r="F397">
        <v>61772.93</v>
      </c>
    </row>
    <row r="398" spans="1:6" x14ac:dyDescent="0.3">
      <c r="A398">
        <v>2023</v>
      </c>
      <c r="B398">
        <v>1</v>
      </c>
      <c r="C398" s="105" t="s">
        <v>6</v>
      </c>
      <c r="D398" s="105" t="s">
        <v>31</v>
      </c>
      <c r="E398">
        <v>317</v>
      </c>
      <c r="F398">
        <v>241893.58</v>
      </c>
    </row>
    <row r="399" spans="1:6" x14ac:dyDescent="0.3">
      <c r="A399">
        <v>2023</v>
      </c>
      <c r="B399">
        <v>1</v>
      </c>
      <c r="C399" s="105" t="s">
        <v>6</v>
      </c>
      <c r="D399" s="105" t="s">
        <v>32</v>
      </c>
      <c r="E399">
        <v>67</v>
      </c>
      <c r="F399">
        <v>46913.36</v>
      </c>
    </row>
    <row r="400" spans="1:6" x14ac:dyDescent="0.3">
      <c r="A400">
        <v>2023</v>
      </c>
      <c r="B400">
        <v>1</v>
      </c>
      <c r="C400" s="105" t="s">
        <v>6</v>
      </c>
      <c r="D400" s="105" t="s">
        <v>33</v>
      </c>
      <c r="E400">
        <v>310</v>
      </c>
      <c r="F400">
        <v>223388.46</v>
      </c>
    </row>
    <row r="401" spans="1:6" x14ac:dyDescent="0.3">
      <c r="A401">
        <v>2023</v>
      </c>
      <c r="B401">
        <v>1</v>
      </c>
      <c r="C401" s="105" t="s">
        <v>6</v>
      </c>
      <c r="D401" s="105" t="s">
        <v>34</v>
      </c>
      <c r="E401">
        <v>222</v>
      </c>
      <c r="F401">
        <v>162379.42000000001</v>
      </c>
    </row>
    <row r="402" spans="1:6" x14ac:dyDescent="0.3">
      <c r="A402">
        <v>2023</v>
      </c>
      <c r="B402">
        <v>1</v>
      </c>
      <c r="C402" s="105" t="s">
        <v>6</v>
      </c>
      <c r="D402" s="105" t="s">
        <v>35</v>
      </c>
      <c r="E402">
        <v>84</v>
      </c>
      <c r="F402">
        <v>59123.97</v>
      </c>
    </row>
    <row r="403" spans="1:6" x14ac:dyDescent="0.3">
      <c r="A403">
        <v>2023</v>
      </c>
      <c r="B403">
        <v>1</v>
      </c>
      <c r="C403" s="105" t="s">
        <v>6</v>
      </c>
      <c r="D403" s="105" t="s">
        <v>36</v>
      </c>
      <c r="E403">
        <v>197</v>
      </c>
      <c r="F403">
        <v>119906.71</v>
      </c>
    </row>
    <row r="404" spans="1:6" x14ac:dyDescent="0.3">
      <c r="A404">
        <v>2023</v>
      </c>
      <c r="B404">
        <v>1</v>
      </c>
      <c r="C404" s="105" t="s">
        <v>6</v>
      </c>
      <c r="D404" s="105" t="s">
        <v>37</v>
      </c>
      <c r="E404">
        <v>121</v>
      </c>
      <c r="F404">
        <v>99792.99</v>
      </c>
    </row>
    <row r="405" spans="1:6" x14ac:dyDescent="0.3">
      <c r="A405">
        <v>2023</v>
      </c>
      <c r="B405">
        <v>2</v>
      </c>
      <c r="C405" s="105" t="s">
        <v>38</v>
      </c>
      <c r="D405" s="105" t="s">
        <v>7</v>
      </c>
      <c r="E405">
        <v>121</v>
      </c>
      <c r="F405">
        <v>105084.75</v>
      </c>
    </row>
    <row r="406" spans="1:6" x14ac:dyDescent="0.3">
      <c r="A406">
        <v>2023</v>
      </c>
      <c r="B406">
        <v>2</v>
      </c>
      <c r="C406" s="105" t="s">
        <v>38</v>
      </c>
      <c r="D406" s="105" t="s">
        <v>8</v>
      </c>
      <c r="E406">
        <v>263</v>
      </c>
      <c r="F406">
        <v>145731.68</v>
      </c>
    </row>
    <row r="407" spans="1:6" x14ac:dyDescent="0.3">
      <c r="A407">
        <v>2023</v>
      </c>
      <c r="B407">
        <v>2</v>
      </c>
      <c r="C407" s="105" t="s">
        <v>38</v>
      </c>
      <c r="D407" s="105" t="s">
        <v>9</v>
      </c>
      <c r="E407">
        <v>41</v>
      </c>
      <c r="F407">
        <v>25316.7</v>
      </c>
    </row>
    <row r="408" spans="1:6" x14ac:dyDescent="0.3">
      <c r="A408">
        <v>2023</v>
      </c>
      <c r="B408">
        <v>2</v>
      </c>
      <c r="C408" s="105" t="s">
        <v>38</v>
      </c>
      <c r="D408" s="105" t="s">
        <v>10</v>
      </c>
      <c r="E408">
        <v>165</v>
      </c>
      <c r="F408">
        <v>128624.36</v>
      </c>
    </row>
    <row r="409" spans="1:6" x14ac:dyDescent="0.3">
      <c r="A409">
        <v>2023</v>
      </c>
      <c r="B409">
        <v>2</v>
      </c>
      <c r="C409" s="105" t="s">
        <v>38</v>
      </c>
      <c r="D409" s="105" t="s">
        <v>11</v>
      </c>
      <c r="E409">
        <v>102</v>
      </c>
      <c r="F409">
        <v>70507.61</v>
      </c>
    </row>
    <row r="410" spans="1:6" x14ac:dyDescent="0.3">
      <c r="A410">
        <v>2023</v>
      </c>
      <c r="B410">
        <v>2</v>
      </c>
      <c r="C410" s="105" t="s">
        <v>38</v>
      </c>
      <c r="D410" s="105" t="s">
        <v>12</v>
      </c>
      <c r="E410">
        <v>152</v>
      </c>
      <c r="F410">
        <v>89717.57</v>
      </c>
    </row>
    <row r="411" spans="1:6" x14ac:dyDescent="0.3">
      <c r="A411">
        <v>2023</v>
      </c>
      <c r="B411">
        <v>2</v>
      </c>
      <c r="C411" s="105" t="s">
        <v>38</v>
      </c>
      <c r="D411" s="105" t="s">
        <v>13</v>
      </c>
      <c r="E411">
        <v>169</v>
      </c>
      <c r="F411">
        <v>111375.95</v>
      </c>
    </row>
    <row r="412" spans="1:6" x14ac:dyDescent="0.3">
      <c r="A412">
        <v>2023</v>
      </c>
      <c r="B412">
        <v>2</v>
      </c>
      <c r="C412" s="105" t="s">
        <v>38</v>
      </c>
      <c r="D412" s="105" t="s">
        <v>14</v>
      </c>
      <c r="E412">
        <v>195</v>
      </c>
      <c r="F412">
        <v>100242.63</v>
      </c>
    </row>
    <row r="413" spans="1:6" x14ac:dyDescent="0.3">
      <c r="A413">
        <v>2023</v>
      </c>
      <c r="B413">
        <v>2</v>
      </c>
      <c r="C413" s="105" t="s">
        <v>38</v>
      </c>
      <c r="D413" s="105" t="s">
        <v>15</v>
      </c>
      <c r="E413">
        <v>83</v>
      </c>
      <c r="F413">
        <v>46914.98</v>
      </c>
    </row>
    <row r="414" spans="1:6" x14ac:dyDescent="0.3">
      <c r="A414">
        <v>2023</v>
      </c>
      <c r="B414">
        <v>2</v>
      </c>
      <c r="C414" s="105" t="s">
        <v>38</v>
      </c>
      <c r="D414" s="105" t="s">
        <v>16</v>
      </c>
      <c r="E414">
        <v>81</v>
      </c>
      <c r="F414">
        <v>59590.16</v>
      </c>
    </row>
    <row r="415" spans="1:6" x14ac:dyDescent="0.3">
      <c r="A415">
        <v>2023</v>
      </c>
      <c r="B415">
        <v>2</v>
      </c>
      <c r="C415" s="105" t="s">
        <v>38</v>
      </c>
      <c r="D415" s="105" t="s">
        <v>17</v>
      </c>
      <c r="E415">
        <v>180</v>
      </c>
      <c r="F415">
        <v>125007.82</v>
      </c>
    </row>
    <row r="416" spans="1:6" x14ac:dyDescent="0.3">
      <c r="A416">
        <v>2023</v>
      </c>
      <c r="B416">
        <v>2</v>
      </c>
      <c r="C416" s="105" t="s">
        <v>38</v>
      </c>
      <c r="D416" s="105" t="s">
        <v>18</v>
      </c>
      <c r="E416">
        <v>248</v>
      </c>
      <c r="F416">
        <v>210836.83</v>
      </c>
    </row>
    <row r="417" spans="1:6" x14ac:dyDescent="0.3">
      <c r="A417">
        <v>2023</v>
      </c>
      <c r="B417">
        <v>2</v>
      </c>
      <c r="C417" s="105" t="s">
        <v>38</v>
      </c>
      <c r="D417" s="105" t="s">
        <v>19</v>
      </c>
      <c r="E417">
        <v>109</v>
      </c>
      <c r="F417">
        <v>60236.04</v>
      </c>
    </row>
    <row r="418" spans="1:6" x14ac:dyDescent="0.3">
      <c r="A418">
        <v>2023</v>
      </c>
      <c r="B418">
        <v>2</v>
      </c>
      <c r="C418" s="105" t="s">
        <v>38</v>
      </c>
      <c r="D418" s="105" t="s">
        <v>20</v>
      </c>
      <c r="E418">
        <v>291</v>
      </c>
      <c r="F418">
        <v>174953.8</v>
      </c>
    </row>
    <row r="419" spans="1:6" x14ac:dyDescent="0.3">
      <c r="A419">
        <v>2023</v>
      </c>
      <c r="B419">
        <v>2</v>
      </c>
      <c r="C419" s="105" t="s">
        <v>38</v>
      </c>
      <c r="D419" s="105" t="s">
        <v>21</v>
      </c>
      <c r="E419">
        <v>246</v>
      </c>
      <c r="F419">
        <v>191587.58</v>
      </c>
    </row>
    <row r="420" spans="1:6" x14ac:dyDescent="0.3">
      <c r="A420">
        <v>2023</v>
      </c>
      <c r="B420">
        <v>2</v>
      </c>
      <c r="C420" s="105" t="s">
        <v>38</v>
      </c>
      <c r="D420" s="105" t="s">
        <v>22</v>
      </c>
      <c r="E420">
        <v>94</v>
      </c>
      <c r="F420">
        <v>53389.85</v>
      </c>
    </row>
    <row r="421" spans="1:6" x14ac:dyDescent="0.3">
      <c r="A421">
        <v>2023</v>
      </c>
      <c r="B421">
        <v>2</v>
      </c>
      <c r="C421" s="105" t="s">
        <v>38</v>
      </c>
      <c r="D421" s="105" t="s">
        <v>23</v>
      </c>
      <c r="E421">
        <v>98</v>
      </c>
      <c r="F421">
        <v>82803.09</v>
      </c>
    </row>
    <row r="422" spans="1:6" x14ac:dyDescent="0.3">
      <c r="A422">
        <v>2023</v>
      </c>
      <c r="B422">
        <v>2</v>
      </c>
      <c r="C422" s="105" t="s">
        <v>38</v>
      </c>
      <c r="D422" s="105" t="s">
        <v>24</v>
      </c>
      <c r="E422">
        <v>224</v>
      </c>
      <c r="F422">
        <v>125098.7</v>
      </c>
    </row>
    <row r="423" spans="1:6" x14ac:dyDescent="0.3">
      <c r="A423">
        <v>2023</v>
      </c>
      <c r="B423">
        <v>2</v>
      </c>
      <c r="C423" s="105" t="s">
        <v>38</v>
      </c>
      <c r="D423" s="105" t="s">
        <v>25</v>
      </c>
      <c r="E423">
        <v>255</v>
      </c>
      <c r="F423">
        <v>177878.07</v>
      </c>
    </row>
    <row r="424" spans="1:6" x14ac:dyDescent="0.3">
      <c r="A424">
        <v>2023</v>
      </c>
      <c r="B424">
        <v>2</v>
      </c>
      <c r="C424" s="105" t="s">
        <v>38</v>
      </c>
      <c r="D424" s="105" t="s">
        <v>26</v>
      </c>
      <c r="E424">
        <v>110</v>
      </c>
      <c r="F424">
        <v>72529.490000000005</v>
      </c>
    </row>
    <row r="425" spans="1:6" x14ac:dyDescent="0.3">
      <c r="A425">
        <v>2023</v>
      </c>
      <c r="B425">
        <v>2</v>
      </c>
      <c r="C425" s="105" t="s">
        <v>38</v>
      </c>
      <c r="D425" s="105" t="s">
        <v>27</v>
      </c>
      <c r="E425">
        <v>221</v>
      </c>
      <c r="F425">
        <v>149342.13</v>
      </c>
    </row>
    <row r="426" spans="1:6" x14ac:dyDescent="0.3">
      <c r="A426">
        <v>2023</v>
      </c>
      <c r="B426">
        <v>2</v>
      </c>
      <c r="C426" s="105" t="s">
        <v>38</v>
      </c>
      <c r="D426" s="105" t="s">
        <v>28</v>
      </c>
      <c r="E426">
        <v>115</v>
      </c>
      <c r="F426">
        <v>65086.91</v>
      </c>
    </row>
    <row r="427" spans="1:6" x14ac:dyDescent="0.3">
      <c r="A427">
        <v>2023</v>
      </c>
      <c r="B427">
        <v>2</v>
      </c>
      <c r="C427" s="105" t="s">
        <v>38</v>
      </c>
      <c r="D427" s="105" t="s">
        <v>29</v>
      </c>
      <c r="E427">
        <v>137</v>
      </c>
      <c r="F427">
        <v>103813.06</v>
      </c>
    </row>
    <row r="428" spans="1:6" x14ac:dyDescent="0.3">
      <c r="A428">
        <v>2023</v>
      </c>
      <c r="B428">
        <v>2</v>
      </c>
      <c r="C428" s="105" t="s">
        <v>38</v>
      </c>
      <c r="D428" s="105" t="s">
        <v>30</v>
      </c>
      <c r="E428">
        <v>140</v>
      </c>
      <c r="F428">
        <v>77669.149999999994</v>
      </c>
    </row>
    <row r="429" spans="1:6" x14ac:dyDescent="0.3">
      <c r="A429">
        <v>2023</v>
      </c>
      <c r="B429">
        <v>2</v>
      </c>
      <c r="C429" s="105" t="s">
        <v>38</v>
      </c>
      <c r="D429" s="105" t="s">
        <v>31</v>
      </c>
      <c r="E429">
        <v>224</v>
      </c>
      <c r="F429">
        <v>187944.75</v>
      </c>
    </row>
    <row r="430" spans="1:6" x14ac:dyDescent="0.3">
      <c r="A430">
        <v>2023</v>
      </c>
      <c r="B430">
        <v>2</v>
      </c>
      <c r="C430" s="105" t="s">
        <v>38</v>
      </c>
      <c r="D430" s="105" t="s">
        <v>32</v>
      </c>
      <c r="E430">
        <v>73</v>
      </c>
      <c r="F430">
        <v>51358.7</v>
      </c>
    </row>
    <row r="431" spans="1:6" x14ac:dyDescent="0.3">
      <c r="A431">
        <v>2023</v>
      </c>
      <c r="B431">
        <v>2</v>
      </c>
      <c r="C431" s="105" t="s">
        <v>38</v>
      </c>
      <c r="D431" s="105" t="s">
        <v>33</v>
      </c>
      <c r="E431">
        <v>183</v>
      </c>
      <c r="F431">
        <v>146145.71</v>
      </c>
    </row>
    <row r="432" spans="1:6" x14ac:dyDescent="0.3">
      <c r="A432">
        <v>2023</v>
      </c>
      <c r="B432">
        <v>2</v>
      </c>
      <c r="C432" s="105" t="s">
        <v>38</v>
      </c>
      <c r="D432" s="105" t="s">
        <v>34</v>
      </c>
      <c r="E432">
        <v>142</v>
      </c>
      <c r="F432">
        <v>108891</v>
      </c>
    </row>
    <row r="433" spans="1:6" x14ac:dyDescent="0.3">
      <c r="A433">
        <v>2023</v>
      </c>
      <c r="B433">
        <v>2</v>
      </c>
      <c r="C433" s="105" t="s">
        <v>38</v>
      </c>
      <c r="D433" s="105" t="s">
        <v>35</v>
      </c>
      <c r="E433">
        <v>70</v>
      </c>
      <c r="F433">
        <v>48057.75</v>
      </c>
    </row>
    <row r="434" spans="1:6" x14ac:dyDescent="0.3">
      <c r="A434">
        <v>2023</v>
      </c>
      <c r="B434">
        <v>2</v>
      </c>
      <c r="C434" s="105" t="s">
        <v>38</v>
      </c>
      <c r="D434" s="105" t="s">
        <v>36</v>
      </c>
      <c r="E434">
        <v>163</v>
      </c>
      <c r="F434">
        <v>111616.43</v>
      </c>
    </row>
    <row r="435" spans="1:6" x14ac:dyDescent="0.3">
      <c r="A435">
        <v>2023</v>
      </c>
      <c r="B435">
        <v>2</v>
      </c>
      <c r="C435" s="105" t="s">
        <v>38</v>
      </c>
      <c r="D435" s="105" t="s">
        <v>37</v>
      </c>
      <c r="E435">
        <v>112</v>
      </c>
      <c r="F435">
        <v>86749.02</v>
      </c>
    </row>
    <row r="436" spans="1:6" x14ac:dyDescent="0.3">
      <c r="A436">
        <v>2023</v>
      </c>
      <c r="B436">
        <v>3</v>
      </c>
      <c r="C436" s="105" t="s">
        <v>39</v>
      </c>
      <c r="D436" s="105" t="s">
        <v>7</v>
      </c>
      <c r="E436">
        <v>121</v>
      </c>
      <c r="F436">
        <v>99546.25</v>
      </c>
    </row>
    <row r="437" spans="1:6" x14ac:dyDescent="0.3">
      <c r="A437">
        <v>2023</v>
      </c>
      <c r="B437">
        <v>3</v>
      </c>
      <c r="C437" s="105" t="s">
        <v>39</v>
      </c>
      <c r="D437" s="105" t="s">
        <v>8</v>
      </c>
      <c r="E437">
        <v>225</v>
      </c>
      <c r="F437">
        <v>129635.24</v>
      </c>
    </row>
    <row r="438" spans="1:6" x14ac:dyDescent="0.3">
      <c r="A438">
        <v>2023</v>
      </c>
      <c r="B438">
        <v>3</v>
      </c>
      <c r="C438" s="105" t="s">
        <v>39</v>
      </c>
      <c r="D438" s="105" t="s">
        <v>9</v>
      </c>
      <c r="E438">
        <v>14</v>
      </c>
      <c r="F438">
        <v>9329.4599999999991</v>
      </c>
    </row>
    <row r="439" spans="1:6" x14ac:dyDescent="0.3">
      <c r="A439">
        <v>2023</v>
      </c>
      <c r="B439">
        <v>3</v>
      </c>
      <c r="C439" s="105" t="s">
        <v>39</v>
      </c>
      <c r="D439" s="105" t="s">
        <v>10</v>
      </c>
      <c r="E439">
        <v>177</v>
      </c>
      <c r="F439">
        <v>141155.73000000001</v>
      </c>
    </row>
    <row r="440" spans="1:6" x14ac:dyDescent="0.3">
      <c r="A440">
        <v>2023</v>
      </c>
      <c r="B440">
        <v>3</v>
      </c>
      <c r="C440" s="105" t="s">
        <v>39</v>
      </c>
      <c r="D440" s="105" t="s">
        <v>11</v>
      </c>
      <c r="E440">
        <v>134</v>
      </c>
      <c r="F440">
        <v>97903.53</v>
      </c>
    </row>
    <row r="441" spans="1:6" x14ac:dyDescent="0.3">
      <c r="A441">
        <v>2023</v>
      </c>
      <c r="B441">
        <v>3</v>
      </c>
      <c r="C441" s="105" t="s">
        <v>39</v>
      </c>
      <c r="D441" s="105" t="s">
        <v>12</v>
      </c>
      <c r="E441">
        <v>90</v>
      </c>
      <c r="F441">
        <v>60746.91</v>
      </c>
    </row>
    <row r="442" spans="1:6" x14ac:dyDescent="0.3">
      <c r="A442">
        <v>2023</v>
      </c>
      <c r="B442">
        <v>3</v>
      </c>
      <c r="C442" s="105" t="s">
        <v>39</v>
      </c>
      <c r="D442" s="105" t="s">
        <v>13</v>
      </c>
      <c r="E442">
        <v>119</v>
      </c>
      <c r="F442">
        <v>80409.47</v>
      </c>
    </row>
    <row r="443" spans="1:6" x14ac:dyDescent="0.3">
      <c r="A443">
        <v>2023</v>
      </c>
      <c r="B443">
        <v>3</v>
      </c>
      <c r="C443" s="105" t="s">
        <v>39</v>
      </c>
      <c r="D443" s="105" t="s">
        <v>14</v>
      </c>
      <c r="E443">
        <v>211</v>
      </c>
      <c r="F443">
        <v>120707.81</v>
      </c>
    </row>
    <row r="444" spans="1:6" x14ac:dyDescent="0.3">
      <c r="A444">
        <v>2023</v>
      </c>
      <c r="B444">
        <v>3</v>
      </c>
      <c r="C444" s="105" t="s">
        <v>39</v>
      </c>
      <c r="D444" s="105" t="s">
        <v>15</v>
      </c>
      <c r="E444">
        <v>78</v>
      </c>
      <c r="F444">
        <v>41175.769999999997</v>
      </c>
    </row>
    <row r="445" spans="1:6" x14ac:dyDescent="0.3">
      <c r="A445">
        <v>2023</v>
      </c>
      <c r="B445">
        <v>3</v>
      </c>
      <c r="C445" s="105" t="s">
        <v>39</v>
      </c>
      <c r="D445" s="105" t="s">
        <v>16</v>
      </c>
      <c r="E445">
        <v>68</v>
      </c>
      <c r="F445">
        <v>59316.81</v>
      </c>
    </row>
    <row r="446" spans="1:6" x14ac:dyDescent="0.3">
      <c r="A446">
        <v>2023</v>
      </c>
      <c r="B446">
        <v>3</v>
      </c>
      <c r="C446" s="105" t="s">
        <v>39</v>
      </c>
      <c r="D446" s="105" t="s">
        <v>17</v>
      </c>
      <c r="E446">
        <v>139</v>
      </c>
      <c r="F446">
        <v>101662.14</v>
      </c>
    </row>
    <row r="447" spans="1:6" x14ac:dyDescent="0.3">
      <c r="A447">
        <v>2023</v>
      </c>
      <c r="B447">
        <v>3</v>
      </c>
      <c r="C447" s="105" t="s">
        <v>39</v>
      </c>
      <c r="D447" s="105" t="s">
        <v>18</v>
      </c>
      <c r="E447">
        <v>205</v>
      </c>
      <c r="F447">
        <v>162960.29</v>
      </c>
    </row>
    <row r="448" spans="1:6" x14ac:dyDescent="0.3">
      <c r="A448">
        <v>2023</v>
      </c>
      <c r="B448">
        <v>3</v>
      </c>
      <c r="C448" s="105" t="s">
        <v>39</v>
      </c>
      <c r="D448" s="105" t="s">
        <v>19</v>
      </c>
      <c r="E448">
        <v>106</v>
      </c>
      <c r="F448">
        <v>64101.2</v>
      </c>
    </row>
    <row r="449" spans="1:6" x14ac:dyDescent="0.3">
      <c r="A449">
        <v>2023</v>
      </c>
      <c r="B449">
        <v>3</v>
      </c>
      <c r="C449" s="105" t="s">
        <v>39</v>
      </c>
      <c r="D449" s="105" t="s">
        <v>20</v>
      </c>
      <c r="E449">
        <v>195</v>
      </c>
      <c r="F449">
        <v>119696.34</v>
      </c>
    </row>
    <row r="450" spans="1:6" x14ac:dyDescent="0.3">
      <c r="A450">
        <v>2023</v>
      </c>
      <c r="B450">
        <v>3</v>
      </c>
      <c r="C450" s="105" t="s">
        <v>39</v>
      </c>
      <c r="D450" s="105" t="s">
        <v>21</v>
      </c>
      <c r="E450">
        <v>269</v>
      </c>
      <c r="F450">
        <v>211711.92</v>
      </c>
    </row>
    <row r="451" spans="1:6" x14ac:dyDescent="0.3">
      <c r="A451">
        <v>2023</v>
      </c>
      <c r="B451">
        <v>3</v>
      </c>
      <c r="C451" s="105" t="s">
        <v>39</v>
      </c>
      <c r="D451" s="105" t="s">
        <v>22</v>
      </c>
      <c r="E451">
        <v>125</v>
      </c>
      <c r="F451">
        <v>73794.52</v>
      </c>
    </row>
    <row r="452" spans="1:6" x14ac:dyDescent="0.3">
      <c r="A452">
        <v>2023</v>
      </c>
      <c r="B452">
        <v>3</v>
      </c>
      <c r="C452" s="105" t="s">
        <v>39</v>
      </c>
      <c r="D452" s="105" t="s">
        <v>23</v>
      </c>
      <c r="E452">
        <v>111</v>
      </c>
      <c r="F452">
        <v>89340.04</v>
      </c>
    </row>
    <row r="453" spans="1:6" x14ac:dyDescent="0.3">
      <c r="A453">
        <v>2023</v>
      </c>
      <c r="B453">
        <v>3</v>
      </c>
      <c r="C453" s="105" t="s">
        <v>39</v>
      </c>
      <c r="D453" s="105" t="s">
        <v>24</v>
      </c>
      <c r="E453">
        <v>187</v>
      </c>
      <c r="F453">
        <v>107074.3</v>
      </c>
    </row>
    <row r="454" spans="1:6" x14ac:dyDescent="0.3">
      <c r="A454">
        <v>2023</v>
      </c>
      <c r="B454">
        <v>3</v>
      </c>
      <c r="C454" s="105" t="s">
        <v>39</v>
      </c>
      <c r="D454" s="105" t="s">
        <v>25</v>
      </c>
      <c r="E454">
        <v>209</v>
      </c>
      <c r="F454">
        <v>147808.91</v>
      </c>
    </row>
    <row r="455" spans="1:6" x14ac:dyDescent="0.3">
      <c r="A455">
        <v>2023</v>
      </c>
      <c r="B455">
        <v>3</v>
      </c>
      <c r="C455" s="105" t="s">
        <v>39</v>
      </c>
      <c r="D455" s="105" t="s">
        <v>26</v>
      </c>
      <c r="E455">
        <v>74</v>
      </c>
      <c r="F455">
        <v>58669.13</v>
      </c>
    </row>
    <row r="456" spans="1:6" x14ac:dyDescent="0.3">
      <c r="A456">
        <v>2023</v>
      </c>
      <c r="B456">
        <v>3</v>
      </c>
      <c r="C456" s="105" t="s">
        <v>39</v>
      </c>
      <c r="D456" s="105" t="s">
        <v>27</v>
      </c>
      <c r="E456">
        <v>162</v>
      </c>
      <c r="F456">
        <v>116723.38</v>
      </c>
    </row>
    <row r="457" spans="1:6" x14ac:dyDescent="0.3">
      <c r="A457">
        <v>2023</v>
      </c>
      <c r="B457">
        <v>3</v>
      </c>
      <c r="C457" s="105" t="s">
        <v>39</v>
      </c>
      <c r="D457" s="105" t="s">
        <v>28</v>
      </c>
      <c r="E457">
        <v>89</v>
      </c>
      <c r="F457">
        <v>52904.34</v>
      </c>
    </row>
    <row r="458" spans="1:6" x14ac:dyDescent="0.3">
      <c r="A458">
        <v>2023</v>
      </c>
      <c r="B458">
        <v>3</v>
      </c>
      <c r="C458" s="105" t="s">
        <v>39</v>
      </c>
      <c r="D458" s="105" t="s">
        <v>29</v>
      </c>
      <c r="E458">
        <v>172</v>
      </c>
      <c r="F458">
        <v>123215.07</v>
      </c>
    </row>
    <row r="459" spans="1:6" x14ac:dyDescent="0.3">
      <c r="A459">
        <v>2023</v>
      </c>
      <c r="B459">
        <v>3</v>
      </c>
      <c r="C459" s="105" t="s">
        <v>39</v>
      </c>
      <c r="D459" s="105" t="s">
        <v>30</v>
      </c>
      <c r="E459">
        <v>117</v>
      </c>
      <c r="F459">
        <v>77733.919999999998</v>
      </c>
    </row>
    <row r="460" spans="1:6" x14ac:dyDescent="0.3">
      <c r="A460">
        <v>2023</v>
      </c>
      <c r="B460">
        <v>3</v>
      </c>
      <c r="C460" s="105" t="s">
        <v>39</v>
      </c>
      <c r="D460" s="105" t="s">
        <v>31</v>
      </c>
      <c r="E460">
        <v>215</v>
      </c>
      <c r="F460">
        <v>178593.56</v>
      </c>
    </row>
    <row r="461" spans="1:6" x14ac:dyDescent="0.3">
      <c r="A461">
        <v>2023</v>
      </c>
      <c r="B461">
        <v>3</v>
      </c>
      <c r="C461" s="105" t="s">
        <v>39</v>
      </c>
      <c r="D461" s="105" t="s">
        <v>32</v>
      </c>
      <c r="E461">
        <v>62</v>
      </c>
      <c r="F461">
        <v>46767.93</v>
      </c>
    </row>
    <row r="462" spans="1:6" x14ac:dyDescent="0.3">
      <c r="A462">
        <v>2023</v>
      </c>
      <c r="B462">
        <v>3</v>
      </c>
      <c r="C462" s="105" t="s">
        <v>39</v>
      </c>
      <c r="D462" s="105" t="s">
        <v>33</v>
      </c>
      <c r="E462">
        <v>189</v>
      </c>
      <c r="F462">
        <v>154504.82</v>
      </c>
    </row>
    <row r="463" spans="1:6" x14ac:dyDescent="0.3">
      <c r="A463">
        <v>2023</v>
      </c>
      <c r="B463">
        <v>3</v>
      </c>
      <c r="C463" s="105" t="s">
        <v>39</v>
      </c>
      <c r="D463" s="105" t="s">
        <v>34</v>
      </c>
      <c r="E463">
        <v>171</v>
      </c>
      <c r="F463">
        <v>124394.39</v>
      </c>
    </row>
    <row r="464" spans="1:6" x14ac:dyDescent="0.3">
      <c r="A464">
        <v>2023</v>
      </c>
      <c r="B464">
        <v>3</v>
      </c>
      <c r="C464" s="105" t="s">
        <v>39</v>
      </c>
      <c r="D464" s="105" t="s">
        <v>35</v>
      </c>
      <c r="E464">
        <v>82</v>
      </c>
      <c r="F464">
        <v>58578.41</v>
      </c>
    </row>
    <row r="465" spans="1:6" x14ac:dyDescent="0.3">
      <c r="A465">
        <v>2023</v>
      </c>
      <c r="B465">
        <v>3</v>
      </c>
      <c r="C465" s="105" t="s">
        <v>39</v>
      </c>
      <c r="D465" s="105" t="s">
        <v>36</v>
      </c>
      <c r="E465">
        <v>139</v>
      </c>
      <c r="F465">
        <v>92832.76</v>
      </c>
    </row>
    <row r="466" spans="1:6" x14ac:dyDescent="0.3">
      <c r="A466">
        <v>2023</v>
      </c>
      <c r="B466">
        <v>3</v>
      </c>
      <c r="C466" s="105" t="s">
        <v>39</v>
      </c>
      <c r="D466" s="105" t="s">
        <v>37</v>
      </c>
      <c r="E466">
        <v>140</v>
      </c>
      <c r="F466">
        <v>112141.2</v>
      </c>
    </row>
    <row r="467" spans="1:6" x14ac:dyDescent="0.3">
      <c r="A467">
        <v>2023</v>
      </c>
      <c r="B467">
        <v>4</v>
      </c>
      <c r="C467" s="105" t="s">
        <v>40</v>
      </c>
      <c r="D467" s="105" t="s">
        <v>7</v>
      </c>
      <c r="E467">
        <v>104</v>
      </c>
      <c r="F467">
        <v>89323.22</v>
      </c>
    </row>
    <row r="468" spans="1:6" x14ac:dyDescent="0.3">
      <c r="A468">
        <v>2023</v>
      </c>
      <c r="B468">
        <v>4</v>
      </c>
      <c r="C468" s="105" t="s">
        <v>40</v>
      </c>
      <c r="D468" s="105" t="s">
        <v>8</v>
      </c>
      <c r="E468">
        <v>178</v>
      </c>
      <c r="F468">
        <v>102160.9</v>
      </c>
    </row>
    <row r="469" spans="1:6" x14ac:dyDescent="0.3">
      <c r="A469">
        <v>2023</v>
      </c>
      <c r="B469">
        <v>4</v>
      </c>
      <c r="C469" s="105" t="s">
        <v>40</v>
      </c>
      <c r="D469" s="105" t="s">
        <v>9</v>
      </c>
      <c r="E469">
        <v>26</v>
      </c>
      <c r="F469">
        <v>16765.259999999998</v>
      </c>
    </row>
    <row r="470" spans="1:6" x14ac:dyDescent="0.3">
      <c r="A470">
        <v>2023</v>
      </c>
      <c r="B470">
        <v>4</v>
      </c>
      <c r="C470" s="105" t="s">
        <v>40</v>
      </c>
      <c r="D470" s="105" t="s">
        <v>10</v>
      </c>
      <c r="E470">
        <v>116</v>
      </c>
      <c r="F470">
        <v>95090.25</v>
      </c>
    </row>
    <row r="471" spans="1:6" x14ac:dyDescent="0.3">
      <c r="A471">
        <v>2023</v>
      </c>
      <c r="B471">
        <v>4</v>
      </c>
      <c r="C471" s="105" t="s">
        <v>40</v>
      </c>
      <c r="D471" s="105" t="s">
        <v>11</v>
      </c>
      <c r="E471">
        <v>116</v>
      </c>
      <c r="F471">
        <v>83471.520000000004</v>
      </c>
    </row>
    <row r="472" spans="1:6" x14ac:dyDescent="0.3">
      <c r="A472">
        <v>2023</v>
      </c>
      <c r="B472">
        <v>4</v>
      </c>
      <c r="C472" s="105" t="s">
        <v>40</v>
      </c>
      <c r="D472" s="105" t="s">
        <v>12</v>
      </c>
      <c r="E472">
        <v>92</v>
      </c>
      <c r="F472">
        <v>67050.31</v>
      </c>
    </row>
    <row r="473" spans="1:6" x14ac:dyDescent="0.3">
      <c r="A473">
        <v>2023</v>
      </c>
      <c r="B473">
        <v>4</v>
      </c>
      <c r="C473" s="105" t="s">
        <v>40</v>
      </c>
      <c r="D473" s="105" t="s">
        <v>13</v>
      </c>
      <c r="E473">
        <v>130</v>
      </c>
      <c r="F473">
        <v>89691.19</v>
      </c>
    </row>
    <row r="474" spans="1:6" x14ac:dyDescent="0.3">
      <c r="A474">
        <v>2023</v>
      </c>
      <c r="B474">
        <v>4</v>
      </c>
      <c r="C474" s="105" t="s">
        <v>40</v>
      </c>
      <c r="D474" s="105" t="s">
        <v>14</v>
      </c>
      <c r="E474">
        <v>152</v>
      </c>
      <c r="F474">
        <v>90587.09</v>
      </c>
    </row>
    <row r="475" spans="1:6" x14ac:dyDescent="0.3">
      <c r="A475">
        <v>2023</v>
      </c>
      <c r="B475">
        <v>4</v>
      </c>
      <c r="C475" s="105" t="s">
        <v>40</v>
      </c>
      <c r="D475" s="105" t="s">
        <v>15</v>
      </c>
      <c r="E475">
        <v>92</v>
      </c>
      <c r="F475">
        <v>51824.29</v>
      </c>
    </row>
    <row r="476" spans="1:6" x14ac:dyDescent="0.3">
      <c r="A476">
        <v>2023</v>
      </c>
      <c r="B476">
        <v>4</v>
      </c>
      <c r="C476" s="105" t="s">
        <v>40</v>
      </c>
      <c r="D476" s="105" t="s">
        <v>16</v>
      </c>
      <c r="E476">
        <v>76</v>
      </c>
      <c r="F476">
        <v>59937.1</v>
      </c>
    </row>
    <row r="477" spans="1:6" x14ac:dyDescent="0.3">
      <c r="A477">
        <v>2023</v>
      </c>
      <c r="B477">
        <v>4</v>
      </c>
      <c r="C477" s="105" t="s">
        <v>40</v>
      </c>
      <c r="D477" s="105" t="s">
        <v>17</v>
      </c>
      <c r="E477">
        <v>145</v>
      </c>
      <c r="F477">
        <v>111061.26</v>
      </c>
    </row>
    <row r="478" spans="1:6" x14ac:dyDescent="0.3">
      <c r="A478">
        <v>2023</v>
      </c>
      <c r="B478">
        <v>4</v>
      </c>
      <c r="C478" s="105" t="s">
        <v>40</v>
      </c>
      <c r="D478" s="105" t="s">
        <v>18</v>
      </c>
      <c r="E478">
        <v>190</v>
      </c>
      <c r="F478">
        <v>162561.88</v>
      </c>
    </row>
    <row r="479" spans="1:6" x14ac:dyDescent="0.3">
      <c r="A479">
        <v>2023</v>
      </c>
      <c r="B479">
        <v>4</v>
      </c>
      <c r="C479" s="105" t="s">
        <v>40</v>
      </c>
      <c r="D479" s="105" t="s">
        <v>19</v>
      </c>
      <c r="E479">
        <v>107</v>
      </c>
      <c r="F479">
        <v>60328.160000000003</v>
      </c>
    </row>
    <row r="480" spans="1:6" x14ac:dyDescent="0.3">
      <c r="A480">
        <v>2023</v>
      </c>
      <c r="B480">
        <v>4</v>
      </c>
      <c r="C480" s="105" t="s">
        <v>40</v>
      </c>
      <c r="D480" s="105" t="s">
        <v>20</v>
      </c>
      <c r="E480">
        <v>176</v>
      </c>
      <c r="F480">
        <v>113220.54</v>
      </c>
    </row>
    <row r="481" spans="1:6" x14ac:dyDescent="0.3">
      <c r="A481">
        <v>2023</v>
      </c>
      <c r="B481">
        <v>4</v>
      </c>
      <c r="C481" s="105" t="s">
        <v>40</v>
      </c>
      <c r="D481" s="105" t="s">
        <v>21</v>
      </c>
      <c r="E481">
        <v>567</v>
      </c>
      <c r="F481">
        <v>264292.88</v>
      </c>
    </row>
    <row r="482" spans="1:6" x14ac:dyDescent="0.3">
      <c r="A482">
        <v>2023</v>
      </c>
      <c r="B482">
        <v>4</v>
      </c>
      <c r="C482" s="105" t="s">
        <v>40</v>
      </c>
      <c r="D482" s="105" t="s">
        <v>22</v>
      </c>
      <c r="E482">
        <v>50</v>
      </c>
      <c r="F482">
        <v>29506.54</v>
      </c>
    </row>
    <row r="483" spans="1:6" x14ac:dyDescent="0.3">
      <c r="A483">
        <v>2023</v>
      </c>
      <c r="B483">
        <v>4</v>
      </c>
      <c r="C483" s="105" t="s">
        <v>40</v>
      </c>
      <c r="D483" s="105" t="s">
        <v>23</v>
      </c>
      <c r="E483">
        <v>100</v>
      </c>
      <c r="F483">
        <v>78829.2</v>
      </c>
    </row>
    <row r="484" spans="1:6" x14ac:dyDescent="0.3">
      <c r="A484">
        <v>2023</v>
      </c>
      <c r="B484">
        <v>4</v>
      </c>
      <c r="C484" s="105" t="s">
        <v>40</v>
      </c>
      <c r="D484" s="105" t="s">
        <v>24</v>
      </c>
      <c r="E484">
        <v>201</v>
      </c>
      <c r="F484">
        <v>121078.15</v>
      </c>
    </row>
    <row r="485" spans="1:6" x14ac:dyDescent="0.3">
      <c r="A485">
        <v>2023</v>
      </c>
      <c r="B485">
        <v>4</v>
      </c>
      <c r="C485" s="105" t="s">
        <v>40</v>
      </c>
      <c r="D485" s="105" t="s">
        <v>25</v>
      </c>
      <c r="E485">
        <v>190</v>
      </c>
      <c r="F485">
        <v>134552.12</v>
      </c>
    </row>
    <row r="486" spans="1:6" x14ac:dyDescent="0.3">
      <c r="A486">
        <v>2023</v>
      </c>
      <c r="B486">
        <v>4</v>
      </c>
      <c r="C486" s="105" t="s">
        <v>40</v>
      </c>
      <c r="D486" s="105" t="s">
        <v>26</v>
      </c>
      <c r="E486">
        <v>101</v>
      </c>
      <c r="F486">
        <v>80002.58</v>
      </c>
    </row>
    <row r="487" spans="1:6" x14ac:dyDescent="0.3">
      <c r="A487">
        <v>2023</v>
      </c>
      <c r="B487">
        <v>4</v>
      </c>
      <c r="C487" s="105" t="s">
        <v>40</v>
      </c>
      <c r="D487" s="105" t="s">
        <v>27</v>
      </c>
      <c r="E487">
        <v>166</v>
      </c>
      <c r="F487">
        <v>114542.5</v>
      </c>
    </row>
    <row r="488" spans="1:6" x14ac:dyDescent="0.3">
      <c r="A488">
        <v>2023</v>
      </c>
      <c r="B488">
        <v>4</v>
      </c>
      <c r="C488" s="105" t="s">
        <v>40</v>
      </c>
      <c r="D488" s="105" t="s">
        <v>28</v>
      </c>
      <c r="E488">
        <v>88</v>
      </c>
      <c r="F488">
        <v>51279.72</v>
      </c>
    </row>
    <row r="489" spans="1:6" x14ac:dyDescent="0.3">
      <c r="A489">
        <v>2023</v>
      </c>
      <c r="B489">
        <v>4</v>
      </c>
      <c r="C489" s="105" t="s">
        <v>40</v>
      </c>
      <c r="D489" s="105" t="s">
        <v>29</v>
      </c>
      <c r="E489">
        <v>160</v>
      </c>
      <c r="F489">
        <v>115810.71</v>
      </c>
    </row>
    <row r="490" spans="1:6" x14ac:dyDescent="0.3">
      <c r="A490">
        <v>2023</v>
      </c>
      <c r="B490">
        <v>4</v>
      </c>
      <c r="C490" s="105" t="s">
        <v>40</v>
      </c>
      <c r="D490" s="105" t="s">
        <v>30</v>
      </c>
      <c r="E490">
        <v>164</v>
      </c>
      <c r="F490">
        <v>98806.79</v>
      </c>
    </row>
    <row r="491" spans="1:6" x14ac:dyDescent="0.3">
      <c r="A491">
        <v>2023</v>
      </c>
      <c r="B491">
        <v>4</v>
      </c>
      <c r="C491" s="105" t="s">
        <v>40</v>
      </c>
      <c r="D491" s="105" t="s">
        <v>31</v>
      </c>
      <c r="E491">
        <v>225</v>
      </c>
      <c r="F491">
        <v>180638.13</v>
      </c>
    </row>
    <row r="492" spans="1:6" x14ac:dyDescent="0.3">
      <c r="A492">
        <v>2023</v>
      </c>
      <c r="B492">
        <v>4</v>
      </c>
      <c r="C492" s="105" t="s">
        <v>40</v>
      </c>
      <c r="D492" s="105" t="s">
        <v>32</v>
      </c>
      <c r="E492">
        <v>67</v>
      </c>
      <c r="F492">
        <v>49528.21</v>
      </c>
    </row>
    <row r="493" spans="1:6" x14ac:dyDescent="0.3">
      <c r="A493">
        <v>2023</v>
      </c>
      <c r="B493">
        <v>4</v>
      </c>
      <c r="C493" s="105" t="s">
        <v>40</v>
      </c>
      <c r="D493" s="105" t="s">
        <v>33</v>
      </c>
      <c r="E493">
        <v>146</v>
      </c>
      <c r="F493">
        <v>116476.47</v>
      </c>
    </row>
    <row r="494" spans="1:6" x14ac:dyDescent="0.3">
      <c r="A494">
        <v>2023</v>
      </c>
      <c r="B494">
        <v>4</v>
      </c>
      <c r="C494" s="105" t="s">
        <v>40</v>
      </c>
      <c r="D494" s="105" t="s">
        <v>34</v>
      </c>
      <c r="E494">
        <v>181</v>
      </c>
      <c r="F494">
        <v>121900.76</v>
      </c>
    </row>
    <row r="495" spans="1:6" x14ac:dyDescent="0.3">
      <c r="A495">
        <v>2023</v>
      </c>
      <c r="B495">
        <v>4</v>
      </c>
      <c r="C495" s="105" t="s">
        <v>40</v>
      </c>
      <c r="D495" s="105" t="s">
        <v>35</v>
      </c>
      <c r="E495">
        <v>67</v>
      </c>
      <c r="F495">
        <v>46262.6</v>
      </c>
    </row>
    <row r="496" spans="1:6" x14ac:dyDescent="0.3">
      <c r="A496">
        <v>2023</v>
      </c>
      <c r="B496">
        <v>4</v>
      </c>
      <c r="C496" s="105" t="s">
        <v>40</v>
      </c>
      <c r="D496" s="105" t="s">
        <v>36</v>
      </c>
      <c r="E496">
        <v>164</v>
      </c>
      <c r="F496">
        <v>115232.58</v>
      </c>
    </row>
    <row r="497" spans="1:6" x14ac:dyDescent="0.3">
      <c r="A497">
        <v>2023</v>
      </c>
      <c r="B497">
        <v>4</v>
      </c>
      <c r="C497" s="105" t="s">
        <v>40</v>
      </c>
      <c r="D497" s="105" t="s">
        <v>37</v>
      </c>
      <c r="E497">
        <v>141</v>
      </c>
      <c r="F497">
        <v>109876.86</v>
      </c>
    </row>
    <row r="498" spans="1:6" x14ac:dyDescent="0.3">
      <c r="A498">
        <v>2023</v>
      </c>
      <c r="B498">
        <v>5</v>
      </c>
      <c r="C498" s="105" t="s">
        <v>41</v>
      </c>
      <c r="D498" s="105" t="s">
        <v>7</v>
      </c>
      <c r="E498">
        <v>145</v>
      </c>
      <c r="F498">
        <v>123194.06</v>
      </c>
    </row>
    <row r="499" spans="1:6" x14ac:dyDescent="0.3">
      <c r="A499">
        <v>2023</v>
      </c>
      <c r="B499">
        <v>5</v>
      </c>
      <c r="C499" s="105" t="s">
        <v>41</v>
      </c>
      <c r="D499" s="105" t="s">
        <v>8</v>
      </c>
      <c r="E499">
        <v>378</v>
      </c>
      <c r="F499">
        <v>222551.62</v>
      </c>
    </row>
    <row r="500" spans="1:6" x14ac:dyDescent="0.3">
      <c r="A500">
        <v>2023</v>
      </c>
      <c r="B500">
        <v>5</v>
      </c>
      <c r="C500" s="105" t="s">
        <v>41</v>
      </c>
      <c r="D500" s="105" t="s">
        <v>9</v>
      </c>
      <c r="E500">
        <v>55</v>
      </c>
      <c r="F500">
        <v>38998.68</v>
      </c>
    </row>
    <row r="501" spans="1:6" x14ac:dyDescent="0.3">
      <c r="A501">
        <v>2023</v>
      </c>
      <c r="B501">
        <v>5</v>
      </c>
      <c r="C501" s="105" t="s">
        <v>41</v>
      </c>
      <c r="D501" s="105" t="s">
        <v>10</v>
      </c>
      <c r="E501">
        <v>248</v>
      </c>
      <c r="F501">
        <v>205568.22</v>
      </c>
    </row>
    <row r="502" spans="1:6" x14ac:dyDescent="0.3">
      <c r="A502">
        <v>2023</v>
      </c>
      <c r="B502">
        <v>5</v>
      </c>
      <c r="C502" s="105" t="s">
        <v>41</v>
      </c>
      <c r="D502" s="105" t="s">
        <v>11</v>
      </c>
      <c r="E502">
        <v>124</v>
      </c>
      <c r="F502">
        <v>90771.98</v>
      </c>
    </row>
    <row r="503" spans="1:6" x14ac:dyDescent="0.3">
      <c r="A503">
        <v>2023</v>
      </c>
      <c r="B503">
        <v>5</v>
      </c>
      <c r="C503" s="105" t="s">
        <v>41</v>
      </c>
      <c r="D503" s="105" t="s">
        <v>12</v>
      </c>
      <c r="E503">
        <v>169</v>
      </c>
      <c r="F503">
        <v>117219.05</v>
      </c>
    </row>
    <row r="504" spans="1:6" x14ac:dyDescent="0.3">
      <c r="A504">
        <v>2023</v>
      </c>
      <c r="B504">
        <v>5</v>
      </c>
      <c r="C504" s="105" t="s">
        <v>41</v>
      </c>
      <c r="D504" s="105" t="s">
        <v>13</v>
      </c>
      <c r="E504">
        <v>259</v>
      </c>
      <c r="F504">
        <v>183235.67</v>
      </c>
    </row>
    <row r="505" spans="1:6" x14ac:dyDescent="0.3">
      <c r="A505">
        <v>2023</v>
      </c>
      <c r="B505">
        <v>5</v>
      </c>
      <c r="C505" s="105" t="s">
        <v>41</v>
      </c>
      <c r="D505" s="105" t="s">
        <v>14</v>
      </c>
      <c r="E505">
        <v>283</v>
      </c>
      <c r="F505">
        <v>176774.46</v>
      </c>
    </row>
    <row r="506" spans="1:6" x14ac:dyDescent="0.3">
      <c r="A506">
        <v>2023</v>
      </c>
      <c r="B506">
        <v>5</v>
      </c>
      <c r="C506" s="105" t="s">
        <v>41</v>
      </c>
      <c r="D506" s="105" t="s">
        <v>15</v>
      </c>
      <c r="E506">
        <v>117</v>
      </c>
      <c r="F506">
        <v>68929.649999999994</v>
      </c>
    </row>
    <row r="507" spans="1:6" x14ac:dyDescent="0.3">
      <c r="A507">
        <v>2023</v>
      </c>
      <c r="B507">
        <v>5</v>
      </c>
      <c r="C507" s="105" t="s">
        <v>41</v>
      </c>
      <c r="D507" s="105" t="s">
        <v>16</v>
      </c>
      <c r="E507">
        <v>133</v>
      </c>
      <c r="F507">
        <v>108960.16</v>
      </c>
    </row>
    <row r="508" spans="1:6" x14ac:dyDescent="0.3">
      <c r="A508">
        <v>2023</v>
      </c>
      <c r="B508">
        <v>5</v>
      </c>
      <c r="C508" s="105" t="s">
        <v>41</v>
      </c>
      <c r="D508" s="105" t="s">
        <v>17</v>
      </c>
      <c r="E508">
        <v>271</v>
      </c>
      <c r="F508">
        <v>208525.85</v>
      </c>
    </row>
    <row r="509" spans="1:6" x14ac:dyDescent="0.3">
      <c r="A509">
        <v>2023</v>
      </c>
      <c r="B509">
        <v>5</v>
      </c>
      <c r="C509" s="105" t="s">
        <v>41</v>
      </c>
      <c r="D509" s="105" t="s">
        <v>18</v>
      </c>
      <c r="E509">
        <v>254</v>
      </c>
      <c r="F509">
        <v>212359.35</v>
      </c>
    </row>
    <row r="510" spans="1:6" x14ac:dyDescent="0.3">
      <c r="A510">
        <v>2023</v>
      </c>
      <c r="B510">
        <v>5</v>
      </c>
      <c r="C510" s="105" t="s">
        <v>41</v>
      </c>
      <c r="D510" s="105" t="s">
        <v>19</v>
      </c>
      <c r="E510">
        <v>209</v>
      </c>
      <c r="F510">
        <v>121341.41</v>
      </c>
    </row>
    <row r="511" spans="1:6" x14ac:dyDescent="0.3">
      <c r="A511">
        <v>2023</v>
      </c>
      <c r="B511">
        <v>5</v>
      </c>
      <c r="C511" s="105" t="s">
        <v>41</v>
      </c>
      <c r="D511" s="105" t="s">
        <v>20</v>
      </c>
      <c r="E511">
        <v>254</v>
      </c>
      <c r="F511">
        <v>157865.75</v>
      </c>
    </row>
    <row r="512" spans="1:6" x14ac:dyDescent="0.3">
      <c r="A512">
        <v>2023</v>
      </c>
      <c r="B512">
        <v>5</v>
      </c>
      <c r="C512" s="105" t="s">
        <v>41</v>
      </c>
      <c r="D512" s="105" t="s">
        <v>21</v>
      </c>
      <c r="E512">
        <v>215</v>
      </c>
      <c r="F512">
        <v>170094.87</v>
      </c>
    </row>
    <row r="513" spans="1:6" x14ac:dyDescent="0.3">
      <c r="A513">
        <v>2023</v>
      </c>
      <c r="B513">
        <v>5</v>
      </c>
      <c r="C513" s="105" t="s">
        <v>41</v>
      </c>
      <c r="D513" s="105" t="s">
        <v>22</v>
      </c>
      <c r="E513">
        <v>118</v>
      </c>
      <c r="F513">
        <v>75968.929999999993</v>
      </c>
    </row>
    <row r="514" spans="1:6" x14ac:dyDescent="0.3">
      <c r="A514">
        <v>2023</v>
      </c>
      <c r="B514">
        <v>5</v>
      </c>
      <c r="C514" s="105" t="s">
        <v>41</v>
      </c>
      <c r="D514" s="105" t="s">
        <v>23</v>
      </c>
      <c r="E514">
        <v>178</v>
      </c>
      <c r="F514">
        <v>143989.56</v>
      </c>
    </row>
    <row r="515" spans="1:6" x14ac:dyDescent="0.3">
      <c r="A515">
        <v>2023</v>
      </c>
      <c r="B515">
        <v>5</v>
      </c>
      <c r="C515" s="105" t="s">
        <v>41</v>
      </c>
      <c r="D515" s="105" t="s">
        <v>24</v>
      </c>
      <c r="E515">
        <v>254</v>
      </c>
      <c r="F515">
        <v>154571.73000000001</v>
      </c>
    </row>
    <row r="516" spans="1:6" x14ac:dyDescent="0.3">
      <c r="A516">
        <v>2023</v>
      </c>
      <c r="B516">
        <v>5</v>
      </c>
      <c r="C516" s="105" t="s">
        <v>41</v>
      </c>
      <c r="D516" s="105" t="s">
        <v>25</v>
      </c>
      <c r="E516">
        <v>387</v>
      </c>
      <c r="F516">
        <v>268390.45</v>
      </c>
    </row>
    <row r="517" spans="1:6" x14ac:dyDescent="0.3">
      <c r="A517">
        <v>2023</v>
      </c>
      <c r="B517">
        <v>5</v>
      </c>
      <c r="C517" s="105" t="s">
        <v>41</v>
      </c>
      <c r="D517" s="105" t="s">
        <v>26</v>
      </c>
      <c r="E517">
        <v>177</v>
      </c>
      <c r="F517">
        <v>138154.29999999999</v>
      </c>
    </row>
    <row r="518" spans="1:6" x14ac:dyDescent="0.3">
      <c r="A518">
        <v>2023</v>
      </c>
      <c r="B518">
        <v>5</v>
      </c>
      <c r="C518" s="105" t="s">
        <v>41</v>
      </c>
      <c r="D518" s="105" t="s">
        <v>27</v>
      </c>
      <c r="E518">
        <v>261</v>
      </c>
      <c r="F518">
        <v>190139.72</v>
      </c>
    </row>
    <row r="519" spans="1:6" x14ac:dyDescent="0.3">
      <c r="A519">
        <v>2023</v>
      </c>
      <c r="B519">
        <v>5</v>
      </c>
      <c r="C519" s="105" t="s">
        <v>41</v>
      </c>
      <c r="D519" s="105" t="s">
        <v>28</v>
      </c>
      <c r="E519">
        <v>188</v>
      </c>
      <c r="F519">
        <v>111564.61</v>
      </c>
    </row>
    <row r="520" spans="1:6" x14ac:dyDescent="0.3">
      <c r="A520">
        <v>2023</v>
      </c>
      <c r="B520">
        <v>5</v>
      </c>
      <c r="C520" s="105" t="s">
        <v>41</v>
      </c>
      <c r="D520" s="105" t="s">
        <v>29</v>
      </c>
      <c r="E520">
        <v>156</v>
      </c>
      <c r="F520">
        <v>113079.45</v>
      </c>
    </row>
    <row r="521" spans="1:6" x14ac:dyDescent="0.3">
      <c r="A521">
        <v>2023</v>
      </c>
      <c r="B521">
        <v>5</v>
      </c>
      <c r="C521" s="105" t="s">
        <v>41</v>
      </c>
      <c r="D521" s="105" t="s">
        <v>30</v>
      </c>
      <c r="E521">
        <v>148</v>
      </c>
      <c r="F521">
        <v>99664.36</v>
      </c>
    </row>
    <row r="522" spans="1:6" x14ac:dyDescent="0.3">
      <c r="A522">
        <v>2023</v>
      </c>
      <c r="B522">
        <v>5</v>
      </c>
      <c r="C522" s="105" t="s">
        <v>41</v>
      </c>
      <c r="D522" s="105" t="s">
        <v>31</v>
      </c>
      <c r="E522">
        <v>282</v>
      </c>
      <c r="F522">
        <v>211470.72</v>
      </c>
    </row>
    <row r="523" spans="1:6" x14ac:dyDescent="0.3">
      <c r="A523">
        <v>2023</v>
      </c>
      <c r="B523">
        <v>5</v>
      </c>
      <c r="C523" s="105" t="s">
        <v>41</v>
      </c>
      <c r="D523" s="105" t="s">
        <v>32</v>
      </c>
      <c r="E523">
        <v>134</v>
      </c>
      <c r="F523">
        <v>102342.86</v>
      </c>
    </row>
    <row r="524" spans="1:6" x14ac:dyDescent="0.3">
      <c r="A524">
        <v>2023</v>
      </c>
      <c r="B524">
        <v>5</v>
      </c>
      <c r="C524" s="105" t="s">
        <v>41</v>
      </c>
      <c r="D524" s="105" t="s">
        <v>33</v>
      </c>
      <c r="E524">
        <v>240</v>
      </c>
      <c r="F524">
        <v>197544.01</v>
      </c>
    </row>
    <row r="525" spans="1:6" x14ac:dyDescent="0.3">
      <c r="A525">
        <v>2023</v>
      </c>
      <c r="B525">
        <v>5</v>
      </c>
      <c r="C525" s="105" t="s">
        <v>41</v>
      </c>
      <c r="D525" s="105" t="s">
        <v>34</v>
      </c>
      <c r="E525">
        <v>175</v>
      </c>
      <c r="F525">
        <v>125850.97</v>
      </c>
    </row>
    <row r="526" spans="1:6" x14ac:dyDescent="0.3">
      <c r="A526">
        <v>2023</v>
      </c>
      <c r="B526">
        <v>5</v>
      </c>
      <c r="C526" s="105" t="s">
        <v>41</v>
      </c>
      <c r="D526" s="105" t="s">
        <v>35</v>
      </c>
      <c r="E526">
        <v>81</v>
      </c>
      <c r="F526">
        <v>58628.44</v>
      </c>
    </row>
    <row r="527" spans="1:6" x14ac:dyDescent="0.3">
      <c r="A527">
        <v>2023</v>
      </c>
      <c r="B527">
        <v>5</v>
      </c>
      <c r="C527" s="105" t="s">
        <v>41</v>
      </c>
      <c r="D527" s="105" t="s">
        <v>36</v>
      </c>
      <c r="E527">
        <v>226</v>
      </c>
      <c r="F527">
        <v>156207.71</v>
      </c>
    </row>
    <row r="528" spans="1:6" x14ac:dyDescent="0.3">
      <c r="A528">
        <v>2023</v>
      </c>
      <c r="B528">
        <v>5</v>
      </c>
      <c r="C528" s="105" t="s">
        <v>41</v>
      </c>
      <c r="D528" s="105" t="s">
        <v>37</v>
      </c>
      <c r="E528">
        <v>117</v>
      </c>
      <c r="F528">
        <v>83692.990000000005</v>
      </c>
    </row>
    <row r="529" spans="1:6" x14ac:dyDescent="0.3">
      <c r="A529">
        <v>2023</v>
      </c>
      <c r="B529">
        <v>6</v>
      </c>
      <c r="C529" s="105" t="s">
        <v>42</v>
      </c>
      <c r="D529" s="105" t="s">
        <v>7</v>
      </c>
      <c r="E529">
        <v>278</v>
      </c>
      <c r="F529">
        <v>218856.63</v>
      </c>
    </row>
    <row r="530" spans="1:6" x14ac:dyDescent="0.3">
      <c r="A530">
        <v>2023</v>
      </c>
      <c r="B530">
        <v>6</v>
      </c>
      <c r="C530" s="105" t="s">
        <v>42</v>
      </c>
      <c r="D530" s="105" t="s">
        <v>8</v>
      </c>
      <c r="E530">
        <v>426</v>
      </c>
      <c r="F530">
        <v>250513.76</v>
      </c>
    </row>
    <row r="531" spans="1:6" x14ac:dyDescent="0.3">
      <c r="A531">
        <v>2023</v>
      </c>
      <c r="B531">
        <v>6</v>
      </c>
      <c r="C531" s="105" t="s">
        <v>42</v>
      </c>
      <c r="D531" s="105" t="s">
        <v>9</v>
      </c>
      <c r="E531">
        <v>57</v>
      </c>
      <c r="F531">
        <v>40627.75</v>
      </c>
    </row>
    <row r="532" spans="1:6" x14ac:dyDescent="0.3">
      <c r="A532">
        <v>2023</v>
      </c>
      <c r="B532">
        <v>6</v>
      </c>
      <c r="C532" s="105" t="s">
        <v>42</v>
      </c>
      <c r="D532" s="105" t="s">
        <v>10</v>
      </c>
      <c r="E532">
        <v>306</v>
      </c>
      <c r="F532">
        <v>257991.74</v>
      </c>
    </row>
    <row r="533" spans="1:6" x14ac:dyDescent="0.3">
      <c r="A533">
        <v>2023</v>
      </c>
      <c r="B533">
        <v>6</v>
      </c>
      <c r="C533" s="105" t="s">
        <v>42</v>
      </c>
      <c r="D533" s="105" t="s">
        <v>11</v>
      </c>
      <c r="E533">
        <v>196</v>
      </c>
      <c r="F533">
        <v>152202.62</v>
      </c>
    </row>
    <row r="534" spans="1:6" x14ac:dyDescent="0.3">
      <c r="A534">
        <v>2023</v>
      </c>
      <c r="B534">
        <v>6</v>
      </c>
      <c r="C534" s="105" t="s">
        <v>42</v>
      </c>
      <c r="D534" s="105" t="s">
        <v>12</v>
      </c>
      <c r="E534">
        <v>106</v>
      </c>
      <c r="F534">
        <v>69476.92</v>
      </c>
    </row>
    <row r="535" spans="1:6" x14ac:dyDescent="0.3">
      <c r="A535">
        <v>2023</v>
      </c>
      <c r="B535">
        <v>6</v>
      </c>
      <c r="C535" s="105" t="s">
        <v>42</v>
      </c>
      <c r="D535" s="105" t="s">
        <v>13</v>
      </c>
      <c r="E535">
        <v>182</v>
      </c>
      <c r="F535">
        <v>123433.89</v>
      </c>
    </row>
    <row r="536" spans="1:6" x14ac:dyDescent="0.3">
      <c r="A536">
        <v>2023</v>
      </c>
      <c r="B536">
        <v>6</v>
      </c>
      <c r="C536" s="105" t="s">
        <v>42</v>
      </c>
      <c r="D536" s="105" t="s">
        <v>14</v>
      </c>
      <c r="E536">
        <v>371</v>
      </c>
      <c r="F536">
        <v>224831.95</v>
      </c>
    </row>
    <row r="537" spans="1:6" x14ac:dyDescent="0.3">
      <c r="A537">
        <v>2023</v>
      </c>
      <c r="B537">
        <v>6</v>
      </c>
      <c r="C537" s="105" t="s">
        <v>42</v>
      </c>
      <c r="D537" s="105" t="s">
        <v>15</v>
      </c>
      <c r="E537">
        <v>145</v>
      </c>
      <c r="F537">
        <v>85050.18</v>
      </c>
    </row>
    <row r="538" spans="1:6" x14ac:dyDescent="0.3">
      <c r="A538">
        <v>2023</v>
      </c>
      <c r="B538">
        <v>6</v>
      </c>
      <c r="C538" s="105" t="s">
        <v>42</v>
      </c>
      <c r="D538" s="105" t="s">
        <v>16</v>
      </c>
      <c r="E538">
        <v>188</v>
      </c>
      <c r="F538">
        <v>157746</v>
      </c>
    </row>
    <row r="539" spans="1:6" x14ac:dyDescent="0.3">
      <c r="A539">
        <v>2023</v>
      </c>
      <c r="B539">
        <v>6</v>
      </c>
      <c r="C539" s="105" t="s">
        <v>42</v>
      </c>
      <c r="D539" s="105" t="s">
        <v>17</v>
      </c>
      <c r="E539">
        <v>346</v>
      </c>
      <c r="F539">
        <v>284097.09000000003</v>
      </c>
    </row>
    <row r="540" spans="1:6" x14ac:dyDescent="0.3">
      <c r="A540">
        <v>2023</v>
      </c>
      <c r="B540">
        <v>6</v>
      </c>
      <c r="C540" s="105" t="s">
        <v>42</v>
      </c>
      <c r="D540" s="105" t="s">
        <v>18</v>
      </c>
      <c r="E540">
        <v>494</v>
      </c>
      <c r="F540">
        <v>419586.96</v>
      </c>
    </row>
    <row r="541" spans="1:6" x14ac:dyDescent="0.3">
      <c r="A541">
        <v>2023</v>
      </c>
      <c r="B541">
        <v>6</v>
      </c>
      <c r="C541" s="105" t="s">
        <v>42</v>
      </c>
      <c r="D541" s="105" t="s">
        <v>19</v>
      </c>
      <c r="E541">
        <v>188</v>
      </c>
      <c r="F541">
        <v>109425.34</v>
      </c>
    </row>
    <row r="542" spans="1:6" x14ac:dyDescent="0.3">
      <c r="A542">
        <v>2023</v>
      </c>
      <c r="B542">
        <v>6</v>
      </c>
      <c r="C542" s="105" t="s">
        <v>42</v>
      </c>
      <c r="D542" s="105" t="s">
        <v>20</v>
      </c>
      <c r="E542">
        <v>222</v>
      </c>
      <c r="F542">
        <v>148599.73000000001</v>
      </c>
    </row>
    <row r="543" spans="1:6" x14ac:dyDescent="0.3">
      <c r="A543">
        <v>2023</v>
      </c>
      <c r="B543">
        <v>6</v>
      </c>
      <c r="C543" s="105" t="s">
        <v>42</v>
      </c>
      <c r="D543" s="105" t="s">
        <v>21</v>
      </c>
      <c r="E543">
        <v>444</v>
      </c>
      <c r="F543">
        <v>370827.68</v>
      </c>
    </row>
    <row r="544" spans="1:6" x14ac:dyDescent="0.3">
      <c r="A544">
        <v>2023</v>
      </c>
      <c r="B544">
        <v>6</v>
      </c>
      <c r="C544" s="105" t="s">
        <v>42</v>
      </c>
      <c r="D544" s="105" t="s">
        <v>22</v>
      </c>
      <c r="E544">
        <v>142</v>
      </c>
      <c r="F544">
        <v>87978.16</v>
      </c>
    </row>
    <row r="545" spans="1:6" x14ac:dyDescent="0.3">
      <c r="A545">
        <v>2023</v>
      </c>
      <c r="B545">
        <v>6</v>
      </c>
      <c r="C545" s="105" t="s">
        <v>42</v>
      </c>
      <c r="D545" s="105" t="s">
        <v>23</v>
      </c>
      <c r="E545">
        <v>212</v>
      </c>
      <c r="F545">
        <v>180323.39</v>
      </c>
    </row>
    <row r="546" spans="1:6" x14ac:dyDescent="0.3">
      <c r="A546">
        <v>2023</v>
      </c>
      <c r="B546">
        <v>6</v>
      </c>
      <c r="C546" s="105" t="s">
        <v>42</v>
      </c>
      <c r="D546" s="105" t="s">
        <v>24</v>
      </c>
      <c r="E546">
        <v>374</v>
      </c>
      <c r="F546">
        <v>224817.07</v>
      </c>
    </row>
    <row r="547" spans="1:6" x14ac:dyDescent="0.3">
      <c r="A547">
        <v>2023</v>
      </c>
      <c r="B547">
        <v>6</v>
      </c>
      <c r="C547" s="105" t="s">
        <v>42</v>
      </c>
      <c r="D547" s="105" t="s">
        <v>25</v>
      </c>
      <c r="E547">
        <v>337</v>
      </c>
      <c r="F547">
        <v>238663.85</v>
      </c>
    </row>
    <row r="548" spans="1:6" x14ac:dyDescent="0.3">
      <c r="A548">
        <v>2023</v>
      </c>
      <c r="B548">
        <v>6</v>
      </c>
      <c r="C548" s="105" t="s">
        <v>42</v>
      </c>
      <c r="D548" s="105" t="s">
        <v>26</v>
      </c>
      <c r="E548">
        <v>267</v>
      </c>
      <c r="F548">
        <v>212283.57</v>
      </c>
    </row>
    <row r="549" spans="1:6" x14ac:dyDescent="0.3">
      <c r="A549">
        <v>2023</v>
      </c>
      <c r="B549">
        <v>6</v>
      </c>
      <c r="C549" s="105" t="s">
        <v>42</v>
      </c>
      <c r="D549" s="105" t="s">
        <v>27</v>
      </c>
      <c r="E549">
        <v>266</v>
      </c>
      <c r="F549">
        <v>199834.08</v>
      </c>
    </row>
    <row r="550" spans="1:6" x14ac:dyDescent="0.3">
      <c r="A550">
        <v>2023</v>
      </c>
      <c r="B550">
        <v>6</v>
      </c>
      <c r="C550" s="105" t="s">
        <v>42</v>
      </c>
      <c r="D550" s="105" t="s">
        <v>28</v>
      </c>
      <c r="E550">
        <v>188</v>
      </c>
      <c r="F550">
        <v>116979.22</v>
      </c>
    </row>
    <row r="551" spans="1:6" x14ac:dyDescent="0.3">
      <c r="A551">
        <v>2023</v>
      </c>
      <c r="B551">
        <v>6</v>
      </c>
      <c r="C551" s="105" t="s">
        <v>42</v>
      </c>
      <c r="D551" s="105" t="s">
        <v>29</v>
      </c>
      <c r="E551">
        <v>203</v>
      </c>
      <c r="F551">
        <v>152998.93</v>
      </c>
    </row>
    <row r="552" spans="1:6" x14ac:dyDescent="0.3">
      <c r="A552">
        <v>2023</v>
      </c>
      <c r="B552">
        <v>6</v>
      </c>
      <c r="C552" s="105" t="s">
        <v>42</v>
      </c>
      <c r="D552" s="105" t="s">
        <v>30</v>
      </c>
      <c r="E552">
        <v>127</v>
      </c>
      <c r="F552">
        <v>82944.22</v>
      </c>
    </row>
    <row r="553" spans="1:6" x14ac:dyDescent="0.3">
      <c r="A553">
        <v>2023</v>
      </c>
      <c r="B553">
        <v>6</v>
      </c>
      <c r="C553" s="105" t="s">
        <v>42</v>
      </c>
      <c r="D553" s="105" t="s">
        <v>31</v>
      </c>
      <c r="E553">
        <v>455</v>
      </c>
      <c r="F553">
        <v>368089.16</v>
      </c>
    </row>
    <row r="554" spans="1:6" x14ac:dyDescent="0.3">
      <c r="A554">
        <v>2023</v>
      </c>
      <c r="B554">
        <v>6</v>
      </c>
      <c r="C554" s="105" t="s">
        <v>42</v>
      </c>
      <c r="D554" s="105" t="s">
        <v>32</v>
      </c>
      <c r="E554">
        <v>159</v>
      </c>
      <c r="F554">
        <v>124674.97</v>
      </c>
    </row>
    <row r="555" spans="1:6" x14ac:dyDescent="0.3">
      <c r="A555">
        <v>2023</v>
      </c>
      <c r="B555">
        <v>6</v>
      </c>
      <c r="C555" s="105" t="s">
        <v>42</v>
      </c>
      <c r="D555" s="105" t="s">
        <v>33</v>
      </c>
      <c r="E555">
        <v>396</v>
      </c>
      <c r="F555">
        <v>277516.57</v>
      </c>
    </row>
    <row r="556" spans="1:6" x14ac:dyDescent="0.3">
      <c r="A556">
        <v>2023</v>
      </c>
      <c r="B556">
        <v>6</v>
      </c>
      <c r="C556" s="105" t="s">
        <v>42</v>
      </c>
      <c r="D556" s="105" t="s">
        <v>34</v>
      </c>
      <c r="E556">
        <v>252</v>
      </c>
      <c r="F556">
        <v>178844.54</v>
      </c>
    </row>
    <row r="557" spans="1:6" x14ac:dyDescent="0.3">
      <c r="A557">
        <v>2023</v>
      </c>
      <c r="B557">
        <v>6</v>
      </c>
      <c r="C557" s="105" t="s">
        <v>42</v>
      </c>
      <c r="D557" s="105" t="s">
        <v>49</v>
      </c>
      <c r="E557">
        <v>4</v>
      </c>
      <c r="F557">
        <v>2630</v>
      </c>
    </row>
    <row r="558" spans="1:6" x14ac:dyDescent="0.3">
      <c r="A558">
        <v>2023</v>
      </c>
      <c r="B558">
        <v>6</v>
      </c>
      <c r="C558" s="105" t="s">
        <v>42</v>
      </c>
      <c r="D558" s="105" t="s">
        <v>35</v>
      </c>
      <c r="E558">
        <v>116</v>
      </c>
      <c r="F558">
        <v>81475.320000000007</v>
      </c>
    </row>
    <row r="559" spans="1:6" x14ac:dyDescent="0.3">
      <c r="A559">
        <v>2023</v>
      </c>
      <c r="B559">
        <v>6</v>
      </c>
      <c r="C559" s="105" t="s">
        <v>42</v>
      </c>
      <c r="D559" s="105" t="s">
        <v>36</v>
      </c>
      <c r="E559">
        <v>241</v>
      </c>
      <c r="F559">
        <v>166783.67000000001</v>
      </c>
    </row>
    <row r="560" spans="1:6" x14ac:dyDescent="0.3">
      <c r="A560">
        <v>2023</v>
      </c>
      <c r="B560">
        <v>6</v>
      </c>
      <c r="C560" s="105" t="s">
        <v>42</v>
      </c>
      <c r="D560" s="105" t="s">
        <v>37</v>
      </c>
      <c r="E560">
        <v>173</v>
      </c>
      <c r="F560">
        <v>139410.47</v>
      </c>
    </row>
    <row r="561" spans="1:6" x14ac:dyDescent="0.3">
      <c r="A561">
        <v>2023</v>
      </c>
      <c r="B561">
        <v>7</v>
      </c>
      <c r="C561" s="105" t="s">
        <v>43</v>
      </c>
      <c r="D561" s="105" t="s">
        <v>7</v>
      </c>
      <c r="E561">
        <v>214</v>
      </c>
      <c r="F561">
        <v>187071.08</v>
      </c>
    </row>
    <row r="562" spans="1:6" x14ac:dyDescent="0.3">
      <c r="A562">
        <v>2023</v>
      </c>
      <c r="B562">
        <v>7</v>
      </c>
      <c r="C562" s="105" t="s">
        <v>43</v>
      </c>
      <c r="D562" s="105" t="s">
        <v>8</v>
      </c>
      <c r="E562">
        <v>297</v>
      </c>
      <c r="F562">
        <v>178352.47</v>
      </c>
    </row>
    <row r="563" spans="1:6" x14ac:dyDescent="0.3">
      <c r="A563">
        <v>2023</v>
      </c>
      <c r="B563">
        <v>7</v>
      </c>
      <c r="C563" s="105" t="s">
        <v>43</v>
      </c>
      <c r="D563" s="105" t="s">
        <v>9</v>
      </c>
      <c r="E563">
        <v>41</v>
      </c>
      <c r="F563">
        <v>31132.82</v>
      </c>
    </row>
    <row r="564" spans="1:6" x14ac:dyDescent="0.3">
      <c r="A564">
        <v>2023</v>
      </c>
      <c r="B564">
        <v>7</v>
      </c>
      <c r="C564" s="105" t="s">
        <v>43</v>
      </c>
      <c r="D564" s="105" t="s">
        <v>10</v>
      </c>
      <c r="E564">
        <v>195</v>
      </c>
      <c r="F564">
        <v>165880</v>
      </c>
    </row>
    <row r="565" spans="1:6" x14ac:dyDescent="0.3">
      <c r="A565">
        <v>2023</v>
      </c>
      <c r="B565">
        <v>7</v>
      </c>
      <c r="C565" s="105" t="s">
        <v>43</v>
      </c>
      <c r="D565" s="105" t="s">
        <v>11</v>
      </c>
      <c r="E565">
        <v>166</v>
      </c>
      <c r="F565">
        <v>117565.45</v>
      </c>
    </row>
    <row r="566" spans="1:6" x14ac:dyDescent="0.3">
      <c r="A566">
        <v>2023</v>
      </c>
      <c r="B566">
        <v>7</v>
      </c>
      <c r="C566" s="105" t="s">
        <v>43</v>
      </c>
      <c r="D566" s="105" t="s">
        <v>12</v>
      </c>
      <c r="E566">
        <v>139</v>
      </c>
      <c r="F566">
        <v>96055.61</v>
      </c>
    </row>
    <row r="567" spans="1:6" x14ac:dyDescent="0.3">
      <c r="A567">
        <v>2023</v>
      </c>
      <c r="B567">
        <v>7</v>
      </c>
      <c r="C567" s="105" t="s">
        <v>43</v>
      </c>
      <c r="D567" s="105" t="s">
        <v>13</v>
      </c>
      <c r="E567">
        <v>188</v>
      </c>
      <c r="F567">
        <v>128986.77</v>
      </c>
    </row>
    <row r="568" spans="1:6" x14ac:dyDescent="0.3">
      <c r="A568">
        <v>2023</v>
      </c>
      <c r="B568">
        <v>7</v>
      </c>
      <c r="C568" s="105" t="s">
        <v>43</v>
      </c>
      <c r="D568" s="105" t="s">
        <v>14</v>
      </c>
      <c r="E568">
        <v>267</v>
      </c>
      <c r="F568">
        <v>172820.65</v>
      </c>
    </row>
    <row r="569" spans="1:6" x14ac:dyDescent="0.3">
      <c r="A569">
        <v>2023</v>
      </c>
      <c r="B569">
        <v>7</v>
      </c>
      <c r="C569" s="105" t="s">
        <v>43</v>
      </c>
      <c r="D569" s="105" t="s">
        <v>15</v>
      </c>
      <c r="E569">
        <v>115</v>
      </c>
      <c r="F569">
        <v>67128.33</v>
      </c>
    </row>
    <row r="570" spans="1:6" x14ac:dyDescent="0.3">
      <c r="A570">
        <v>2023</v>
      </c>
      <c r="B570">
        <v>7</v>
      </c>
      <c r="C570" s="105" t="s">
        <v>43</v>
      </c>
      <c r="D570" s="105" t="s">
        <v>16</v>
      </c>
      <c r="E570">
        <v>99</v>
      </c>
      <c r="F570">
        <v>83038.37</v>
      </c>
    </row>
    <row r="571" spans="1:6" x14ac:dyDescent="0.3">
      <c r="A571">
        <v>2023</v>
      </c>
      <c r="B571">
        <v>7</v>
      </c>
      <c r="C571" s="105" t="s">
        <v>43</v>
      </c>
      <c r="D571" s="105" t="s">
        <v>17</v>
      </c>
      <c r="E571">
        <v>267</v>
      </c>
      <c r="F571">
        <v>216791.96</v>
      </c>
    </row>
    <row r="572" spans="1:6" x14ac:dyDescent="0.3">
      <c r="A572">
        <v>2023</v>
      </c>
      <c r="B572">
        <v>7</v>
      </c>
      <c r="C572" s="105" t="s">
        <v>43</v>
      </c>
      <c r="D572" s="105" t="s">
        <v>18</v>
      </c>
      <c r="E572">
        <v>340</v>
      </c>
      <c r="F572">
        <v>289103.64</v>
      </c>
    </row>
    <row r="573" spans="1:6" x14ac:dyDescent="0.3">
      <c r="A573">
        <v>2023</v>
      </c>
      <c r="B573">
        <v>7</v>
      </c>
      <c r="C573" s="105" t="s">
        <v>43</v>
      </c>
      <c r="D573" s="105" t="s">
        <v>19</v>
      </c>
      <c r="E573">
        <v>173</v>
      </c>
      <c r="F573">
        <v>103175.6</v>
      </c>
    </row>
    <row r="574" spans="1:6" x14ac:dyDescent="0.3">
      <c r="A574">
        <v>2023</v>
      </c>
      <c r="B574">
        <v>7</v>
      </c>
      <c r="C574" s="105" t="s">
        <v>43</v>
      </c>
      <c r="D574" s="105" t="s">
        <v>20</v>
      </c>
      <c r="E574">
        <v>267</v>
      </c>
      <c r="F574">
        <v>205058.81</v>
      </c>
    </row>
    <row r="575" spans="1:6" x14ac:dyDescent="0.3">
      <c r="A575">
        <v>2023</v>
      </c>
      <c r="B575">
        <v>7</v>
      </c>
      <c r="C575" s="105" t="s">
        <v>43</v>
      </c>
      <c r="D575" s="105" t="s">
        <v>21</v>
      </c>
      <c r="E575">
        <v>454</v>
      </c>
      <c r="F575">
        <v>373701.51</v>
      </c>
    </row>
    <row r="576" spans="1:6" x14ac:dyDescent="0.3">
      <c r="A576">
        <v>2023</v>
      </c>
      <c r="B576">
        <v>7</v>
      </c>
      <c r="C576" s="105" t="s">
        <v>43</v>
      </c>
      <c r="D576" s="105" t="s">
        <v>22</v>
      </c>
      <c r="E576">
        <v>103</v>
      </c>
      <c r="F576">
        <v>65245.5</v>
      </c>
    </row>
    <row r="577" spans="1:6" x14ac:dyDescent="0.3">
      <c r="A577">
        <v>2023</v>
      </c>
      <c r="B577">
        <v>7</v>
      </c>
      <c r="C577" s="105" t="s">
        <v>43</v>
      </c>
      <c r="D577" s="105" t="s">
        <v>23</v>
      </c>
      <c r="E577">
        <v>177</v>
      </c>
      <c r="F577">
        <v>148118.42000000001</v>
      </c>
    </row>
    <row r="578" spans="1:6" x14ac:dyDescent="0.3">
      <c r="A578">
        <v>2023</v>
      </c>
      <c r="B578">
        <v>7</v>
      </c>
      <c r="C578" s="105" t="s">
        <v>43</v>
      </c>
      <c r="D578" s="105" t="s">
        <v>24</v>
      </c>
      <c r="E578">
        <v>212</v>
      </c>
      <c r="F578">
        <v>129037.17</v>
      </c>
    </row>
    <row r="579" spans="1:6" x14ac:dyDescent="0.3">
      <c r="A579">
        <v>2023</v>
      </c>
      <c r="B579">
        <v>7</v>
      </c>
      <c r="C579" s="105" t="s">
        <v>43</v>
      </c>
      <c r="D579" s="105" t="s">
        <v>25</v>
      </c>
      <c r="E579">
        <v>267</v>
      </c>
      <c r="F579">
        <v>197310.28</v>
      </c>
    </row>
    <row r="580" spans="1:6" x14ac:dyDescent="0.3">
      <c r="A580">
        <v>2023</v>
      </c>
      <c r="B580">
        <v>7</v>
      </c>
      <c r="C580" s="105" t="s">
        <v>43</v>
      </c>
      <c r="D580" s="105" t="s">
        <v>26</v>
      </c>
      <c r="E580">
        <v>224</v>
      </c>
      <c r="F580">
        <v>176685.28</v>
      </c>
    </row>
    <row r="581" spans="1:6" x14ac:dyDescent="0.3">
      <c r="A581">
        <v>2023</v>
      </c>
      <c r="B581">
        <v>7</v>
      </c>
      <c r="C581" s="105" t="s">
        <v>43</v>
      </c>
      <c r="D581" s="105" t="s">
        <v>27</v>
      </c>
      <c r="E581">
        <v>217</v>
      </c>
      <c r="F581">
        <v>150501.54999999999</v>
      </c>
    </row>
    <row r="582" spans="1:6" x14ac:dyDescent="0.3">
      <c r="A582">
        <v>2023</v>
      </c>
      <c r="B582">
        <v>7</v>
      </c>
      <c r="C582" s="105" t="s">
        <v>43</v>
      </c>
      <c r="D582" s="105" t="s">
        <v>28</v>
      </c>
      <c r="E582">
        <v>185</v>
      </c>
      <c r="F582">
        <v>113843.19</v>
      </c>
    </row>
    <row r="583" spans="1:6" x14ac:dyDescent="0.3">
      <c r="A583">
        <v>2023</v>
      </c>
      <c r="B583">
        <v>7</v>
      </c>
      <c r="C583" s="105" t="s">
        <v>43</v>
      </c>
      <c r="D583" s="105" t="s">
        <v>29</v>
      </c>
      <c r="E583">
        <v>235</v>
      </c>
      <c r="F583">
        <v>183697.88</v>
      </c>
    </row>
    <row r="584" spans="1:6" x14ac:dyDescent="0.3">
      <c r="A584">
        <v>2023</v>
      </c>
      <c r="B584">
        <v>7</v>
      </c>
      <c r="C584" s="105" t="s">
        <v>43</v>
      </c>
      <c r="D584" s="105" t="s">
        <v>30</v>
      </c>
      <c r="E584">
        <v>138</v>
      </c>
      <c r="F584">
        <v>92872.91</v>
      </c>
    </row>
    <row r="585" spans="1:6" x14ac:dyDescent="0.3">
      <c r="A585">
        <v>2023</v>
      </c>
      <c r="B585">
        <v>7</v>
      </c>
      <c r="C585" s="105" t="s">
        <v>43</v>
      </c>
      <c r="D585" s="105" t="s">
        <v>31</v>
      </c>
      <c r="E585">
        <v>361</v>
      </c>
      <c r="F585">
        <v>289521.90999999997</v>
      </c>
    </row>
    <row r="586" spans="1:6" x14ac:dyDescent="0.3">
      <c r="A586">
        <v>2023</v>
      </c>
      <c r="B586">
        <v>7</v>
      </c>
      <c r="C586" s="105" t="s">
        <v>43</v>
      </c>
      <c r="D586" s="105" t="s">
        <v>32</v>
      </c>
      <c r="E586">
        <v>128</v>
      </c>
      <c r="F586">
        <v>96438.86</v>
      </c>
    </row>
    <row r="587" spans="1:6" x14ac:dyDescent="0.3">
      <c r="A587">
        <v>2023</v>
      </c>
      <c r="B587">
        <v>7</v>
      </c>
      <c r="C587" s="105" t="s">
        <v>43</v>
      </c>
      <c r="D587" s="105" t="s">
        <v>33</v>
      </c>
      <c r="E587">
        <v>196</v>
      </c>
      <c r="F587">
        <v>161852.79999999999</v>
      </c>
    </row>
    <row r="588" spans="1:6" x14ac:dyDescent="0.3">
      <c r="A588">
        <v>2023</v>
      </c>
      <c r="B588">
        <v>7</v>
      </c>
      <c r="C588" s="105" t="s">
        <v>43</v>
      </c>
      <c r="D588" s="105" t="s">
        <v>34</v>
      </c>
      <c r="E588">
        <v>214</v>
      </c>
      <c r="F588">
        <v>153727.85</v>
      </c>
    </row>
    <row r="589" spans="1:6" x14ac:dyDescent="0.3">
      <c r="A589">
        <v>2023</v>
      </c>
      <c r="B589">
        <v>7</v>
      </c>
      <c r="C589" s="105" t="s">
        <v>43</v>
      </c>
      <c r="D589" s="105" t="s">
        <v>49</v>
      </c>
      <c r="E589">
        <v>7</v>
      </c>
      <c r="F589">
        <v>3556</v>
      </c>
    </row>
    <row r="590" spans="1:6" x14ac:dyDescent="0.3">
      <c r="A590">
        <v>2023</v>
      </c>
      <c r="B590">
        <v>7</v>
      </c>
      <c r="C590" s="105" t="s">
        <v>43</v>
      </c>
      <c r="D590" s="105" t="s">
        <v>35</v>
      </c>
      <c r="E590">
        <v>124</v>
      </c>
      <c r="F590">
        <v>87905.7</v>
      </c>
    </row>
    <row r="591" spans="1:6" x14ac:dyDescent="0.3">
      <c r="A591">
        <v>2023</v>
      </c>
      <c r="B591">
        <v>7</v>
      </c>
      <c r="C591" s="105" t="s">
        <v>43</v>
      </c>
      <c r="D591" s="105" t="s">
        <v>36</v>
      </c>
      <c r="E591">
        <v>152</v>
      </c>
      <c r="F591">
        <v>112895.63</v>
      </c>
    </row>
    <row r="592" spans="1:6" x14ac:dyDescent="0.3">
      <c r="A592">
        <v>2023</v>
      </c>
      <c r="B592">
        <v>7</v>
      </c>
      <c r="C592" s="105" t="s">
        <v>43</v>
      </c>
      <c r="D592" s="105" t="s">
        <v>37</v>
      </c>
      <c r="E592">
        <v>205</v>
      </c>
      <c r="F592">
        <v>160708.87</v>
      </c>
    </row>
    <row r="593" spans="1:6" x14ac:dyDescent="0.3">
      <c r="A593">
        <v>2023</v>
      </c>
      <c r="B593">
        <v>8</v>
      </c>
      <c r="C593" s="105" t="s">
        <v>44</v>
      </c>
      <c r="D593" s="105" t="s">
        <v>7</v>
      </c>
      <c r="E593">
        <v>261</v>
      </c>
      <c r="F593">
        <v>205313.52</v>
      </c>
    </row>
    <row r="594" spans="1:6" x14ac:dyDescent="0.3">
      <c r="A594">
        <v>2023</v>
      </c>
      <c r="B594">
        <v>8</v>
      </c>
      <c r="C594" s="105" t="s">
        <v>44</v>
      </c>
      <c r="D594" s="105" t="s">
        <v>8</v>
      </c>
      <c r="E594">
        <v>378</v>
      </c>
      <c r="F594">
        <v>231360.53</v>
      </c>
    </row>
    <row r="595" spans="1:6" x14ac:dyDescent="0.3">
      <c r="A595">
        <v>2023</v>
      </c>
      <c r="B595">
        <v>8</v>
      </c>
      <c r="C595" s="105" t="s">
        <v>44</v>
      </c>
      <c r="D595" s="105" t="s">
        <v>9</v>
      </c>
      <c r="E595">
        <v>103</v>
      </c>
      <c r="F595">
        <v>70886.25</v>
      </c>
    </row>
    <row r="596" spans="1:6" x14ac:dyDescent="0.3">
      <c r="A596">
        <v>2023</v>
      </c>
      <c r="B596">
        <v>8</v>
      </c>
      <c r="C596" s="105" t="s">
        <v>44</v>
      </c>
      <c r="D596" s="105" t="s">
        <v>10</v>
      </c>
      <c r="E596">
        <v>377</v>
      </c>
      <c r="F596">
        <v>300007.31</v>
      </c>
    </row>
    <row r="597" spans="1:6" x14ac:dyDescent="0.3">
      <c r="A597">
        <v>2023</v>
      </c>
      <c r="B597">
        <v>8</v>
      </c>
      <c r="C597" s="105" t="s">
        <v>44</v>
      </c>
      <c r="D597" s="105" t="s">
        <v>11</v>
      </c>
      <c r="E597">
        <v>243</v>
      </c>
      <c r="F597">
        <v>175961.36</v>
      </c>
    </row>
    <row r="598" spans="1:6" x14ac:dyDescent="0.3">
      <c r="A598">
        <v>2023</v>
      </c>
      <c r="B598">
        <v>8</v>
      </c>
      <c r="C598" s="105" t="s">
        <v>44</v>
      </c>
      <c r="D598" s="105" t="s">
        <v>12</v>
      </c>
      <c r="E598">
        <v>204</v>
      </c>
      <c r="F598">
        <v>130404.35</v>
      </c>
    </row>
    <row r="599" spans="1:6" x14ac:dyDescent="0.3">
      <c r="A599">
        <v>2023</v>
      </c>
      <c r="B599">
        <v>8</v>
      </c>
      <c r="C599" s="105" t="s">
        <v>44</v>
      </c>
      <c r="D599" s="105" t="s">
        <v>13</v>
      </c>
      <c r="E599">
        <v>257</v>
      </c>
      <c r="F599">
        <v>161358.93</v>
      </c>
    </row>
    <row r="600" spans="1:6" x14ac:dyDescent="0.3">
      <c r="A600">
        <v>2023</v>
      </c>
      <c r="B600">
        <v>8</v>
      </c>
      <c r="C600" s="105" t="s">
        <v>44</v>
      </c>
      <c r="D600" s="105" t="s">
        <v>14</v>
      </c>
      <c r="E600">
        <v>301</v>
      </c>
      <c r="F600">
        <v>186934.21</v>
      </c>
    </row>
    <row r="601" spans="1:6" x14ac:dyDescent="0.3">
      <c r="A601">
        <v>2023</v>
      </c>
      <c r="B601">
        <v>8</v>
      </c>
      <c r="C601" s="105" t="s">
        <v>44</v>
      </c>
      <c r="D601" s="105" t="s">
        <v>15</v>
      </c>
      <c r="E601">
        <v>138</v>
      </c>
      <c r="F601">
        <v>79478.16</v>
      </c>
    </row>
    <row r="602" spans="1:6" x14ac:dyDescent="0.3">
      <c r="A602">
        <v>2023</v>
      </c>
      <c r="B602">
        <v>8</v>
      </c>
      <c r="C602" s="105" t="s">
        <v>44</v>
      </c>
      <c r="D602" s="105" t="s">
        <v>16</v>
      </c>
      <c r="E602">
        <v>246</v>
      </c>
      <c r="F602">
        <v>165515.35999999999</v>
      </c>
    </row>
    <row r="603" spans="1:6" x14ac:dyDescent="0.3">
      <c r="A603">
        <v>2023</v>
      </c>
      <c r="B603">
        <v>8</v>
      </c>
      <c r="C603" s="105" t="s">
        <v>44</v>
      </c>
      <c r="D603" s="105" t="s">
        <v>17</v>
      </c>
      <c r="E603">
        <v>398</v>
      </c>
      <c r="F603">
        <v>312760.19</v>
      </c>
    </row>
    <row r="604" spans="1:6" x14ac:dyDescent="0.3">
      <c r="A604">
        <v>2023</v>
      </c>
      <c r="B604">
        <v>8</v>
      </c>
      <c r="C604" s="105" t="s">
        <v>44</v>
      </c>
      <c r="D604" s="105" t="s">
        <v>18</v>
      </c>
      <c r="E604">
        <v>558</v>
      </c>
      <c r="F604">
        <v>432489.12</v>
      </c>
    </row>
    <row r="605" spans="1:6" x14ac:dyDescent="0.3">
      <c r="A605">
        <v>2023</v>
      </c>
      <c r="B605">
        <v>8</v>
      </c>
      <c r="C605" s="105" t="s">
        <v>44</v>
      </c>
      <c r="D605" s="105" t="s">
        <v>19</v>
      </c>
      <c r="E605">
        <v>242</v>
      </c>
      <c r="F605">
        <v>148875.85999999999</v>
      </c>
    </row>
    <row r="606" spans="1:6" x14ac:dyDescent="0.3">
      <c r="A606">
        <v>2023</v>
      </c>
      <c r="B606">
        <v>8</v>
      </c>
      <c r="C606" s="105" t="s">
        <v>44</v>
      </c>
      <c r="D606" s="105" t="s">
        <v>20</v>
      </c>
      <c r="E606">
        <v>276</v>
      </c>
      <c r="F606">
        <v>189710.38</v>
      </c>
    </row>
    <row r="607" spans="1:6" x14ac:dyDescent="0.3">
      <c r="A607">
        <v>2023</v>
      </c>
      <c r="B607">
        <v>8</v>
      </c>
      <c r="C607" s="105" t="s">
        <v>44</v>
      </c>
      <c r="D607" s="105" t="s">
        <v>21</v>
      </c>
      <c r="E607">
        <v>506</v>
      </c>
      <c r="F607">
        <v>348229.13</v>
      </c>
    </row>
    <row r="608" spans="1:6" x14ac:dyDescent="0.3">
      <c r="A608">
        <v>2023</v>
      </c>
      <c r="B608">
        <v>8</v>
      </c>
      <c r="C608" s="105" t="s">
        <v>44</v>
      </c>
      <c r="D608" s="105" t="s">
        <v>22</v>
      </c>
      <c r="E608">
        <v>166</v>
      </c>
      <c r="F608">
        <v>99085.13</v>
      </c>
    </row>
    <row r="609" spans="1:6" x14ac:dyDescent="0.3">
      <c r="A609">
        <v>2023</v>
      </c>
      <c r="B609">
        <v>8</v>
      </c>
      <c r="C609" s="105" t="s">
        <v>44</v>
      </c>
      <c r="D609" s="105" t="s">
        <v>23</v>
      </c>
      <c r="E609">
        <v>275</v>
      </c>
      <c r="F609">
        <v>224511.32</v>
      </c>
    </row>
    <row r="610" spans="1:6" x14ac:dyDescent="0.3">
      <c r="A610">
        <v>2023</v>
      </c>
      <c r="B610">
        <v>8</v>
      </c>
      <c r="C610" s="105" t="s">
        <v>44</v>
      </c>
      <c r="D610" s="105" t="s">
        <v>24</v>
      </c>
      <c r="E610">
        <v>288</v>
      </c>
      <c r="F610">
        <v>179177.28</v>
      </c>
    </row>
    <row r="611" spans="1:6" x14ac:dyDescent="0.3">
      <c r="A611">
        <v>2023</v>
      </c>
      <c r="B611">
        <v>8</v>
      </c>
      <c r="C611" s="105" t="s">
        <v>44</v>
      </c>
      <c r="D611" s="105" t="s">
        <v>25</v>
      </c>
      <c r="E611">
        <v>338</v>
      </c>
      <c r="F611">
        <v>236975.2</v>
      </c>
    </row>
    <row r="612" spans="1:6" x14ac:dyDescent="0.3">
      <c r="A612">
        <v>2023</v>
      </c>
      <c r="B612">
        <v>8</v>
      </c>
      <c r="C612" s="105" t="s">
        <v>44</v>
      </c>
      <c r="D612" s="105" t="s">
        <v>26</v>
      </c>
      <c r="E612">
        <v>332</v>
      </c>
      <c r="F612">
        <v>251523.47</v>
      </c>
    </row>
    <row r="613" spans="1:6" x14ac:dyDescent="0.3">
      <c r="A613">
        <v>2023</v>
      </c>
      <c r="B613">
        <v>8</v>
      </c>
      <c r="C613" s="105" t="s">
        <v>44</v>
      </c>
      <c r="D613" s="105" t="s">
        <v>27</v>
      </c>
      <c r="E613">
        <v>418</v>
      </c>
      <c r="F613">
        <v>292397.38</v>
      </c>
    </row>
    <row r="614" spans="1:6" x14ac:dyDescent="0.3">
      <c r="A614">
        <v>2023</v>
      </c>
      <c r="B614">
        <v>8</v>
      </c>
      <c r="C614" s="105" t="s">
        <v>44</v>
      </c>
      <c r="D614" s="105" t="s">
        <v>28</v>
      </c>
      <c r="E614">
        <v>170</v>
      </c>
      <c r="F614">
        <v>102941.74</v>
      </c>
    </row>
    <row r="615" spans="1:6" x14ac:dyDescent="0.3">
      <c r="A615">
        <v>2023</v>
      </c>
      <c r="B615">
        <v>8</v>
      </c>
      <c r="C615" s="105" t="s">
        <v>44</v>
      </c>
      <c r="D615" s="105" t="s">
        <v>29</v>
      </c>
      <c r="E615">
        <v>309</v>
      </c>
      <c r="F615">
        <v>233031.06</v>
      </c>
    </row>
    <row r="616" spans="1:6" x14ac:dyDescent="0.3">
      <c r="A616">
        <v>2023</v>
      </c>
      <c r="B616">
        <v>8</v>
      </c>
      <c r="C616" s="105" t="s">
        <v>44</v>
      </c>
      <c r="D616" s="105" t="s">
        <v>30</v>
      </c>
      <c r="E616">
        <v>197</v>
      </c>
      <c r="F616">
        <v>131964.29</v>
      </c>
    </row>
    <row r="617" spans="1:6" x14ac:dyDescent="0.3">
      <c r="A617">
        <v>2023</v>
      </c>
      <c r="B617">
        <v>8</v>
      </c>
      <c r="C617" s="105" t="s">
        <v>44</v>
      </c>
      <c r="D617" s="105" t="s">
        <v>31</v>
      </c>
      <c r="E617">
        <v>512</v>
      </c>
      <c r="F617">
        <v>380407.46</v>
      </c>
    </row>
    <row r="618" spans="1:6" x14ac:dyDescent="0.3">
      <c r="A618">
        <v>2023</v>
      </c>
      <c r="B618">
        <v>8</v>
      </c>
      <c r="C618" s="105" t="s">
        <v>44</v>
      </c>
      <c r="D618" s="105" t="s">
        <v>32</v>
      </c>
      <c r="E618">
        <v>174</v>
      </c>
      <c r="F618">
        <v>124400.01</v>
      </c>
    </row>
    <row r="619" spans="1:6" x14ac:dyDescent="0.3">
      <c r="A619">
        <v>2023</v>
      </c>
      <c r="B619">
        <v>8</v>
      </c>
      <c r="C619" s="105" t="s">
        <v>44</v>
      </c>
      <c r="D619" s="105" t="s">
        <v>33</v>
      </c>
      <c r="E619">
        <v>434</v>
      </c>
      <c r="F619">
        <v>290151.84000000003</v>
      </c>
    </row>
    <row r="620" spans="1:6" x14ac:dyDescent="0.3">
      <c r="A620">
        <v>2023</v>
      </c>
      <c r="B620">
        <v>8</v>
      </c>
      <c r="C620" s="105" t="s">
        <v>44</v>
      </c>
      <c r="D620" s="105" t="s">
        <v>34</v>
      </c>
      <c r="E620">
        <v>295</v>
      </c>
      <c r="F620">
        <v>227410.24</v>
      </c>
    </row>
    <row r="621" spans="1:6" x14ac:dyDescent="0.3">
      <c r="A621">
        <v>2023</v>
      </c>
      <c r="B621">
        <v>8</v>
      </c>
      <c r="C621" s="105" t="s">
        <v>44</v>
      </c>
      <c r="D621" s="105" t="s">
        <v>49</v>
      </c>
      <c r="E621">
        <v>2</v>
      </c>
      <c r="F621">
        <v>1055</v>
      </c>
    </row>
    <row r="622" spans="1:6" x14ac:dyDescent="0.3">
      <c r="A622">
        <v>2023</v>
      </c>
      <c r="B622">
        <v>8</v>
      </c>
      <c r="C622" s="105" t="s">
        <v>44</v>
      </c>
      <c r="D622" s="105" t="s">
        <v>35</v>
      </c>
      <c r="E622">
        <v>187</v>
      </c>
      <c r="F622">
        <v>131880.28</v>
      </c>
    </row>
    <row r="623" spans="1:6" x14ac:dyDescent="0.3">
      <c r="A623">
        <v>2023</v>
      </c>
      <c r="B623">
        <v>8</v>
      </c>
      <c r="C623" s="105" t="s">
        <v>44</v>
      </c>
      <c r="D623" s="105" t="s">
        <v>36</v>
      </c>
      <c r="E623">
        <v>368</v>
      </c>
      <c r="F623">
        <v>268004.33</v>
      </c>
    </row>
    <row r="624" spans="1:6" x14ac:dyDescent="0.3">
      <c r="A624">
        <v>2023</v>
      </c>
      <c r="B624">
        <v>8</v>
      </c>
      <c r="C624" s="105" t="s">
        <v>44</v>
      </c>
      <c r="D624" s="105" t="s">
        <v>37</v>
      </c>
      <c r="E624">
        <v>312</v>
      </c>
      <c r="F624">
        <v>240938.31</v>
      </c>
    </row>
    <row r="625" spans="1:6" x14ac:dyDescent="0.3">
      <c r="A625">
        <v>2023</v>
      </c>
      <c r="B625">
        <v>9</v>
      </c>
      <c r="C625" s="105" t="s">
        <v>45</v>
      </c>
      <c r="D625" s="105" t="s">
        <v>7</v>
      </c>
      <c r="E625">
        <v>268</v>
      </c>
      <c r="F625">
        <v>208342.45</v>
      </c>
    </row>
    <row r="626" spans="1:6" x14ac:dyDescent="0.3">
      <c r="A626">
        <v>2023</v>
      </c>
      <c r="B626">
        <v>9</v>
      </c>
      <c r="C626" s="105" t="s">
        <v>45</v>
      </c>
      <c r="D626" s="105" t="s">
        <v>8</v>
      </c>
      <c r="E626">
        <v>321</v>
      </c>
      <c r="F626">
        <v>189958.04</v>
      </c>
    </row>
    <row r="627" spans="1:6" x14ac:dyDescent="0.3">
      <c r="A627">
        <v>2023</v>
      </c>
      <c r="B627">
        <v>9</v>
      </c>
      <c r="C627" s="105" t="s">
        <v>45</v>
      </c>
      <c r="D627" s="105" t="s">
        <v>9</v>
      </c>
      <c r="E627">
        <v>77</v>
      </c>
      <c r="F627">
        <v>53134.41</v>
      </c>
    </row>
    <row r="628" spans="1:6" x14ac:dyDescent="0.3">
      <c r="A628">
        <v>2023</v>
      </c>
      <c r="B628">
        <v>9</v>
      </c>
      <c r="C628" s="105" t="s">
        <v>45</v>
      </c>
      <c r="D628" s="105" t="s">
        <v>10</v>
      </c>
      <c r="E628">
        <v>252</v>
      </c>
      <c r="F628">
        <v>196344.09</v>
      </c>
    </row>
    <row r="629" spans="1:6" x14ac:dyDescent="0.3">
      <c r="A629">
        <v>2023</v>
      </c>
      <c r="B629">
        <v>9</v>
      </c>
      <c r="C629" s="105" t="s">
        <v>45</v>
      </c>
      <c r="D629" s="105" t="s">
        <v>11</v>
      </c>
      <c r="E629">
        <v>252</v>
      </c>
      <c r="F629">
        <v>152194.15</v>
      </c>
    </row>
    <row r="630" spans="1:6" x14ac:dyDescent="0.3">
      <c r="A630">
        <v>2023</v>
      </c>
      <c r="B630">
        <v>9</v>
      </c>
      <c r="C630" s="105" t="s">
        <v>45</v>
      </c>
      <c r="D630" s="105" t="s">
        <v>12</v>
      </c>
      <c r="E630">
        <v>146</v>
      </c>
      <c r="F630">
        <v>87329.01</v>
      </c>
    </row>
    <row r="631" spans="1:6" x14ac:dyDescent="0.3">
      <c r="A631">
        <v>2023</v>
      </c>
      <c r="B631">
        <v>9</v>
      </c>
      <c r="C631" s="105" t="s">
        <v>45</v>
      </c>
      <c r="D631" s="105" t="s">
        <v>13</v>
      </c>
      <c r="E631">
        <v>242</v>
      </c>
      <c r="F631">
        <v>149914.76</v>
      </c>
    </row>
    <row r="632" spans="1:6" x14ac:dyDescent="0.3">
      <c r="A632">
        <v>2023</v>
      </c>
      <c r="B632">
        <v>9</v>
      </c>
      <c r="C632" s="105" t="s">
        <v>45</v>
      </c>
      <c r="D632" s="105" t="s">
        <v>14</v>
      </c>
      <c r="E632">
        <v>245</v>
      </c>
      <c r="F632">
        <v>157011.51999999999</v>
      </c>
    </row>
    <row r="633" spans="1:6" x14ac:dyDescent="0.3">
      <c r="A633">
        <v>2023</v>
      </c>
      <c r="B633">
        <v>9</v>
      </c>
      <c r="C633" s="105" t="s">
        <v>45</v>
      </c>
      <c r="D633" s="105" t="s">
        <v>15</v>
      </c>
      <c r="E633">
        <v>110</v>
      </c>
      <c r="F633">
        <v>67814.33</v>
      </c>
    </row>
    <row r="634" spans="1:6" x14ac:dyDescent="0.3">
      <c r="A634">
        <v>2023</v>
      </c>
      <c r="B634">
        <v>9</v>
      </c>
      <c r="C634" s="105" t="s">
        <v>45</v>
      </c>
      <c r="D634" s="105" t="s">
        <v>16</v>
      </c>
      <c r="E634">
        <v>196</v>
      </c>
      <c r="F634">
        <v>149165.71</v>
      </c>
    </row>
    <row r="635" spans="1:6" x14ac:dyDescent="0.3">
      <c r="A635">
        <v>2023</v>
      </c>
      <c r="B635">
        <v>9</v>
      </c>
      <c r="C635" s="105" t="s">
        <v>45</v>
      </c>
      <c r="D635" s="105" t="s">
        <v>17</v>
      </c>
      <c r="E635">
        <v>377</v>
      </c>
      <c r="F635">
        <v>279519.32</v>
      </c>
    </row>
    <row r="636" spans="1:6" x14ac:dyDescent="0.3">
      <c r="A636">
        <v>2023</v>
      </c>
      <c r="B636">
        <v>9</v>
      </c>
      <c r="C636" s="105" t="s">
        <v>45</v>
      </c>
      <c r="D636" s="105" t="s">
        <v>18</v>
      </c>
      <c r="E636">
        <v>505</v>
      </c>
      <c r="F636">
        <v>358984.78</v>
      </c>
    </row>
    <row r="637" spans="1:6" x14ac:dyDescent="0.3">
      <c r="A637">
        <v>2023</v>
      </c>
      <c r="B637">
        <v>9</v>
      </c>
      <c r="C637" s="105" t="s">
        <v>45</v>
      </c>
      <c r="D637" s="105" t="s">
        <v>19</v>
      </c>
      <c r="E637">
        <v>197</v>
      </c>
      <c r="F637">
        <v>122278.39999999999</v>
      </c>
    </row>
    <row r="638" spans="1:6" x14ac:dyDescent="0.3">
      <c r="A638">
        <v>2023</v>
      </c>
      <c r="B638">
        <v>9</v>
      </c>
      <c r="C638" s="105" t="s">
        <v>45</v>
      </c>
      <c r="D638" s="105" t="s">
        <v>20</v>
      </c>
      <c r="E638">
        <v>286</v>
      </c>
      <c r="F638">
        <v>189149.33</v>
      </c>
    </row>
    <row r="639" spans="1:6" x14ac:dyDescent="0.3">
      <c r="A639">
        <v>2023</v>
      </c>
      <c r="B639">
        <v>9</v>
      </c>
      <c r="C639" s="105" t="s">
        <v>45</v>
      </c>
      <c r="D639" s="105" t="s">
        <v>21</v>
      </c>
      <c r="E639">
        <v>659</v>
      </c>
      <c r="F639">
        <v>472895.58</v>
      </c>
    </row>
    <row r="640" spans="1:6" x14ac:dyDescent="0.3">
      <c r="A640">
        <v>2023</v>
      </c>
      <c r="B640">
        <v>9</v>
      </c>
      <c r="C640" s="105" t="s">
        <v>45</v>
      </c>
      <c r="D640" s="105" t="s">
        <v>22</v>
      </c>
      <c r="E640">
        <v>100</v>
      </c>
      <c r="F640">
        <v>62903.58</v>
      </c>
    </row>
    <row r="641" spans="1:6" x14ac:dyDescent="0.3">
      <c r="A641">
        <v>2023</v>
      </c>
      <c r="B641">
        <v>9</v>
      </c>
      <c r="C641" s="105" t="s">
        <v>45</v>
      </c>
      <c r="D641" s="105" t="s">
        <v>23</v>
      </c>
      <c r="E641">
        <v>213</v>
      </c>
      <c r="F641">
        <v>170285.03</v>
      </c>
    </row>
    <row r="642" spans="1:6" x14ac:dyDescent="0.3">
      <c r="A642">
        <v>2023</v>
      </c>
      <c r="B642">
        <v>9</v>
      </c>
      <c r="C642" s="105" t="s">
        <v>45</v>
      </c>
      <c r="D642" s="105" t="s">
        <v>24</v>
      </c>
      <c r="E642">
        <v>303</v>
      </c>
      <c r="F642">
        <v>187486.55</v>
      </c>
    </row>
    <row r="643" spans="1:6" x14ac:dyDescent="0.3">
      <c r="A643">
        <v>2023</v>
      </c>
      <c r="B643">
        <v>9</v>
      </c>
      <c r="C643" s="105" t="s">
        <v>45</v>
      </c>
      <c r="D643" s="105" t="s">
        <v>25</v>
      </c>
      <c r="E643">
        <v>288</v>
      </c>
      <c r="F643">
        <v>211899.75</v>
      </c>
    </row>
    <row r="644" spans="1:6" x14ac:dyDescent="0.3">
      <c r="A644">
        <v>2023</v>
      </c>
      <c r="B644">
        <v>9</v>
      </c>
      <c r="C644" s="105" t="s">
        <v>45</v>
      </c>
      <c r="D644" s="105" t="s">
        <v>26</v>
      </c>
      <c r="E644">
        <v>259</v>
      </c>
      <c r="F644">
        <v>196181.19</v>
      </c>
    </row>
    <row r="645" spans="1:6" x14ac:dyDescent="0.3">
      <c r="A645">
        <v>2023</v>
      </c>
      <c r="B645">
        <v>9</v>
      </c>
      <c r="C645" s="105" t="s">
        <v>45</v>
      </c>
      <c r="D645" s="105" t="s">
        <v>27</v>
      </c>
      <c r="E645">
        <v>238</v>
      </c>
      <c r="F645">
        <v>168750.16</v>
      </c>
    </row>
    <row r="646" spans="1:6" x14ac:dyDescent="0.3">
      <c r="A646">
        <v>2023</v>
      </c>
      <c r="B646">
        <v>9</v>
      </c>
      <c r="C646" s="105" t="s">
        <v>45</v>
      </c>
      <c r="D646" s="105" t="s">
        <v>28</v>
      </c>
      <c r="E646">
        <v>177</v>
      </c>
      <c r="F646">
        <v>109050.58</v>
      </c>
    </row>
    <row r="647" spans="1:6" x14ac:dyDescent="0.3">
      <c r="A647">
        <v>2023</v>
      </c>
      <c r="B647">
        <v>9</v>
      </c>
      <c r="C647" s="105" t="s">
        <v>45</v>
      </c>
      <c r="D647" s="105" t="s">
        <v>29</v>
      </c>
      <c r="E647">
        <v>348</v>
      </c>
      <c r="F647">
        <v>238350.12</v>
      </c>
    </row>
    <row r="648" spans="1:6" x14ac:dyDescent="0.3">
      <c r="A648">
        <v>2023</v>
      </c>
      <c r="B648">
        <v>9</v>
      </c>
      <c r="C648" s="105" t="s">
        <v>45</v>
      </c>
      <c r="D648" s="105" t="s">
        <v>30</v>
      </c>
      <c r="E648">
        <v>138</v>
      </c>
      <c r="F648">
        <v>88607.67</v>
      </c>
    </row>
    <row r="649" spans="1:6" x14ac:dyDescent="0.3">
      <c r="A649">
        <v>2023</v>
      </c>
      <c r="B649">
        <v>9</v>
      </c>
      <c r="C649" s="105" t="s">
        <v>45</v>
      </c>
      <c r="D649" s="105" t="s">
        <v>31</v>
      </c>
      <c r="E649">
        <v>419</v>
      </c>
      <c r="F649">
        <v>282060.15999999997</v>
      </c>
    </row>
    <row r="650" spans="1:6" x14ac:dyDescent="0.3">
      <c r="A650">
        <v>2023</v>
      </c>
      <c r="B650">
        <v>9</v>
      </c>
      <c r="C650" s="105" t="s">
        <v>45</v>
      </c>
      <c r="D650" s="105" t="s">
        <v>32</v>
      </c>
      <c r="E650">
        <v>252</v>
      </c>
      <c r="F650">
        <v>165658.71</v>
      </c>
    </row>
    <row r="651" spans="1:6" x14ac:dyDescent="0.3">
      <c r="A651">
        <v>2023</v>
      </c>
      <c r="B651">
        <v>9</v>
      </c>
      <c r="C651" s="105" t="s">
        <v>45</v>
      </c>
      <c r="D651" s="105" t="s">
        <v>33</v>
      </c>
      <c r="E651">
        <v>416</v>
      </c>
      <c r="F651">
        <v>269034.78999999998</v>
      </c>
    </row>
    <row r="652" spans="1:6" x14ac:dyDescent="0.3">
      <c r="A652">
        <v>2023</v>
      </c>
      <c r="B652">
        <v>9</v>
      </c>
      <c r="C652" s="105" t="s">
        <v>45</v>
      </c>
      <c r="D652" s="105" t="s">
        <v>34</v>
      </c>
      <c r="E652">
        <v>356</v>
      </c>
      <c r="F652">
        <v>221393.2</v>
      </c>
    </row>
    <row r="653" spans="1:6" x14ac:dyDescent="0.3">
      <c r="A653">
        <v>2023</v>
      </c>
      <c r="B653">
        <v>9</v>
      </c>
      <c r="C653" s="105" t="s">
        <v>45</v>
      </c>
      <c r="D653" s="105" t="s">
        <v>49</v>
      </c>
      <c r="E653">
        <v>8</v>
      </c>
      <c r="F653">
        <v>4537</v>
      </c>
    </row>
    <row r="654" spans="1:6" x14ac:dyDescent="0.3">
      <c r="A654">
        <v>2023</v>
      </c>
      <c r="B654">
        <v>9</v>
      </c>
      <c r="C654" s="105" t="s">
        <v>45</v>
      </c>
      <c r="D654" s="105" t="s">
        <v>35</v>
      </c>
      <c r="E654">
        <v>211</v>
      </c>
      <c r="F654">
        <v>139835.59</v>
      </c>
    </row>
    <row r="655" spans="1:6" x14ac:dyDescent="0.3">
      <c r="A655">
        <v>2023</v>
      </c>
      <c r="B655">
        <v>9</v>
      </c>
      <c r="C655" s="105" t="s">
        <v>45</v>
      </c>
      <c r="D655" s="105" t="s">
        <v>36</v>
      </c>
      <c r="E655">
        <v>331</v>
      </c>
      <c r="F655">
        <v>240883.91</v>
      </c>
    </row>
    <row r="656" spans="1:6" x14ac:dyDescent="0.3">
      <c r="A656">
        <v>2023</v>
      </c>
      <c r="B656">
        <v>9</v>
      </c>
      <c r="C656" s="105" t="s">
        <v>45</v>
      </c>
      <c r="D656" s="105" t="s">
        <v>37</v>
      </c>
      <c r="E656">
        <v>314</v>
      </c>
      <c r="F656">
        <v>207478.45</v>
      </c>
    </row>
    <row r="657" spans="1:6" x14ac:dyDescent="0.3">
      <c r="A657">
        <v>2023</v>
      </c>
      <c r="B657">
        <v>10</v>
      </c>
      <c r="C657" s="105" t="s">
        <v>46</v>
      </c>
      <c r="D657" s="105" t="s">
        <v>7</v>
      </c>
      <c r="E657">
        <v>188</v>
      </c>
      <c r="F657">
        <v>167581.38</v>
      </c>
    </row>
    <row r="658" spans="1:6" x14ac:dyDescent="0.3">
      <c r="A658">
        <v>2023</v>
      </c>
      <c r="B658">
        <v>10</v>
      </c>
      <c r="C658" s="105" t="s">
        <v>46</v>
      </c>
      <c r="D658" s="105" t="s">
        <v>8</v>
      </c>
      <c r="E658">
        <v>281</v>
      </c>
      <c r="F658">
        <v>171698.87</v>
      </c>
    </row>
    <row r="659" spans="1:6" x14ac:dyDescent="0.3">
      <c r="A659">
        <v>2023</v>
      </c>
      <c r="B659">
        <v>10</v>
      </c>
      <c r="C659" s="105" t="s">
        <v>46</v>
      </c>
      <c r="D659" s="105" t="s">
        <v>9</v>
      </c>
      <c r="E659">
        <v>72</v>
      </c>
      <c r="F659">
        <v>50483.47</v>
      </c>
    </row>
    <row r="660" spans="1:6" x14ac:dyDescent="0.3">
      <c r="A660">
        <v>2023</v>
      </c>
      <c r="B660">
        <v>10</v>
      </c>
      <c r="C660" s="105" t="s">
        <v>46</v>
      </c>
      <c r="D660" s="105" t="s">
        <v>10</v>
      </c>
      <c r="E660">
        <v>299</v>
      </c>
      <c r="F660">
        <v>236934.32</v>
      </c>
    </row>
    <row r="661" spans="1:6" x14ac:dyDescent="0.3">
      <c r="A661">
        <v>2023</v>
      </c>
      <c r="B661">
        <v>10</v>
      </c>
      <c r="C661" s="105" t="s">
        <v>46</v>
      </c>
      <c r="D661" s="105" t="s">
        <v>11</v>
      </c>
      <c r="E661">
        <v>280</v>
      </c>
      <c r="F661">
        <v>194809.64</v>
      </c>
    </row>
    <row r="662" spans="1:6" x14ac:dyDescent="0.3">
      <c r="A662">
        <v>2023</v>
      </c>
      <c r="B662">
        <v>10</v>
      </c>
      <c r="C662" s="105" t="s">
        <v>46</v>
      </c>
      <c r="D662" s="105" t="s">
        <v>12</v>
      </c>
      <c r="E662">
        <v>130</v>
      </c>
      <c r="F662">
        <v>85984.46</v>
      </c>
    </row>
    <row r="663" spans="1:6" x14ac:dyDescent="0.3">
      <c r="A663">
        <v>2023</v>
      </c>
      <c r="B663">
        <v>10</v>
      </c>
      <c r="C663" s="105" t="s">
        <v>46</v>
      </c>
      <c r="D663" s="105" t="s">
        <v>13</v>
      </c>
      <c r="E663">
        <v>184</v>
      </c>
      <c r="F663">
        <v>122231.36</v>
      </c>
    </row>
    <row r="664" spans="1:6" x14ac:dyDescent="0.3">
      <c r="A664">
        <v>2023</v>
      </c>
      <c r="B664">
        <v>10</v>
      </c>
      <c r="C664" s="105" t="s">
        <v>46</v>
      </c>
      <c r="D664" s="105" t="s">
        <v>14</v>
      </c>
      <c r="E664">
        <v>251</v>
      </c>
      <c r="F664">
        <v>164899.25</v>
      </c>
    </row>
    <row r="665" spans="1:6" x14ac:dyDescent="0.3">
      <c r="A665">
        <v>2023</v>
      </c>
      <c r="B665">
        <v>10</v>
      </c>
      <c r="C665" s="105" t="s">
        <v>46</v>
      </c>
      <c r="D665" s="105" t="s">
        <v>15</v>
      </c>
      <c r="E665">
        <v>90</v>
      </c>
      <c r="F665">
        <v>52847.97</v>
      </c>
    </row>
    <row r="666" spans="1:6" x14ac:dyDescent="0.3">
      <c r="A666">
        <v>2023</v>
      </c>
      <c r="B666">
        <v>10</v>
      </c>
      <c r="C666" s="105" t="s">
        <v>46</v>
      </c>
      <c r="D666" s="105" t="s">
        <v>16</v>
      </c>
      <c r="E666">
        <v>120</v>
      </c>
      <c r="F666">
        <v>97855.31</v>
      </c>
    </row>
    <row r="667" spans="1:6" x14ac:dyDescent="0.3">
      <c r="A667">
        <v>2023</v>
      </c>
      <c r="B667">
        <v>10</v>
      </c>
      <c r="C667" s="105" t="s">
        <v>46</v>
      </c>
      <c r="D667" s="105" t="s">
        <v>17</v>
      </c>
      <c r="E667">
        <v>516</v>
      </c>
      <c r="F667">
        <v>401896.47</v>
      </c>
    </row>
    <row r="668" spans="1:6" x14ac:dyDescent="0.3">
      <c r="A668">
        <v>2023</v>
      </c>
      <c r="B668">
        <v>10</v>
      </c>
      <c r="C668" s="105" t="s">
        <v>46</v>
      </c>
      <c r="D668" s="105" t="s">
        <v>18</v>
      </c>
      <c r="E668">
        <v>449</v>
      </c>
      <c r="F668">
        <v>343470.26</v>
      </c>
    </row>
    <row r="669" spans="1:6" x14ac:dyDescent="0.3">
      <c r="A669">
        <v>2023</v>
      </c>
      <c r="B669">
        <v>10</v>
      </c>
      <c r="C669" s="105" t="s">
        <v>46</v>
      </c>
      <c r="D669" s="105" t="s">
        <v>19</v>
      </c>
      <c r="E669">
        <v>182</v>
      </c>
      <c r="F669">
        <v>111959.05</v>
      </c>
    </row>
    <row r="670" spans="1:6" x14ac:dyDescent="0.3">
      <c r="A670">
        <v>2023</v>
      </c>
      <c r="B670">
        <v>10</v>
      </c>
      <c r="C670" s="105" t="s">
        <v>46</v>
      </c>
      <c r="D670" s="105" t="s">
        <v>20</v>
      </c>
      <c r="E670">
        <v>222</v>
      </c>
      <c r="F670">
        <v>152061.53</v>
      </c>
    </row>
    <row r="671" spans="1:6" x14ac:dyDescent="0.3">
      <c r="A671">
        <v>2023</v>
      </c>
      <c r="B671">
        <v>10</v>
      </c>
      <c r="C671" s="105" t="s">
        <v>46</v>
      </c>
      <c r="D671" s="105" t="s">
        <v>21</v>
      </c>
      <c r="E671">
        <v>567</v>
      </c>
      <c r="F671">
        <v>442276.49</v>
      </c>
    </row>
    <row r="672" spans="1:6" x14ac:dyDescent="0.3">
      <c r="A672">
        <v>2023</v>
      </c>
      <c r="B672">
        <v>10</v>
      </c>
      <c r="C672" s="105" t="s">
        <v>46</v>
      </c>
      <c r="D672" s="105" t="s">
        <v>22</v>
      </c>
      <c r="E672">
        <v>124</v>
      </c>
      <c r="F672">
        <v>77556.39</v>
      </c>
    </row>
    <row r="673" spans="1:6" x14ac:dyDescent="0.3">
      <c r="A673">
        <v>2023</v>
      </c>
      <c r="B673">
        <v>10</v>
      </c>
      <c r="C673" s="105" t="s">
        <v>46</v>
      </c>
      <c r="D673" s="105" t="s">
        <v>23</v>
      </c>
      <c r="E673">
        <v>272</v>
      </c>
      <c r="F673">
        <v>220588.26</v>
      </c>
    </row>
    <row r="674" spans="1:6" x14ac:dyDescent="0.3">
      <c r="A674">
        <v>2023</v>
      </c>
      <c r="B674">
        <v>10</v>
      </c>
      <c r="C674" s="105" t="s">
        <v>46</v>
      </c>
      <c r="D674" s="105" t="s">
        <v>24</v>
      </c>
      <c r="E674">
        <v>273</v>
      </c>
      <c r="F674">
        <v>172531.98</v>
      </c>
    </row>
    <row r="675" spans="1:6" x14ac:dyDescent="0.3">
      <c r="A675">
        <v>2023</v>
      </c>
      <c r="B675">
        <v>10</v>
      </c>
      <c r="C675" s="105" t="s">
        <v>46</v>
      </c>
      <c r="D675" s="105" t="s">
        <v>25</v>
      </c>
      <c r="E675">
        <v>362</v>
      </c>
      <c r="F675">
        <v>267338.96000000002</v>
      </c>
    </row>
    <row r="676" spans="1:6" x14ac:dyDescent="0.3">
      <c r="A676">
        <v>2023</v>
      </c>
      <c r="B676">
        <v>10</v>
      </c>
      <c r="C676" s="105" t="s">
        <v>46</v>
      </c>
      <c r="D676" s="105" t="s">
        <v>26</v>
      </c>
      <c r="E676">
        <v>218</v>
      </c>
      <c r="F676">
        <v>171508.43</v>
      </c>
    </row>
    <row r="677" spans="1:6" x14ac:dyDescent="0.3">
      <c r="A677">
        <v>2023</v>
      </c>
      <c r="B677">
        <v>10</v>
      </c>
      <c r="C677" s="105" t="s">
        <v>46</v>
      </c>
      <c r="D677" s="105" t="s">
        <v>27</v>
      </c>
      <c r="E677">
        <v>249</v>
      </c>
      <c r="F677">
        <v>176103.6</v>
      </c>
    </row>
    <row r="678" spans="1:6" x14ac:dyDescent="0.3">
      <c r="A678">
        <v>2023</v>
      </c>
      <c r="B678">
        <v>10</v>
      </c>
      <c r="C678" s="105" t="s">
        <v>46</v>
      </c>
      <c r="D678" s="105" t="s">
        <v>28</v>
      </c>
      <c r="E678">
        <v>153</v>
      </c>
      <c r="F678">
        <v>96776.48</v>
      </c>
    </row>
    <row r="679" spans="1:6" x14ac:dyDescent="0.3">
      <c r="A679">
        <v>2023</v>
      </c>
      <c r="B679">
        <v>10</v>
      </c>
      <c r="C679" s="105" t="s">
        <v>46</v>
      </c>
      <c r="D679" s="105" t="s">
        <v>29</v>
      </c>
      <c r="E679">
        <v>307</v>
      </c>
      <c r="F679">
        <v>204528.76</v>
      </c>
    </row>
    <row r="680" spans="1:6" x14ac:dyDescent="0.3">
      <c r="A680">
        <v>2023</v>
      </c>
      <c r="B680">
        <v>10</v>
      </c>
      <c r="C680" s="105" t="s">
        <v>46</v>
      </c>
      <c r="D680" s="105" t="s">
        <v>30</v>
      </c>
      <c r="E680">
        <v>103</v>
      </c>
      <c r="F680">
        <v>69275.789999999994</v>
      </c>
    </row>
    <row r="681" spans="1:6" x14ac:dyDescent="0.3">
      <c r="A681">
        <v>2023</v>
      </c>
      <c r="B681">
        <v>10</v>
      </c>
      <c r="C681" s="105" t="s">
        <v>46</v>
      </c>
      <c r="D681" s="105" t="s">
        <v>31</v>
      </c>
      <c r="E681">
        <v>567</v>
      </c>
      <c r="F681">
        <v>427419.25</v>
      </c>
    </row>
    <row r="682" spans="1:6" x14ac:dyDescent="0.3">
      <c r="A682">
        <v>2023</v>
      </c>
      <c r="B682">
        <v>10</v>
      </c>
      <c r="C682" s="105" t="s">
        <v>46</v>
      </c>
      <c r="D682" s="105" t="s">
        <v>32</v>
      </c>
      <c r="E682">
        <v>185</v>
      </c>
      <c r="F682">
        <v>124273.58</v>
      </c>
    </row>
    <row r="683" spans="1:6" x14ac:dyDescent="0.3">
      <c r="A683">
        <v>2023</v>
      </c>
      <c r="B683">
        <v>10</v>
      </c>
      <c r="C683" s="105" t="s">
        <v>46</v>
      </c>
      <c r="D683" s="105" t="s">
        <v>33</v>
      </c>
      <c r="E683">
        <v>323</v>
      </c>
      <c r="F683">
        <v>248428.46</v>
      </c>
    </row>
    <row r="684" spans="1:6" x14ac:dyDescent="0.3">
      <c r="A684">
        <v>2023</v>
      </c>
      <c r="B684">
        <v>10</v>
      </c>
      <c r="C684" s="105" t="s">
        <v>46</v>
      </c>
      <c r="D684" s="105" t="s">
        <v>34</v>
      </c>
      <c r="E684">
        <v>313</v>
      </c>
      <c r="F684">
        <v>219578.77</v>
      </c>
    </row>
    <row r="685" spans="1:6" x14ac:dyDescent="0.3">
      <c r="A685">
        <v>2023</v>
      </c>
      <c r="B685">
        <v>10</v>
      </c>
      <c r="C685" s="105" t="s">
        <v>46</v>
      </c>
      <c r="D685" s="105" t="s">
        <v>49</v>
      </c>
      <c r="E685">
        <v>5</v>
      </c>
      <c r="F685">
        <v>2245</v>
      </c>
    </row>
    <row r="686" spans="1:6" x14ac:dyDescent="0.3">
      <c r="A686">
        <v>2023</v>
      </c>
      <c r="B686">
        <v>10</v>
      </c>
      <c r="C686" s="105" t="s">
        <v>46</v>
      </c>
      <c r="D686" s="105" t="s">
        <v>35</v>
      </c>
      <c r="E686">
        <v>214</v>
      </c>
      <c r="F686">
        <v>152882.85999999999</v>
      </c>
    </row>
    <row r="687" spans="1:6" x14ac:dyDescent="0.3">
      <c r="A687">
        <v>2023</v>
      </c>
      <c r="B687">
        <v>10</v>
      </c>
      <c r="C687" s="105" t="s">
        <v>46</v>
      </c>
      <c r="D687" s="105" t="s">
        <v>36</v>
      </c>
      <c r="E687">
        <v>245</v>
      </c>
      <c r="F687">
        <v>176724.59</v>
      </c>
    </row>
    <row r="688" spans="1:6" x14ac:dyDescent="0.3">
      <c r="A688">
        <v>2023</v>
      </c>
      <c r="B688">
        <v>10</v>
      </c>
      <c r="C688" s="105" t="s">
        <v>46</v>
      </c>
      <c r="D688" s="105" t="s">
        <v>37</v>
      </c>
      <c r="E688">
        <v>268</v>
      </c>
      <c r="F688">
        <v>204130.52</v>
      </c>
    </row>
    <row r="689" spans="1:6" x14ac:dyDescent="0.3">
      <c r="A689">
        <v>2023</v>
      </c>
      <c r="B689">
        <v>11</v>
      </c>
      <c r="C689" s="105" t="s">
        <v>47</v>
      </c>
      <c r="D689" s="105" t="s">
        <v>7</v>
      </c>
      <c r="E689">
        <v>204</v>
      </c>
      <c r="F689">
        <v>177686.28</v>
      </c>
    </row>
    <row r="690" spans="1:6" x14ac:dyDescent="0.3">
      <c r="A690">
        <v>2023</v>
      </c>
      <c r="B690">
        <v>11</v>
      </c>
      <c r="C690" s="105" t="s">
        <v>47</v>
      </c>
      <c r="D690" s="105" t="s">
        <v>8</v>
      </c>
      <c r="E690">
        <v>259</v>
      </c>
      <c r="F690">
        <v>160677.32999999999</v>
      </c>
    </row>
    <row r="691" spans="1:6" x14ac:dyDescent="0.3">
      <c r="A691">
        <v>2023</v>
      </c>
      <c r="B691">
        <v>11</v>
      </c>
      <c r="C691" s="105" t="s">
        <v>47</v>
      </c>
      <c r="D691" s="105" t="s">
        <v>9</v>
      </c>
      <c r="E691">
        <v>63</v>
      </c>
      <c r="F691">
        <v>42479.360000000001</v>
      </c>
    </row>
    <row r="692" spans="1:6" x14ac:dyDescent="0.3">
      <c r="A692">
        <v>2023</v>
      </c>
      <c r="B692">
        <v>11</v>
      </c>
      <c r="C692" s="105" t="s">
        <v>47</v>
      </c>
      <c r="D692" s="105" t="s">
        <v>10</v>
      </c>
      <c r="E692">
        <v>275</v>
      </c>
      <c r="F692">
        <v>243148.19</v>
      </c>
    </row>
    <row r="693" spans="1:6" x14ac:dyDescent="0.3">
      <c r="A693">
        <v>2023</v>
      </c>
      <c r="B693">
        <v>11</v>
      </c>
      <c r="C693" s="105" t="s">
        <v>47</v>
      </c>
      <c r="D693" s="105" t="s">
        <v>11</v>
      </c>
      <c r="E693">
        <v>194</v>
      </c>
      <c r="F693">
        <v>155991.20000000001</v>
      </c>
    </row>
    <row r="694" spans="1:6" x14ac:dyDescent="0.3">
      <c r="A694">
        <v>2023</v>
      </c>
      <c r="B694">
        <v>11</v>
      </c>
      <c r="C694" s="105" t="s">
        <v>47</v>
      </c>
      <c r="D694" s="105" t="s">
        <v>12</v>
      </c>
      <c r="E694">
        <v>111</v>
      </c>
      <c r="F694">
        <v>74129.47</v>
      </c>
    </row>
    <row r="695" spans="1:6" x14ac:dyDescent="0.3">
      <c r="A695">
        <v>2023</v>
      </c>
      <c r="B695">
        <v>11</v>
      </c>
      <c r="C695" s="105" t="s">
        <v>47</v>
      </c>
      <c r="D695" s="105" t="s">
        <v>13</v>
      </c>
      <c r="E695">
        <v>145</v>
      </c>
      <c r="F695">
        <v>98579.74</v>
      </c>
    </row>
    <row r="696" spans="1:6" x14ac:dyDescent="0.3">
      <c r="A696">
        <v>2023</v>
      </c>
      <c r="B696">
        <v>11</v>
      </c>
      <c r="C696" s="105" t="s">
        <v>47</v>
      </c>
      <c r="D696" s="105" t="s">
        <v>14</v>
      </c>
      <c r="E696">
        <v>231</v>
      </c>
      <c r="F696">
        <v>149025.92000000001</v>
      </c>
    </row>
    <row r="697" spans="1:6" x14ac:dyDescent="0.3">
      <c r="A697">
        <v>2023</v>
      </c>
      <c r="B697">
        <v>11</v>
      </c>
      <c r="C697" s="105" t="s">
        <v>47</v>
      </c>
      <c r="D697" s="105" t="s">
        <v>15</v>
      </c>
      <c r="E697">
        <v>65</v>
      </c>
      <c r="F697">
        <v>39650.17</v>
      </c>
    </row>
    <row r="698" spans="1:6" x14ac:dyDescent="0.3">
      <c r="A698">
        <v>2023</v>
      </c>
      <c r="B698">
        <v>11</v>
      </c>
      <c r="C698" s="105" t="s">
        <v>47</v>
      </c>
      <c r="D698" s="105" t="s">
        <v>16</v>
      </c>
      <c r="E698">
        <v>114</v>
      </c>
      <c r="F698">
        <v>89183.8</v>
      </c>
    </row>
    <row r="699" spans="1:6" x14ac:dyDescent="0.3">
      <c r="A699">
        <v>2023</v>
      </c>
      <c r="B699">
        <v>11</v>
      </c>
      <c r="C699" s="105" t="s">
        <v>47</v>
      </c>
      <c r="D699" s="105" t="s">
        <v>17</v>
      </c>
      <c r="E699">
        <v>316</v>
      </c>
      <c r="F699">
        <v>245794.53</v>
      </c>
    </row>
    <row r="700" spans="1:6" x14ac:dyDescent="0.3">
      <c r="A700">
        <v>2023</v>
      </c>
      <c r="B700">
        <v>11</v>
      </c>
      <c r="C700" s="105" t="s">
        <v>47</v>
      </c>
      <c r="D700" s="105" t="s">
        <v>18</v>
      </c>
      <c r="E700">
        <v>404</v>
      </c>
      <c r="F700">
        <v>317588.7</v>
      </c>
    </row>
    <row r="701" spans="1:6" x14ac:dyDescent="0.3">
      <c r="A701">
        <v>2023</v>
      </c>
      <c r="B701">
        <v>11</v>
      </c>
      <c r="C701" s="105" t="s">
        <v>47</v>
      </c>
      <c r="D701" s="105" t="s">
        <v>19</v>
      </c>
      <c r="E701">
        <v>145</v>
      </c>
      <c r="F701">
        <v>88440.5</v>
      </c>
    </row>
    <row r="702" spans="1:6" x14ac:dyDescent="0.3">
      <c r="A702">
        <v>2023</v>
      </c>
      <c r="B702">
        <v>11</v>
      </c>
      <c r="C702" s="105" t="s">
        <v>47</v>
      </c>
      <c r="D702" s="105" t="s">
        <v>20</v>
      </c>
      <c r="E702">
        <v>143</v>
      </c>
      <c r="F702">
        <v>94255.54</v>
      </c>
    </row>
    <row r="703" spans="1:6" x14ac:dyDescent="0.3">
      <c r="A703">
        <v>2023</v>
      </c>
      <c r="B703">
        <v>11</v>
      </c>
      <c r="C703" s="105" t="s">
        <v>47</v>
      </c>
      <c r="D703" s="105" t="s">
        <v>21</v>
      </c>
      <c r="E703">
        <v>367</v>
      </c>
      <c r="F703">
        <v>285994.95</v>
      </c>
    </row>
    <row r="704" spans="1:6" x14ac:dyDescent="0.3">
      <c r="A704">
        <v>2023</v>
      </c>
      <c r="B704">
        <v>11</v>
      </c>
      <c r="C704" s="105" t="s">
        <v>47</v>
      </c>
      <c r="D704" s="105" t="s">
        <v>22</v>
      </c>
      <c r="E704">
        <v>103</v>
      </c>
      <c r="F704">
        <v>64349.35</v>
      </c>
    </row>
    <row r="705" spans="1:6" x14ac:dyDescent="0.3">
      <c r="A705">
        <v>2023</v>
      </c>
      <c r="B705">
        <v>11</v>
      </c>
      <c r="C705" s="105" t="s">
        <v>47</v>
      </c>
      <c r="D705" s="105" t="s">
        <v>23</v>
      </c>
      <c r="E705">
        <v>175</v>
      </c>
      <c r="F705">
        <v>148067.46</v>
      </c>
    </row>
    <row r="706" spans="1:6" x14ac:dyDescent="0.3">
      <c r="A706">
        <v>2023</v>
      </c>
      <c r="B706">
        <v>11</v>
      </c>
      <c r="C706" s="105" t="s">
        <v>47</v>
      </c>
      <c r="D706" s="105" t="s">
        <v>24</v>
      </c>
      <c r="E706">
        <v>270</v>
      </c>
      <c r="F706">
        <v>171919.93</v>
      </c>
    </row>
    <row r="707" spans="1:6" x14ac:dyDescent="0.3">
      <c r="A707">
        <v>2023</v>
      </c>
      <c r="B707">
        <v>11</v>
      </c>
      <c r="C707" s="105" t="s">
        <v>47</v>
      </c>
      <c r="D707" s="105" t="s">
        <v>25</v>
      </c>
      <c r="E707">
        <v>282</v>
      </c>
      <c r="F707">
        <v>203038.39</v>
      </c>
    </row>
    <row r="708" spans="1:6" x14ac:dyDescent="0.3">
      <c r="A708">
        <v>2023</v>
      </c>
      <c r="B708">
        <v>11</v>
      </c>
      <c r="C708" s="105" t="s">
        <v>47</v>
      </c>
      <c r="D708" s="105" t="s">
        <v>26</v>
      </c>
      <c r="E708">
        <v>192</v>
      </c>
      <c r="F708">
        <v>156878.26</v>
      </c>
    </row>
    <row r="709" spans="1:6" x14ac:dyDescent="0.3">
      <c r="A709">
        <v>2023</v>
      </c>
      <c r="B709">
        <v>11</v>
      </c>
      <c r="C709" s="105" t="s">
        <v>47</v>
      </c>
      <c r="D709" s="105" t="s">
        <v>27</v>
      </c>
      <c r="E709">
        <v>187</v>
      </c>
      <c r="F709">
        <v>138737.72</v>
      </c>
    </row>
    <row r="710" spans="1:6" x14ac:dyDescent="0.3">
      <c r="A710">
        <v>2023</v>
      </c>
      <c r="B710">
        <v>11</v>
      </c>
      <c r="C710" s="105" t="s">
        <v>47</v>
      </c>
      <c r="D710" s="105" t="s">
        <v>28</v>
      </c>
      <c r="E710">
        <v>127</v>
      </c>
      <c r="F710">
        <v>82003.06</v>
      </c>
    </row>
    <row r="711" spans="1:6" x14ac:dyDescent="0.3">
      <c r="A711">
        <v>2023</v>
      </c>
      <c r="B711">
        <v>11</v>
      </c>
      <c r="C711" s="105" t="s">
        <v>47</v>
      </c>
      <c r="D711" s="105" t="s">
        <v>29</v>
      </c>
      <c r="E711">
        <v>191</v>
      </c>
      <c r="F711">
        <v>147236.70000000001</v>
      </c>
    </row>
    <row r="712" spans="1:6" x14ac:dyDescent="0.3">
      <c r="A712">
        <v>2023</v>
      </c>
      <c r="B712">
        <v>11</v>
      </c>
      <c r="C712" s="105" t="s">
        <v>47</v>
      </c>
      <c r="D712" s="105" t="s">
        <v>30</v>
      </c>
      <c r="E712">
        <v>109</v>
      </c>
      <c r="F712">
        <v>71984.86</v>
      </c>
    </row>
    <row r="713" spans="1:6" x14ac:dyDescent="0.3">
      <c r="A713">
        <v>2023</v>
      </c>
      <c r="B713">
        <v>11</v>
      </c>
      <c r="C713" s="105" t="s">
        <v>47</v>
      </c>
      <c r="D713" s="105" t="s">
        <v>31</v>
      </c>
      <c r="E713">
        <v>282</v>
      </c>
      <c r="F713">
        <v>221193.76</v>
      </c>
    </row>
    <row r="714" spans="1:6" x14ac:dyDescent="0.3">
      <c r="A714">
        <v>2023</v>
      </c>
      <c r="B714">
        <v>11</v>
      </c>
      <c r="C714" s="105" t="s">
        <v>47</v>
      </c>
      <c r="D714" s="105" t="s">
        <v>32</v>
      </c>
      <c r="E714">
        <v>136</v>
      </c>
      <c r="F714">
        <v>110226.42</v>
      </c>
    </row>
    <row r="715" spans="1:6" x14ac:dyDescent="0.3">
      <c r="A715">
        <v>2023</v>
      </c>
      <c r="B715">
        <v>11</v>
      </c>
      <c r="C715" s="105" t="s">
        <v>47</v>
      </c>
      <c r="D715" s="105" t="s">
        <v>33</v>
      </c>
      <c r="E715">
        <v>277</v>
      </c>
      <c r="F715">
        <v>217239.79</v>
      </c>
    </row>
    <row r="716" spans="1:6" x14ac:dyDescent="0.3">
      <c r="A716">
        <v>2023</v>
      </c>
      <c r="B716">
        <v>11</v>
      </c>
      <c r="C716" s="105" t="s">
        <v>47</v>
      </c>
      <c r="D716" s="105" t="s">
        <v>34</v>
      </c>
      <c r="E716">
        <v>249</v>
      </c>
      <c r="F716">
        <v>187624.36</v>
      </c>
    </row>
    <row r="717" spans="1:6" x14ac:dyDescent="0.3">
      <c r="A717">
        <v>2023</v>
      </c>
      <c r="B717">
        <v>11</v>
      </c>
      <c r="C717" s="105" t="s">
        <v>47</v>
      </c>
      <c r="D717" s="105" t="s">
        <v>49</v>
      </c>
      <c r="E717">
        <v>1</v>
      </c>
      <c r="F717">
        <v>480</v>
      </c>
    </row>
    <row r="718" spans="1:6" x14ac:dyDescent="0.3">
      <c r="A718">
        <v>2023</v>
      </c>
      <c r="B718">
        <v>11</v>
      </c>
      <c r="C718" s="105" t="s">
        <v>47</v>
      </c>
      <c r="D718" s="105" t="s">
        <v>35</v>
      </c>
      <c r="E718">
        <v>157</v>
      </c>
      <c r="F718">
        <v>123397.89</v>
      </c>
    </row>
    <row r="719" spans="1:6" x14ac:dyDescent="0.3">
      <c r="A719">
        <v>2023</v>
      </c>
      <c r="B719">
        <v>11</v>
      </c>
      <c r="C719" s="105" t="s">
        <v>47</v>
      </c>
      <c r="D719" s="105" t="s">
        <v>36</v>
      </c>
      <c r="E719">
        <v>206</v>
      </c>
      <c r="F719">
        <v>145946.79999999999</v>
      </c>
    </row>
    <row r="720" spans="1:6" x14ac:dyDescent="0.3">
      <c r="A720">
        <v>2023</v>
      </c>
      <c r="B720">
        <v>11</v>
      </c>
      <c r="C720" s="105" t="s">
        <v>47</v>
      </c>
      <c r="D720" s="105" t="s">
        <v>37</v>
      </c>
      <c r="E720">
        <v>203</v>
      </c>
      <c r="F720">
        <v>146629.89000000001</v>
      </c>
    </row>
    <row r="721" spans="1:6" x14ac:dyDescent="0.3">
      <c r="A721">
        <v>2023</v>
      </c>
      <c r="B721">
        <v>12</v>
      </c>
      <c r="C721" s="105" t="s">
        <v>48</v>
      </c>
      <c r="D721" s="105" t="s">
        <v>7</v>
      </c>
      <c r="E721">
        <v>163</v>
      </c>
      <c r="F721">
        <v>148039.87</v>
      </c>
    </row>
    <row r="722" spans="1:6" x14ac:dyDescent="0.3">
      <c r="A722">
        <v>2023</v>
      </c>
      <c r="B722">
        <v>12</v>
      </c>
      <c r="C722" s="105" t="s">
        <v>48</v>
      </c>
      <c r="D722" s="105" t="s">
        <v>8</v>
      </c>
      <c r="E722">
        <v>224</v>
      </c>
      <c r="F722">
        <v>141758.87</v>
      </c>
    </row>
    <row r="723" spans="1:6" x14ac:dyDescent="0.3">
      <c r="A723">
        <v>2023</v>
      </c>
      <c r="B723">
        <v>12</v>
      </c>
      <c r="C723" s="105" t="s">
        <v>48</v>
      </c>
      <c r="D723" s="105" t="s">
        <v>9</v>
      </c>
      <c r="E723">
        <v>58</v>
      </c>
      <c r="F723">
        <v>41867.339999999997</v>
      </c>
    </row>
    <row r="724" spans="1:6" x14ac:dyDescent="0.3">
      <c r="A724">
        <v>2023</v>
      </c>
      <c r="B724">
        <v>12</v>
      </c>
      <c r="C724" s="105" t="s">
        <v>48</v>
      </c>
      <c r="D724" s="105" t="s">
        <v>10</v>
      </c>
      <c r="E724">
        <v>207</v>
      </c>
      <c r="F724">
        <v>202340.17</v>
      </c>
    </row>
    <row r="725" spans="1:6" x14ac:dyDescent="0.3">
      <c r="A725">
        <v>2023</v>
      </c>
      <c r="B725">
        <v>12</v>
      </c>
      <c r="C725" s="105" t="s">
        <v>48</v>
      </c>
      <c r="D725" s="105" t="s">
        <v>11</v>
      </c>
      <c r="E725">
        <v>150</v>
      </c>
      <c r="F725">
        <v>109766.36</v>
      </c>
    </row>
    <row r="726" spans="1:6" x14ac:dyDescent="0.3">
      <c r="A726">
        <v>2023</v>
      </c>
      <c r="B726">
        <v>12</v>
      </c>
      <c r="C726" s="105" t="s">
        <v>48</v>
      </c>
      <c r="D726" s="105" t="s">
        <v>12</v>
      </c>
      <c r="E726">
        <v>92</v>
      </c>
      <c r="F726">
        <v>62062.89</v>
      </c>
    </row>
    <row r="727" spans="1:6" x14ac:dyDescent="0.3">
      <c r="A727">
        <v>2023</v>
      </c>
      <c r="B727">
        <v>12</v>
      </c>
      <c r="C727" s="105" t="s">
        <v>48</v>
      </c>
      <c r="D727" s="105" t="s">
        <v>13</v>
      </c>
      <c r="E727">
        <v>152</v>
      </c>
      <c r="F727">
        <v>108653.37</v>
      </c>
    </row>
    <row r="728" spans="1:6" x14ac:dyDescent="0.3">
      <c r="A728">
        <v>2023</v>
      </c>
      <c r="B728">
        <v>12</v>
      </c>
      <c r="C728" s="105" t="s">
        <v>48</v>
      </c>
      <c r="D728" s="105" t="s">
        <v>14</v>
      </c>
      <c r="E728">
        <v>181</v>
      </c>
      <c r="F728">
        <v>119237.85</v>
      </c>
    </row>
    <row r="729" spans="1:6" x14ac:dyDescent="0.3">
      <c r="A729">
        <v>2023</v>
      </c>
      <c r="B729">
        <v>12</v>
      </c>
      <c r="C729" s="105" t="s">
        <v>48</v>
      </c>
      <c r="D729" s="105" t="s">
        <v>15</v>
      </c>
      <c r="E729">
        <v>73</v>
      </c>
      <c r="F729">
        <v>46868.18</v>
      </c>
    </row>
    <row r="730" spans="1:6" x14ac:dyDescent="0.3">
      <c r="A730">
        <v>2023</v>
      </c>
      <c r="B730">
        <v>12</v>
      </c>
      <c r="C730" s="105" t="s">
        <v>48</v>
      </c>
      <c r="D730" s="105" t="s">
        <v>16</v>
      </c>
      <c r="E730">
        <v>108</v>
      </c>
      <c r="F730">
        <v>90019.05</v>
      </c>
    </row>
    <row r="731" spans="1:6" x14ac:dyDescent="0.3">
      <c r="A731">
        <v>2023</v>
      </c>
      <c r="B731">
        <v>12</v>
      </c>
      <c r="C731" s="105" t="s">
        <v>48</v>
      </c>
      <c r="D731" s="105" t="s">
        <v>17</v>
      </c>
      <c r="E731">
        <v>264</v>
      </c>
      <c r="F731">
        <v>214230.35</v>
      </c>
    </row>
    <row r="732" spans="1:6" x14ac:dyDescent="0.3">
      <c r="A732">
        <v>2023</v>
      </c>
      <c r="B732">
        <v>12</v>
      </c>
      <c r="C732" s="105" t="s">
        <v>48</v>
      </c>
      <c r="D732" s="105" t="s">
        <v>18</v>
      </c>
      <c r="E732">
        <v>364</v>
      </c>
      <c r="F732">
        <v>296286.12</v>
      </c>
    </row>
    <row r="733" spans="1:6" x14ac:dyDescent="0.3">
      <c r="A733">
        <v>2023</v>
      </c>
      <c r="B733">
        <v>12</v>
      </c>
      <c r="C733" s="105" t="s">
        <v>48</v>
      </c>
      <c r="D733" s="105" t="s">
        <v>19</v>
      </c>
      <c r="E733">
        <v>141</v>
      </c>
      <c r="F733">
        <v>85138.22</v>
      </c>
    </row>
    <row r="734" spans="1:6" x14ac:dyDescent="0.3">
      <c r="A734">
        <v>2023</v>
      </c>
      <c r="B734">
        <v>12</v>
      </c>
      <c r="C734" s="105" t="s">
        <v>48</v>
      </c>
      <c r="D734" s="105" t="s">
        <v>20</v>
      </c>
      <c r="E734">
        <v>211</v>
      </c>
      <c r="F734">
        <v>148315.85999999999</v>
      </c>
    </row>
    <row r="735" spans="1:6" x14ac:dyDescent="0.3">
      <c r="A735">
        <v>2023</v>
      </c>
      <c r="B735">
        <v>12</v>
      </c>
      <c r="C735" s="105" t="s">
        <v>48</v>
      </c>
      <c r="D735" s="105" t="s">
        <v>21</v>
      </c>
      <c r="E735">
        <v>278</v>
      </c>
      <c r="F735">
        <v>233218.11</v>
      </c>
    </row>
    <row r="736" spans="1:6" x14ac:dyDescent="0.3">
      <c r="A736">
        <v>2023</v>
      </c>
      <c r="B736">
        <v>12</v>
      </c>
      <c r="C736" s="105" t="s">
        <v>48</v>
      </c>
      <c r="D736" s="105" t="s">
        <v>22</v>
      </c>
      <c r="E736">
        <v>79</v>
      </c>
      <c r="F736">
        <v>50404.09</v>
      </c>
    </row>
    <row r="737" spans="1:6" x14ac:dyDescent="0.3">
      <c r="A737">
        <v>2023</v>
      </c>
      <c r="B737">
        <v>12</v>
      </c>
      <c r="C737" s="105" t="s">
        <v>48</v>
      </c>
      <c r="D737" s="105" t="s">
        <v>23</v>
      </c>
      <c r="E737">
        <v>113</v>
      </c>
      <c r="F737">
        <v>102565.09</v>
      </c>
    </row>
    <row r="738" spans="1:6" x14ac:dyDescent="0.3">
      <c r="A738">
        <v>2023</v>
      </c>
      <c r="B738">
        <v>12</v>
      </c>
      <c r="C738" s="105" t="s">
        <v>48</v>
      </c>
      <c r="D738" s="105" t="s">
        <v>24</v>
      </c>
      <c r="E738">
        <v>267</v>
      </c>
      <c r="F738">
        <v>172181.53</v>
      </c>
    </row>
    <row r="739" spans="1:6" x14ac:dyDescent="0.3">
      <c r="A739">
        <v>2023</v>
      </c>
      <c r="B739">
        <v>12</v>
      </c>
      <c r="C739" s="105" t="s">
        <v>48</v>
      </c>
      <c r="D739" s="105" t="s">
        <v>25</v>
      </c>
      <c r="E739">
        <v>298</v>
      </c>
      <c r="F739">
        <v>224204.42</v>
      </c>
    </row>
    <row r="740" spans="1:6" x14ac:dyDescent="0.3">
      <c r="A740">
        <v>2023</v>
      </c>
      <c r="B740">
        <v>12</v>
      </c>
      <c r="C740" s="105" t="s">
        <v>48</v>
      </c>
      <c r="D740" s="105" t="s">
        <v>26</v>
      </c>
      <c r="E740">
        <v>159</v>
      </c>
      <c r="F740">
        <v>120312.24</v>
      </c>
    </row>
    <row r="741" spans="1:6" x14ac:dyDescent="0.3">
      <c r="A741">
        <v>2023</v>
      </c>
      <c r="B741">
        <v>12</v>
      </c>
      <c r="C741" s="105" t="s">
        <v>48</v>
      </c>
      <c r="D741" s="105" t="s">
        <v>27</v>
      </c>
      <c r="E741">
        <v>124</v>
      </c>
      <c r="F741">
        <v>100648.82</v>
      </c>
    </row>
    <row r="742" spans="1:6" x14ac:dyDescent="0.3">
      <c r="A742">
        <v>2023</v>
      </c>
      <c r="B742">
        <v>12</v>
      </c>
      <c r="C742" s="105" t="s">
        <v>48</v>
      </c>
      <c r="D742" s="105" t="s">
        <v>28</v>
      </c>
      <c r="E742">
        <v>107</v>
      </c>
      <c r="F742">
        <v>66032.45</v>
      </c>
    </row>
    <row r="743" spans="1:6" x14ac:dyDescent="0.3">
      <c r="A743">
        <v>2023</v>
      </c>
      <c r="B743">
        <v>12</v>
      </c>
      <c r="C743" s="105" t="s">
        <v>48</v>
      </c>
      <c r="D743" s="105" t="s">
        <v>29</v>
      </c>
      <c r="E743">
        <v>218</v>
      </c>
      <c r="F743">
        <v>174795.02</v>
      </c>
    </row>
    <row r="744" spans="1:6" x14ac:dyDescent="0.3">
      <c r="A744">
        <v>2023</v>
      </c>
      <c r="B744">
        <v>12</v>
      </c>
      <c r="C744" s="105" t="s">
        <v>48</v>
      </c>
      <c r="D744" s="105" t="s">
        <v>30</v>
      </c>
      <c r="E744">
        <v>95</v>
      </c>
      <c r="F744">
        <v>62222.62</v>
      </c>
    </row>
    <row r="745" spans="1:6" x14ac:dyDescent="0.3">
      <c r="A745">
        <v>2023</v>
      </c>
      <c r="B745">
        <v>12</v>
      </c>
      <c r="C745" s="105" t="s">
        <v>48</v>
      </c>
      <c r="D745" s="105" t="s">
        <v>31</v>
      </c>
      <c r="E745">
        <v>357</v>
      </c>
      <c r="F745">
        <v>320927.76</v>
      </c>
    </row>
    <row r="746" spans="1:6" x14ac:dyDescent="0.3">
      <c r="A746">
        <v>2023</v>
      </c>
      <c r="B746">
        <v>12</v>
      </c>
      <c r="C746" s="105" t="s">
        <v>48</v>
      </c>
      <c r="D746" s="105" t="s">
        <v>32</v>
      </c>
      <c r="E746">
        <v>145</v>
      </c>
      <c r="F746">
        <v>94971.69</v>
      </c>
    </row>
    <row r="747" spans="1:6" x14ac:dyDescent="0.3">
      <c r="A747">
        <v>2023</v>
      </c>
      <c r="B747">
        <v>12</v>
      </c>
      <c r="C747" s="105" t="s">
        <v>48</v>
      </c>
      <c r="D747" s="105" t="s">
        <v>33</v>
      </c>
      <c r="E747">
        <v>233</v>
      </c>
      <c r="F747">
        <v>195320.31</v>
      </c>
    </row>
    <row r="748" spans="1:6" x14ac:dyDescent="0.3">
      <c r="A748">
        <v>2023</v>
      </c>
      <c r="B748">
        <v>12</v>
      </c>
      <c r="C748" s="105" t="s">
        <v>48</v>
      </c>
      <c r="D748" s="105" t="s">
        <v>34</v>
      </c>
      <c r="E748">
        <v>246</v>
      </c>
      <c r="F748">
        <v>171461.68</v>
      </c>
    </row>
    <row r="749" spans="1:6" x14ac:dyDescent="0.3">
      <c r="A749">
        <v>2023</v>
      </c>
      <c r="B749">
        <v>12</v>
      </c>
      <c r="C749" s="105" t="s">
        <v>48</v>
      </c>
      <c r="D749" s="105" t="s">
        <v>49</v>
      </c>
      <c r="E749">
        <v>7</v>
      </c>
      <c r="F749">
        <v>3000</v>
      </c>
    </row>
    <row r="750" spans="1:6" x14ac:dyDescent="0.3">
      <c r="A750">
        <v>2023</v>
      </c>
      <c r="B750">
        <v>12</v>
      </c>
      <c r="C750" s="105" t="s">
        <v>48</v>
      </c>
      <c r="D750" s="105" t="s">
        <v>35</v>
      </c>
      <c r="E750">
        <v>100</v>
      </c>
      <c r="F750">
        <v>70478.67</v>
      </c>
    </row>
    <row r="751" spans="1:6" x14ac:dyDescent="0.3">
      <c r="A751">
        <v>2023</v>
      </c>
      <c r="B751">
        <v>12</v>
      </c>
      <c r="C751" s="105" t="s">
        <v>48</v>
      </c>
      <c r="D751" s="105" t="s">
        <v>36</v>
      </c>
      <c r="E751">
        <v>174</v>
      </c>
      <c r="F751">
        <v>129616.37</v>
      </c>
    </row>
    <row r="752" spans="1:6" x14ac:dyDescent="0.3">
      <c r="A752">
        <v>2023</v>
      </c>
      <c r="B752">
        <v>12</v>
      </c>
      <c r="C752" s="105" t="s">
        <v>48</v>
      </c>
      <c r="D752" s="105" t="s">
        <v>37</v>
      </c>
      <c r="E752">
        <v>117</v>
      </c>
      <c r="F752">
        <v>95392.83</v>
      </c>
    </row>
    <row r="753" spans="1:6" x14ac:dyDescent="0.3">
      <c r="A753">
        <v>2024</v>
      </c>
      <c r="B753">
        <v>1</v>
      </c>
      <c r="C753" s="105" t="s">
        <v>6</v>
      </c>
      <c r="D753" s="105" t="s">
        <v>7</v>
      </c>
      <c r="E753">
        <v>208</v>
      </c>
      <c r="F753">
        <v>179188.07</v>
      </c>
    </row>
    <row r="754" spans="1:6" x14ac:dyDescent="0.3">
      <c r="A754">
        <v>2024</v>
      </c>
      <c r="B754">
        <v>1</v>
      </c>
      <c r="C754" s="105" t="s">
        <v>6</v>
      </c>
      <c r="D754" s="105" t="s">
        <v>8</v>
      </c>
      <c r="E754">
        <v>249</v>
      </c>
      <c r="F754">
        <v>159061.04999999999</v>
      </c>
    </row>
    <row r="755" spans="1:6" x14ac:dyDescent="0.3">
      <c r="A755">
        <v>2024</v>
      </c>
      <c r="B755">
        <v>1</v>
      </c>
      <c r="C755" s="105" t="s">
        <v>6</v>
      </c>
      <c r="D755" s="105" t="s">
        <v>9</v>
      </c>
      <c r="E755">
        <v>52</v>
      </c>
      <c r="F755">
        <v>37283.21</v>
      </c>
    </row>
    <row r="756" spans="1:6" x14ac:dyDescent="0.3">
      <c r="A756">
        <v>2024</v>
      </c>
      <c r="B756">
        <v>1</v>
      </c>
      <c r="C756" s="105" t="s">
        <v>6</v>
      </c>
      <c r="D756" s="105" t="s">
        <v>10</v>
      </c>
      <c r="E756">
        <v>261</v>
      </c>
      <c r="F756">
        <v>212094.28</v>
      </c>
    </row>
    <row r="757" spans="1:6" x14ac:dyDescent="0.3">
      <c r="A757">
        <v>2024</v>
      </c>
      <c r="B757">
        <v>1</v>
      </c>
      <c r="C757" s="105" t="s">
        <v>6</v>
      </c>
      <c r="D757" s="105" t="s">
        <v>11</v>
      </c>
      <c r="E757">
        <v>236</v>
      </c>
      <c r="F757">
        <v>167382.96</v>
      </c>
    </row>
    <row r="758" spans="1:6" x14ac:dyDescent="0.3">
      <c r="A758">
        <v>2024</v>
      </c>
      <c r="B758">
        <v>1</v>
      </c>
      <c r="C758" s="105" t="s">
        <v>6</v>
      </c>
      <c r="D758" s="105" t="s">
        <v>12</v>
      </c>
      <c r="E758">
        <v>141</v>
      </c>
      <c r="F758">
        <v>91681.22</v>
      </c>
    </row>
    <row r="759" spans="1:6" x14ac:dyDescent="0.3">
      <c r="A759">
        <v>2024</v>
      </c>
      <c r="B759">
        <v>1</v>
      </c>
      <c r="C759" s="105" t="s">
        <v>6</v>
      </c>
      <c r="D759" s="105" t="s">
        <v>13</v>
      </c>
      <c r="E759">
        <v>186</v>
      </c>
      <c r="F759">
        <v>126691.77</v>
      </c>
    </row>
    <row r="760" spans="1:6" x14ac:dyDescent="0.3">
      <c r="A760">
        <v>2024</v>
      </c>
      <c r="B760">
        <v>1</v>
      </c>
      <c r="C760" s="105" t="s">
        <v>6</v>
      </c>
      <c r="D760" s="105" t="s">
        <v>14</v>
      </c>
      <c r="E760">
        <v>184</v>
      </c>
      <c r="F760">
        <v>123958.14</v>
      </c>
    </row>
    <row r="761" spans="1:6" x14ac:dyDescent="0.3">
      <c r="A761">
        <v>2024</v>
      </c>
      <c r="B761">
        <v>1</v>
      </c>
      <c r="C761" s="105" t="s">
        <v>6</v>
      </c>
      <c r="D761" s="105" t="s">
        <v>15</v>
      </c>
      <c r="E761">
        <v>75</v>
      </c>
      <c r="F761">
        <v>46320.06</v>
      </c>
    </row>
    <row r="762" spans="1:6" x14ac:dyDescent="0.3">
      <c r="A762">
        <v>2024</v>
      </c>
      <c r="B762">
        <v>1</v>
      </c>
      <c r="C762" s="105" t="s">
        <v>6</v>
      </c>
      <c r="D762" s="105" t="s">
        <v>16</v>
      </c>
      <c r="E762">
        <v>97</v>
      </c>
      <c r="F762">
        <v>72364.47</v>
      </c>
    </row>
    <row r="763" spans="1:6" x14ac:dyDescent="0.3">
      <c r="A763">
        <v>2024</v>
      </c>
      <c r="B763">
        <v>1</v>
      </c>
      <c r="C763" s="105" t="s">
        <v>6</v>
      </c>
      <c r="D763" s="105" t="s">
        <v>17</v>
      </c>
      <c r="E763">
        <v>345</v>
      </c>
      <c r="F763">
        <v>238305.5</v>
      </c>
    </row>
    <row r="764" spans="1:6" x14ac:dyDescent="0.3">
      <c r="A764">
        <v>2024</v>
      </c>
      <c r="B764">
        <v>1</v>
      </c>
      <c r="C764" s="105" t="s">
        <v>6</v>
      </c>
      <c r="D764" s="105" t="s">
        <v>18</v>
      </c>
      <c r="E764">
        <v>445</v>
      </c>
      <c r="F764">
        <v>288552.78999999998</v>
      </c>
    </row>
    <row r="765" spans="1:6" x14ac:dyDescent="0.3">
      <c r="A765">
        <v>2024</v>
      </c>
      <c r="B765">
        <v>1</v>
      </c>
      <c r="C765" s="105" t="s">
        <v>6</v>
      </c>
      <c r="D765" s="105" t="s">
        <v>19</v>
      </c>
      <c r="E765">
        <v>166</v>
      </c>
      <c r="F765">
        <v>104514.76</v>
      </c>
    </row>
    <row r="766" spans="1:6" x14ac:dyDescent="0.3">
      <c r="A766">
        <v>2024</v>
      </c>
      <c r="B766">
        <v>1</v>
      </c>
      <c r="C766" s="105" t="s">
        <v>6</v>
      </c>
      <c r="D766" s="105" t="s">
        <v>20</v>
      </c>
      <c r="E766">
        <v>129</v>
      </c>
      <c r="F766">
        <v>96169.39</v>
      </c>
    </row>
    <row r="767" spans="1:6" x14ac:dyDescent="0.3">
      <c r="A767">
        <v>2024</v>
      </c>
      <c r="B767">
        <v>1</v>
      </c>
      <c r="C767" s="105" t="s">
        <v>6</v>
      </c>
      <c r="D767" s="105" t="s">
        <v>21</v>
      </c>
      <c r="E767">
        <v>406</v>
      </c>
      <c r="F767">
        <v>347759.57</v>
      </c>
    </row>
    <row r="768" spans="1:6" x14ac:dyDescent="0.3">
      <c r="A768">
        <v>2024</v>
      </c>
      <c r="B768">
        <v>1</v>
      </c>
      <c r="C768" s="105" t="s">
        <v>6</v>
      </c>
      <c r="D768" s="105" t="s">
        <v>22</v>
      </c>
      <c r="E768">
        <v>116</v>
      </c>
      <c r="F768">
        <v>76000.92</v>
      </c>
    </row>
    <row r="769" spans="1:6" x14ac:dyDescent="0.3">
      <c r="A769">
        <v>2024</v>
      </c>
      <c r="B769">
        <v>1</v>
      </c>
      <c r="C769" s="105" t="s">
        <v>6</v>
      </c>
      <c r="D769" s="105" t="s">
        <v>23</v>
      </c>
      <c r="E769">
        <v>173</v>
      </c>
      <c r="F769">
        <v>141380.97</v>
      </c>
    </row>
    <row r="770" spans="1:6" x14ac:dyDescent="0.3">
      <c r="A770">
        <v>2024</v>
      </c>
      <c r="B770">
        <v>1</v>
      </c>
      <c r="C770" s="105" t="s">
        <v>6</v>
      </c>
      <c r="D770" s="105" t="s">
        <v>24</v>
      </c>
      <c r="E770">
        <v>231</v>
      </c>
      <c r="F770">
        <v>151321.53</v>
      </c>
    </row>
    <row r="771" spans="1:6" x14ac:dyDescent="0.3">
      <c r="A771">
        <v>2024</v>
      </c>
      <c r="B771">
        <v>1</v>
      </c>
      <c r="C771" s="105" t="s">
        <v>6</v>
      </c>
      <c r="D771" s="105" t="s">
        <v>25</v>
      </c>
      <c r="E771">
        <v>248</v>
      </c>
      <c r="F771">
        <v>190868.14</v>
      </c>
    </row>
    <row r="772" spans="1:6" x14ac:dyDescent="0.3">
      <c r="A772">
        <v>2024</v>
      </c>
      <c r="B772">
        <v>1</v>
      </c>
      <c r="C772" s="105" t="s">
        <v>6</v>
      </c>
      <c r="D772" s="105" t="s">
        <v>26</v>
      </c>
      <c r="E772">
        <v>166</v>
      </c>
      <c r="F772">
        <v>123628.38</v>
      </c>
    </row>
    <row r="773" spans="1:6" x14ac:dyDescent="0.3">
      <c r="A773">
        <v>2024</v>
      </c>
      <c r="B773">
        <v>1</v>
      </c>
      <c r="C773" s="105" t="s">
        <v>6</v>
      </c>
      <c r="D773" s="105" t="s">
        <v>27</v>
      </c>
      <c r="E773">
        <v>200</v>
      </c>
      <c r="F773">
        <v>159259.96</v>
      </c>
    </row>
    <row r="774" spans="1:6" x14ac:dyDescent="0.3">
      <c r="A774">
        <v>2024</v>
      </c>
      <c r="B774">
        <v>1</v>
      </c>
      <c r="C774" s="105" t="s">
        <v>6</v>
      </c>
      <c r="D774" s="105" t="s">
        <v>28</v>
      </c>
      <c r="E774">
        <v>118</v>
      </c>
      <c r="F774">
        <v>78560.31</v>
      </c>
    </row>
    <row r="775" spans="1:6" x14ac:dyDescent="0.3">
      <c r="A775">
        <v>2024</v>
      </c>
      <c r="B775">
        <v>1</v>
      </c>
      <c r="C775" s="105" t="s">
        <v>6</v>
      </c>
      <c r="D775" s="105" t="s">
        <v>29</v>
      </c>
      <c r="E775">
        <v>247</v>
      </c>
      <c r="F775">
        <v>191018.05</v>
      </c>
    </row>
    <row r="776" spans="1:6" x14ac:dyDescent="0.3">
      <c r="A776">
        <v>2024</v>
      </c>
      <c r="B776">
        <v>1</v>
      </c>
      <c r="C776" s="105" t="s">
        <v>6</v>
      </c>
      <c r="D776" s="105" t="s">
        <v>30</v>
      </c>
      <c r="E776">
        <v>71</v>
      </c>
      <c r="F776">
        <v>50169.15</v>
      </c>
    </row>
    <row r="777" spans="1:6" x14ac:dyDescent="0.3">
      <c r="A777">
        <v>2024</v>
      </c>
      <c r="B777">
        <v>1</v>
      </c>
      <c r="C777" s="105" t="s">
        <v>6</v>
      </c>
      <c r="D777" s="105" t="s">
        <v>31</v>
      </c>
      <c r="E777">
        <v>400</v>
      </c>
      <c r="F777">
        <v>315787.59999999998</v>
      </c>
    </row>
    <row r="778" spans="1:6" x14ac:dyDescent="0.3">
      <c r="A778">
        <v>2024</v>
      </c>
      <c r="B778">
        <v>1</v>
      </c>
      <c r="C778" s="105" t="s">
        <v>6</v>
      </c>
      <c r="D778" s="105" t="s">
        <v>32</v>
      </c>
      <c r="E778">
        <v>170</v>
      </c>
      <c r="F778">
        <v>109773.15</v>
      </c>
    </row>
    <row r="779" spans="1:6" x14ac:dyDescent="0.3">
      <c r="A779">
        <v>2024</v>
      </c>
      <c r="B779">
        <v>1</v>
      </c>
      <c r="C779" s="105" t="s">
        <v>6</v>
      </c>
      <c r="D779" s="105" t="s">
        <v>33</v>
      </c>
      <c r="E779">
        <v>293</v>
      </c>
      <c r="F779">
        <v>239547.46</v>
      </c>
    </row>
    <row r="780" spans="1:6" x14ac:dyDescent="0.3">
      <c r="A780">
        <v>2024</v>
      </c>
      <c r="B780">
        <v>1</v>
      </c>
      <c r="C780" s="105" t="s">
        <v>6</v>
      </c>
      <c r="D780" s="105" t="s">
        <v>34</v>
      </c>
      <c r="E780">
        <v>283</v>
      </c>
      <c r="F780">
        <v>214005.65</v>
      </c>
    </row>
    <row r="781" spans="1:6" x14ac:dyDescent="0.3">
      <c r="A781">
        <v>2024</v>
      </c>
      <c r="B781">
        <v>1</v>
      </c>
      <c r="C781" s="105" t="s">
        <v>6</v>
      </c>
      <c r="D781" s="105" t="s">
        <v>49</v>
      </c>
      <c r="E781">
        <v>1</v>
      </c>
      <c r="F781">
        <v>540</v>
      </c>
    </row>
    <row r="782" spans="1:6" x14ac:dyDescent="0.3">
      <c r="A782">
        <v>2024</v>
      </c>
      <c r="B782">
        <v>1</v>
      </c>
      <c r="C782" s="105" t="s">
        <v>6</v>
      </c>
      <c r="D782" s="105" t="s">
        <v>35</v>
      </c>
      <c r="E782">
        <v>112</v>
      </c>
      <c r="F782">
        <v>92477.83</v>
      </c>
    </row>
    <row r="783" spans="1:6" x14ac:dyDescent="0.3">
      <c r="A783">
        <v>2024</v>
      </c>
      <c r="B783">
        <v>1</v>
      </c>
      <c r="C783" s="105" t="s">
        <v>6</v>
      </c>
      <c r="D783" s="105" t="s">
        <v>36</v>
      </c>
      <c r="E783">
        <v>227</v>
      </c>
      <c r="F783">
        <v>167771.5</v>
      </c>
    </row>
    <row r="784" spans="1:6" x14ac:dyDescent="0.3">
      <c r="A784">
        <v>2024</v>
      </c>
      <c r="B784">
        <v>1</v>
      </c>
      <c r="C784" s="105" t="s">
        <v>6</v>
      </c>
      <c r="D784" s="105" t="s">
        <v>37</v>
      </c>
      <c r="E784">
        <v>184</v>
      </c>
      <c r="F784">
        <v>147054.39000000001</v>
      </c>
    </row>
    <row r="785" spans="1:6" x14ac:dyDescent="0.3">
      <c r="A785">
        <v>2024</v>
      </c>
      <c r="B785">
        <v>2</v>
      </c>
      <c r="C785" s="105" t="s">
        <v>38</v>
      </c>
      <c r="D785" s="105" t="s">
        <v>7</v>
      </c>
      <c r="E785">
        <v>172</v>
      </c>
      <c r="F785">
        <v>160652.68</v>
      </c>
    </row>
    <row r="786" spans="1:6" x14ac:dyDescent="0.3">
      <c r="A786">
        <v>2024</v>
      </c>
      <c r="B786">
        <v>2</v>
      </c>
      <c r="C786" s="105" t="s">
        <v>38</v>
      </c>
      <c r="D786" s="105" t="s">
        <v>8</v>
      </c>
      <c r="E786">
        <v>241</v>
      </c>
      <c r="F786">
        <v>151238.38</v>
      </c>
    </row>
    <row r="787" spans="1:6" x14ac:dyDescent="0.3">
      <c r="A787">
        <v>2024</v>
      </c>
      <c r="B787">
        <v>2</v>
      </c>
      <c r="C787" s="105" t="s">
        <v>38</v>
      </c>
      <c r="D787" s="105" t="s">
        <v>9</v>
      </c>
      <c r="E787">
        <v>45</v>
      </c>
      <c r="F787">
        <v>31784.560000000001</v>
      </c>
    </row>
    <row r="788" spans="1:6" x14ac:dyDescent="0.3">
      <c r="A788">
        <v>2024</v>
      </c>
      <c r="B788">
        <v>2</v>
      </c>
      <c r="C788" s="105" t="s">
        <v>38</v>
      </c>
      <c r="D788" s="105" t="s">
        <v>10</v>
      </c>
      <c r="E788">
        <v>235</v>
      </c>
      <c r="F788">
        <v>229944.33</v>
      </c>
    </row>
    <row r="789" spans="1:6" x14ac:dyDescent="0.3">
      <c r="A789">
        <v>2024</v>
      </c>
      <c r="B789">
        <v>2</v>
      </c>
      <c r="C789" s="105" t="s">
        <v>38</v>
      </c>
      <c r="D789" s="105" t="s">
        <v>11</v>
      </c>
      <c r="E789">
        <v>162</v>
      </c>
      <c r="F789">
        <v>129345.43</v>
      </c>
    </row>
    <row r="790" spans="1:6" x14ac:dyDescent="0.3">
      <c r="A790">
        <v>2024</v>
      </c>
      <c r="B790">
        <v>2</v>
      </c>
      <c r="C790" s="105" t="s">
        <v>38</v>
      </c>
      <c r="D790" s="105" t="s">
        <v>12</v>
      </c>
      <c r="E790">
        <v>108</v>
      </c>
      <c r="F790">
        <v>92513.63</v>
      </c>
    </row>
    <row r="791" spans="1:6" x14ac:dyDescent="0.3">
      <c r="A791">
        <v>2024</v>
      </c>
      <c r="B791">
        <v>2</v>
      </c>
      <c r="C791" s="105" t="s">
        <v>38</v>
      </c>
      <c r="D791" s="105" t="s">
        <v>13</v>
      </c>
      <c r="E791">
        <v>153</v>
      </c>
      <c r="F791">
        <v>113585.15</v>
      </c>
    </row>
    <row r="792" spans="1:6" x14ac:dyDescent="0.3">
      <c r="A792">
        <v>2024</v>
      </c>
      <c r="B792">
        <v>2</v>
      </c>
      <c r="C792" s="105" t="s">
        <v>38</v>
      </c>
      <c r="D792" s="105" t="s">
        <v>14</v>
      </c>
      <c r="E792">
        <v>174</v>
      </c>
      <c r="F792">
        <v>117528.8</v>
      </c>
    </row>
    <row r="793" spans="1:6" x14ac:dyDescent="0.3">
      <c r="A793">
        <v>2024</v>
      </c>
      <c r="B793">
        <v>2</v>
      </c>
      <c r="C793" s="105" t="s">
        <v>38</v>
      </c>
      <c r="D793" s="105" t="s">
        <v>15</v>
      </c>
      <c r="E793">
        <v>72</v>
      </c>
      <c r="F793">
        <v>44989.84</v>
      </c>
    </row>
    <row r="794" spans="1:6" x14ac:dyDescent="0.3">
      <c r="A794">
        <v>2024</v>
      </c>
      <c r="B794">
        <v>2</v>
      </c>
      <c r="C794" s="105" t="s">
        <v>38</v>
      </c>
      <c r="D794" s="105" t="s">
        <v>16</v>
      </c>
      <c r="E794">
        <v>78</v>
      </c>
      <c r="F794">
        <v>66737.570000000007</v>
      </c>
    </row>
    <row r="795" spans="1:6" x14ac:dyDescent="0.3">
      <c r="A795">
        <v>2024</v>
      </c>
      <c r="B795">
        <v>2</v>
      </c>
      <c r="C795" s="105" t="s">
        <v>38</v>
      </c>
      <c r="D795" s="105" t="s">
        <v>17</v>
      </c>
      <c r="E795">
        <v>253</v>
      </c>
      <c r="F795">
        <v>204765.93</v>
      </c>
    </row>
    <row r="796" spans="1:6" x14ac:dyDescent="0.3">
      <c r="A796">
        <v>2024</v>
      </c>
      <c r="B796">
        <v>2</v>
      </c>
      <c r="C796" s="105" t="s">
        <v>38</v>
      </c>
      <c r="D796" s="105" t="s">
        <v>18</v>
      </c>
      <c r="E796">
        <v>311</v>
      </c>
      <c r="F796">
        <v>278903.03000000003</v>
      </c>
    </row>
    <row r="797" spans="1:6" x14ac:dyDescent="0.3">
      <c r="A797">
        <v>2024</v>
      </c>
      <c r="B797">
        <v>2</v>
      </c>
      <c r="C797" s="105" t="s">
        <v>38</v>
      </c>
      <c r="D797" s="105" t="s">
        <v>19</v>
      </c>
      <c r="E797">
        <v>178</v>
      </c>
      <c r="F797">
        <v>114966.39</v>
      </c>
    </row>
    <row r="798" spans="1:6" x14ac:dyDescent="0.3">
      <c r="A798">
        <v>2024</v>
      </c>
      <c r="B798">
        <v>2</v>
      </c>
      <c r="C798" s="105" t="s">
        <v>38</v>
      </c>
      <c r="D798" s="105" t="s">
        <v>20</v>
      </c>
      <c r="E798">
        <v>154</v>
      </c>
      <c r="F798">
        <v>112657.61</v>
      </c>
    </row>
    <row r="799" spans="1:6" x14ac:dyDescent="0.3">
      <c r="A799">
        <v>2024</v>
      </c>
      <c r="B799">
        <v>2</v>
      </c>
      <c r="C799" s="105" t="s">
        <v>38</v>
      </c>
      <c r="D799" s="105" t="s">
        <v>21</v>
      </c>
      <c r="E799">
        <v>247</v>
      </c>
      <c r="F799">
        <v>217946.71</v>
      </c>
    </row>
    <row r="800" spans="1:6" x14ac:dyDescent="0.3">
      <c r="A800">
        <v>2024</v>
      </c>
      <c r="B800">
        <v>2</v>
      </c>
      <c r="C800" s="105" t="s">
        <v>38</v>
      </c>
      <c r="D800" s="105" t="s">
        <v>22</v>
      </c>
      <c r="E800">
        <v>72</v>
      </c>
      <c r="F800">
        <v>45984.43</v>
      </c>
    </row>
    <row r="801" spans="1:6" x14ac:dyDescent="0.3">
      <c r="A801">
        <v>2024</v>
      </c>
      <c r="B801">
        <v>2</v>
      </c>
      <c r="C801" s="105" t="s">
        <v>38</v>
      </c>
      <c r="D801" s="105" t="s">
        <v>23</v>
      </c>
      <c r="E801">
        <v>172</v>
      </c>
      <c r="F801">
        <v>157071.75</v>
      </c>
    </row>
    <row r="802" spans="1:6" x14ac:dyDescent="0.3">
      <c r="A802">
        <v>2024</v>
      </c>
      <c r="B802">
        <v>2</v>
      </c>
      <c r="C802" s="105" t="s">
        <v>38</v>
      </c>
      <c r="D802" s="105" t="s">
        <v>24</v>
      </c>
      <c r="E802">
        <v>231</v>
      </c>
      <c r="F802">
        <v>152090.59</v>
      </c>
    </row>
    <row r="803" spans="1:6" x14ac:dyDescent="0.3">
      <c r="A803">
        <v>2024</v>
      </c>
      <c r="B803">
        <v>2</v>
      </c>
      <c r="C803" s="105" t="s">
        <v>38</v>
      </c>
      <c r="D803" s="105" t="s">
        <v>25</v>
      </c>
      <c r="E803">
        <v>237</v>
      </c>
      <c r="F803">
        <v>187547.68</v>
      </c>
    </row>
    <row r="804" spans="1:6" x14ac:dyDescent="0.3">
      <c r="A804">
        <v>2024</v>
      </c>
      <c r="B804">
        <v>2</v>
      </c>
      <c r="C804" s="105" t="s">
        <v>38</v>
      </c>
      <c r="D804" s="105" t="s">
        <v>26</v>
      </c>
      <c r="E804">
        <v>168</v>
      </c>
      <c r="F804">
        <v>140596.14000000001</v>
      </c>
    </row>
    <row r="805" spans="1:6" x14ac:dyDescent="0.3">
      <c r="A805">
        <v>2024</v>
      </c>
      <c r="B805">
        <v>2</v>
      </c>
      <c r="C805" s="105" t="s">
        <v>38</v>
      </c>
      <c r="D805" s="105" t="s">
        <v>27</v>
      </c>
      <c r="E805">
        <v>221</v>
      </c>
      <c r="F805">
        <v>181324.3</v>
      </c>
    </row>
    <row r="806" spans="1:6" x14ac:dyDescent="0.3">
      <c r="A806">
        <v>2024</v>
      </c>
      <c r="B806">
        <v>2</v>
      </c>
      <c r="C806" s="105" t="s">
        <v>38</v>
      </c>
      <c r="D806" s="105" t="s">
        <v>28</v>
      </c>
      <c r="E806">
        <v>98</v>
      </c>
      <c r="F806">
        <v>61751.11</v>
      </c>
    </row>
    <row r="807" spans="1:6" x14ac:dyDescent="0.3">
      <c r="A807">
        <v>2024</v>
      </c>
      <c r="B807">
        <v>2</v>
      </c>
      <c r="C807" s="105" t="s">
        <v>38</v>
      </c>
      <c r="D807" s="105" t="s">
        <v>29</v>
      </c>
      <c r="E807">
        <v>193</v>
      </c>
      <c r="F807">
        <v>156337.94</v>
      </c>
    </row>
    <row r="808" spans="1:6" x14ac:dyDescent="0.3">
      <c r="A808">
        <v>2024</v>
      </c>
      <c r="B808">
        <v>2</v>
      </c>
      <c r="C808" s="105" t="s">
        <v>38</v>
      </c>
      <c r="D808" s="105" t="s">
        <v>30</v>
      </c>
      <c r="E808">
        <v>98</v>
      </c>
      <c r="F808">
        <v>66891.42</v>
      </c>
    </row>
    <row r="809" spans="1:6" x14ac:dyDescent="0.3">
      <c r="A809">
        <v>2024</v>
      </c>
      <c r="B809">
        <v>2</v>
      </c>
      <c r="C809" s="105" t="s">
        <v>38</v>
      </c>
      <c r="D809" s="105" t="s">
        <v>31</v>
      </c>
      <c r="E809">
        <v>326</v>
      </c>
      <c r="F809">
        <v>269241.74</v>
      </c>
    </row>
    <row r="810" spans="1:6" x14ac:dyDescent="0.3">
      <c r="A810">
        <v>2024</v>
      </c>
      <c r="B810">
        <v>2</v>
      </c>
      <c r="C810" s="105" t="s">
        <v>38</v>
      </c>
      <c r="D810" s="105" t="s">
        <v>32</v>
      </c>
      <c r="E810">
        <v>100</v>
      </c>
      <c r="F810">
        <v>81872.87</v>
      </c>
    </row>
    <row r="811" spans="1:6" x14ac:dyDescent="0.3">
      <c r="A811">
        <v>2024</v>
      </c>
      <c r="B811">
        <v>2</v>
      </c>
      <c r="C811" s="105" t="s">
        <v>38</v>
      </c>
      <c r="D811" s="105" t="s">
        <v>33</v>
      </c>
      <c r="E811">
        <v>281</v>
      </c>
      <c r="F811">
        <v>235827.79</v>
      </c>
    </row>
    <row r="812" spans="1:6" x14ac:dyDescent="0.3">
      <c r="A812">
        <v>2024</v>
      </c>
      <c r="B812">
        <v>2</v>
      </c>
      <c r="C812" s="105" t="s">
        <v>38</v>
      </c>
      <c r="D812" s="105" t="s">
        <v>34</v>
      </c>
      <c r="E812">
        <v>247</v>
      </c>
      <c r="F812">
        <v>194532.5</v>
      </c>
    </row>
    <row r="813" spans="1:6" x14ac:dyDescent="0.3">
      <c r="A813">
        <v>2024</v>
      </c>
      <c r="B813">
        <v>2</v>
      </c>
      <c r="C813" s="105" t="s">
        <v>38</v>
      </c>
      <c r="D813" s="105" t="s">
        <v>49</v>
      </c>
      <c r="E813">
        <v>4</v>
      </c>
      <c r="F813">
        <v>2141</v>
      </c>
    </row>
    <row r="814" spans="1:6" x14ac:dyDescent="0.3">
      <c r="A814">
        <v>2024</v>
      </c>
      <c r="B814">
        <v>2</v>
      </c>
      <c r="C814" s="105" t="s">
        <v>38</v>
      </c>
      <c r="D814" s="105" t="s">
        <v>35</v>
      </c>
      <c r="E814">
        <v>133</v>
      </c>
      <c r="F814">
        <v>123680.9</v>
      </c>
    </row>
    <row r="815" spans="1:6" x14ac:dyDescent="0.3">
      <c r="A815">
        <v>2024</v>
      </c>
      <c r="B815">
        <v>2</v>
      </c>
      <c r="C815" s="105" t="s">
        <v>38</v>
      </c>
      <c r="D815" s="105" t="s">
        <v>36</v>
      </c>
      <c r="E815">
        <v>174</v>
      </c>
      <c r="F815">
        <v>133884.07</v>
      </c>
    </row>
    <row r="816" spans="1:6" x14ac:dyDescent="0.3">
      <c r="A816">
        <v>2024</v>
      </c>
      <c r="B816">
        <v>2</v>
      </c>
      <c r="C816" s="105" t="s">
        <v>38</v>
      </c>
      <c r="D816" s="105" t="s">
        <v>37</v>
      </c>
      <c r="E816">
        <v>109</v>
      </c>
      <c r="F816">
        <v>97472.53</v>
      </c>
    </row>
    <row r="817" spans="1:6" x14ac:dyDescent="0.3">
      <c r="A817">
        <v>2024</v>
      </c>
      <c r="B817">
        <v>3</v>
      </c>
      <c r="C817" s="105" t="s">
        <v>39</v>
      </c>
      <c r="D817" s="105" t="s">
        <v>7</v>
      </c>
      <c r="E817">
        <v>138</v>
      </c>
      <c r="F817">
        <v>121751.87</v>
      </c>
    </row>
    <row r="818" spans="1:6" x14ac:dyDescent="0.3">
      <c r="A818">
        <v>2024</v>
      </c>
      <c r="B818">
        <v>3</v>
      </c>
      <c r="C818" s="105" t="s">
        <v>39</v>
      </c>
      <c r="D818" s="105" t="s">
        <v>8</v>
      </c>
      <c r="E818">
        <v>257</v>
      </c>
      <c r="F818">
        <v>164711.46</v>
      </c>
    </row>
    <row r="819" spans="1:6" x14ac:dyDescent="0.3">
      <c r="A819">
        <v>2024</v>
      </c>
      <c r="B819">
        <v>3</v>
      </c>
      <c r="C819" s="105" t="s">
        <v>39</v>
      </c>
      <c r="D819" s="105" t="s">
        <v>9</v>
      </c>
      <c r="E819">
        <v>71</v>
      </c>
      <c r="F819">
        <v>45494.19</v>
      </c>
    </row>
    <row r="820" spans="1:6" x14ac:dyDescent="0.3">
      <c r="A820">
        <v>2024</v>
      </c>
      <c r="B820">
        <v>3</v>
      </c>
      <c r="C820" s="105" t="s">
        <v>39</v>
      </c>
      <c r="D820" s="105" t="s">
        <v>10</v>
      </c>
      <c r="E820">
        <v>246</v>
      </c>
      <c r="F820">
        <v>217700.57</v>
      </c>
    </row>
    <row r="821" spans="1:6" x14ac:dyDescent="0.3">
      <c r="A821">
        <v>2024</v>
      </c>
      <c r="B821">
        <v>3</v>
      </c>
      <c r="C821" s="105" t="s">
        <v>39</v>
      </c>
      <c r="D821" s="105" t="s">
        <v>11</v>
      </c>
      <c r="E821">
        <v>167</v>
      </c>
      <c r="F821">
        <v>143927.66</v>
      </c>
    </row>
    <row r="822" spans="1:6" x14ac:dyDescent="0.3">
      <c r="A822">
        <v>2024</v>
      </c>
      <c r="B822">
        <v>3</v>
      </c>
      <c r="C822" s="105" t="s">
        <v>39</v>
      </c>
      <c r="D822" s="105" t="s">
        <v>12</v>
      </c>
      <c r="E822">
        <v>138</v>
      </c>
      <c r="F822">
        <v>98955.74</v>
      </c>
    </row>
    <row r="823" spans="1:6" x14ac:dyDescent="0.3">
      <c r="A823">
        <v>2024</v>
      </c>
      <c r="B823">
        <v>3</v>
      </c>
      <c r="C823" s="105" t="s">
        <v>39</v>
      </c>
      <c r="D823" s="105" t="s">
        <v>13</v>
      </c>
      <c r="E823">
        <v>219</v>
      </c>
      <c r="F823">
        <v>133103.39000000001</v>
      </c>
    </row>
    <row r="824" spans="1:6" x14ac:dyDescent="0.3">
      <c r="A824">
        <v>2024</v>
      </c>
      <c r="B824">
        <v>3</v>
      </c>
      <c r="C824" s="105" t="s">
        <v>39</v>
      </c>
      <c r="D824" s="105" t="s">
        <v>14</v>
      </c>
      <c r="E824">
        <v>213</v>
      </c>
      <c r="F824">
        <v>142980.42000000001</v>
      </c>
    </row>
    <row r="825" spans="1:6" x14ac:dyDescent="0.3">
      <c r="A825">
        <v>2024</v>
      </c>
      <c r="B825">
        <v>3</v>
      </c>
      <c r="C825" s="105" t="s">
        <v>39</v>
      </c>
      <c r="D825" s="105" t="s">
        <v>15</v>
      </c>
      <c r="E825">
        <v>85</v>
      </c>
      <c r="F825">
        <v>53294.89</v>
      </c>
    </row>
    <row r="826" spans="1:6" x14ac:dyDescent="0.3">
      <c r="A826">
        <v>2024</v>
      </c>
      <c r="B826">
        <v>3</v>
      </c>
      <c r="C826" s="105" t="s">
        <v>39</v>
      </c>
      <c r="D826" s="105" t="s">
        <v>16</v>
      </c>
      <c r="E826">
        <v>119</v>
      </c>
      <c r="F826">
        <v>104647.93</v>
      </c>
    </row>
    <row r="827" spans="1:6" x14ac:dyDescent="0.3">
      <c r="A827">
        <v>2024</v>
      </c>
      <c r="B827">
        <v>3</v>
      </c>
      <c r="C827" s="105" t="s">
        <v>39</v>
      </c>
      <c r="D827" s="105" t="s">
        <v>17</v>
      </c>
      <c r="E827">
        <v>317</v>
      </c>
      <c r="F827">
        <v>258102.65</v>
      </c>
    </row>
    <row r="828" spans="1:6" x14ac:dyDescent="0.3">
      <c r="A828">
        <v>2024</v>
      </c>
      <c r="B828">
        <v>3</v>
      </c>
      <c r="C828" s="105" t="s">
        <v>39</v>
      </c>
      <c r="D828" s="105" t="s">
        <v>18</v>
      </c>
      <c r="E828">
        <v>357</v>
      </c>
      <c r="F828">
        <v>305881.74</v>
      </c>
    </row>
    <row r="829" spans="1:6" x14ac:dyDescent="0.3">
      <c r="A829">
        <v>2024</v>
      </c>
      <c r="B829">
        <v>3</v>
      </c>
      <c r="C829" s="105" t="s">
        <v>39</v>
      </c>
      <c r="D829" s="105" t="s">
        <v>19</v>
      </c>
      <c r="E829">
        <v>204</v>
      </c>
      <c r="F829">
        <v>127889.23</v>
      </c>
    </row>
    <row r="830" spans="1:6" x14ac:dyDescent="0.3">
      <c r="A830">
        <v>2024</v>
      </c>
      <c r="B830">
        <v>3</v>
      </c>
      <c r="C830" s="105" t="s">
        <v>39</v>
      </c>
      <c r="D830" s="105" t="s">
        <v>20</v>
      </c>
      <c r="E830">
        <v>188</v>
      </c>
      <c r="F830">
        <v>131216.38</v>
      </c>
    </row>
    <row r="831" spans="1:6" x14ac:dyDescent="0.3">
      <c r="A831">
        <v>2024</v>
      </c>
      <c r="B831">
        <v>3</v>
      </c>
      <c r="C831" s="105" t="s">
        <v>39</v>
      </c>
      <c r="D831" s="105" t="s">
        <v>21</v>
      </c>
      <c r="E831">
        <v>328</v>
      </c>
      <c r="F831">
        <v>287700.61</v>
      </c>
    </row>
    <row r="832" spans="1:6" x14ac:dyDescent="0.3">
      <c r="A832">
        <v>2024</v>
      </c>
      <c r="B832">
        <v>3</v>
      </c>
      <c r="C832" s="105" t="s">
        <v>39</v>
      </c>
      <c r="D832" s="105" t="s">
        <v>22</v>
      </c>
      <c r="E832">
        <v>122</v>
      </c>
      <c r="F832">
        <v>77093.95</v>
      </c>
    </row>
    <row r="833" spans="1:6" x14ac:dyDescent="0.3">
      <c r="A833">
        <v>2024</v>
      </c>
      <c r="B833">
        <v>3</v>
      </c>
      <c r="C833" s="105" t="s">
        <v>39</v>
      </c>
      <c r="D833" s="105" t="s">
        <v>23</v>
      </c>
      <c r="E833">
        <v>182</v>
      </c>
      <c r="F833">
        <v>160084.32999999999</v>
      </c>
    </row>
    <row r="834" spans="1:6" x14ac:dyDescent="0.3">
      <c r="A834">
        <v>2024</v>
      </c>
      <c r="B834">
        <v>3</v>
      </c>
      <c r="C834" s="105" t="s">
        <v>39</v>
      </c>
      <c r="D834" s="105" t="s">
        <v>24</v>
      </c>
      <c r="E834">
        <v>301</v>
      </c>
      <c r="F834">
        <v>194036.04</v>
      </c>
    </row>
    <row r="835" spans="1:6" x14ac:dyDescent="0.3">
      <c r="A835">
        <v>2024</v>
      </c>
      <c r="B835">
        <v>3</v>
      </c>
      <c r="C835" s="105" t="s">
        <v>39</v>
      </c>
      <c r="D835" s="105" t="s">
        <v>25</v>
      </c>
      <c r="E835">
        <v>351</v>
      </c>
      <c r="F835">
        <v>261157.99</v>
      </c>
    </row>
    <row r="836" spans="1:6" x14ac:dyDescent="0.3">
      <c r="A836">
        <v>2024</v>
      </c>
      <c r="B836">
        <v>3</v>
      </c>
      <c r="C836" s="105" t="s">
        <v>39</v>
      </c>
      <c r="D836" s="105" t="s">
        <v>26</v>
      </c>
      <c r="E836">
        <v>192</v>
      </c>
      <c r="F836">
        <v>158774.07999999999</v>
      </c>
    </row>
    <row r="837" spans="1:6" x14ac:dyDescent="0.3">
      <c r="A837">
        <v>2024</v>
      </c>
      <c r="B837">
        <v>3</v>
      </c>
      <c r="C837" s="105" t="s">
        <v>39</v>
      </c>
      <c r="D837" s="105" t="s">
        <v>27</v>
      </c>
      <c r="E837">
        <v>186</v>
      </c>
      <c r="F837">
        <v>154662.9</v>
      </c>
    </row>
    <row r="838" spans="1:6" x14ac:dyDescent="0.3">
      <c r="A838">
        <v>2024</v>
      </c>
      <c r="B838">
        <v>3</v>
      </c>
      <c r="C838" s="105" t="s">
        <v>39</v>
      </c>
      <c r="D838" s="105" t="s">
        <v>28</v>
      </c>
      <c r="E838">
        <v>166</v>
      </c>
      <c r="F838">
        <v>108635.42</v>
      </c>
    </row>
    <row r="839" spans="1:6" x14ac:dyDescent="0.3">
      <c r="A839">
        <v>2024</v>
      </c>
      <c r="B839">
        <v>3</v>
      </c>
      <c r="C839" s="105" t="s">
        <v>39</v>
      </c>
      <c r="D839" s="105" t="s">
        <v>29</v>
      </c>
      <c r="E839">
        <v>217</v>
      </c>
      <c r="F839">
        <v>166811.79</v>
      </c>
    </row>
    <row r="840" spans="1:6" x14ac:dyDescent="0.3">
      <c r="A840">
        <v>2024</v>
      </c>
      <c r="B840">
        <v>3</v>
      </c>
      <c r="C840" s="105" t="s">
        <v>39</v>
      </c>
      <c r="D840" s="105" t="s">
        <v>30</v>
      </c>
      <c r="E840">
        <v>114</v>
      </c>
      <c r="F840">
        <v>78642.48</v>
      </c>
    </row>
    <row r="841" spans="1:6" x14ac:dyDescent="0.3">
      <c r="A841">
        <v>2024</v>
      </c>
      <c r="B841">
        <v>3</v>
      </c>
      <c r="C841" s="105" t="s">
        <v>39</v>
      </c>
      <c r="D841" s="105" t="s">
        <v>31</v>
      </c>
      <c r="E841">
        <v>385</v>
      </c>
      <c r="F841">
        <v>335512.75</v>
      </c>
    </row>
    <row r="842" spans="1:6" x14ac:dyDescent="0.3">
      <c r="A842">
        <v>2024</v>
      </c>
      <c r="B842">
        <v>3</v>
      </c>
      <c r="C842" s="105" t="s">
        <v>39</v>
      </c>
      <c r="D842" s="105" t="s">
        <v>32</v>
      </c>
      <c r="E842">
        <v>141</v>
      </c>
      <c r="F842">
        <v>115976.15</v>
      </c>
    </row>
    <row r="843" spans="1:6" x14ac:dyDescent="0.3">
      <c r="A843">
        <v>2024</v>
      </c>
      <c r="B843">
        <v>3</v>
      </c>
      <c r="C843" s="105" t="s">
        <v>39</v>
      </c>
      <c r="D843" s="105" t="s">
        <v>33</v>
      </c>
      <c r="E843">
        <v>240</v>
      </c>
      <c r="F843">
        <v>204202.69</v>
      </c>
    </row>
    <row r="844" spans="1:6" x14ac:dyDescent="0.3">
      <c r="A844">
        <v>2024</v>
      </c>
      <c r="B844">
        <v>3</v>
      </c>
      <c r="C844" s="105" t="s">
        <v>39</v>
      </c>
      <c r="D844" s="105" t="s">
        <v>34</v>
      </c>
      <c r="E844">
        <v>267</v>
      </c>
      <c r="F844">
        <v>203596.05</v>
      </c>
    </row>
    <row r="845" spans="1:6" x14ac:dyDescent="0.3">
      <c r="A845">
        <v>2024</v>
      </c>
      <c r="B845">
        <v>3</v>
      </c>
      <c r="C845" s="105" t="s">
        <v>39</v>
      </c>
      <c r="D845" s="105" t="s">
        <v>49</v>
      </c>
      <c r="E845">
        <v>10</v>
      </c>
      <c r="F845">
        <v>6230</v>
      </c>
    </row>
    <row r="846" spans="1:6" x14ac:dyDescent="0.3">
      <c r="A846">
        <v>2024</v>
      </c>
      <c r="B846">
        <v>3</v>
      </c>
      <c r="C846" s="105" t="s">
        <v>39</v>
      </c>
      <c r="D846" s="105" t="s">
        <v>35</v>
      </c>
      <c r="E846">
        <v>110</v>
      </c>
      <c r="F846">
        <v>89151.9</v>
      </c>
    </row>
    <row r="847" spans="1:6" x14ac:dyDescent="0.3">
      <c r="A847">
        <v>2024</v>
      </c>
      <c r="B847">
        <v>3</v>
      </c>
      <c r="C847" s="105" t="s">
        <v>39</v>
      </c>
      <c r="D847" s="105" t="s">
        <v>36</v>
      </c>
      <c r="E847">
        <v>173</v>
      </c>
      <c r="F847">
        <v>134706.25</v>
      </c>
    </row>
    <row r="848" spans="1:6" x14ac:dyDescent="0.3">
      <c r="A848">
        <v>2024</v>
      </c>
      <c r="B848">
        <v>3</v>
      </c>
      <c r="C848" s="105" t="s">
        <v>39</v>
      </c>
      <c r="D848" s="105" t="s">
        <v>37</v>
      </c>
      <c r="E848">
        <v>200</v>
      </c>
      <c r="F848">
        <v>166628.88</v>
      </c>
    </row>
    <row r="849" spans="1:6" x14ac:dyDescent="0.3">
      <c r="A849">
        <v>2024</v>
      </c>
      <c r="B849">
        <v>4</v>
      </c>
      <c r="C849" s="105" t="s">
        <v>40</v>
      </c>
      <c r="D849" s="105" t="s">
        <v>7</v>
      </c>
      <c r="E849">
        <v>152</v>
      </c>
      <c r="F849">
        <v>134877.82999999999</v>
      </c>
    </row>
    <row r="850" spans="1:6" x14ac:dyDescent="0.3">
      <c r="A850">
        <v>2024</v>
      </c>
      <c r="B850">
        <v>4</v>
      </c>
      <c r="C850" s="105" t="s">
        <v>40</v>
      </c>
      <c r="D850" s="105" t="s">
        <v>8</v>
      </c>
      <c r="E850">
        <v>205</v>
      </c>
      <c r="F850">
        <v>127743.44</v>
      </c>
    </row>
    <row r="851" spans="1:6" x14ac:dyDescent="0.3">
      <c r="A851">
        <v>2024</v>
      </c>
      <c r="B851">
        <v>4</v>
      </c>
      <c r="C851" s="105" t="s">
        <v>40</v>
      </c>
      <c r="D851" s="105" t="s">
        <v>9</v>
      </c>
      <c r="E851">
        <v>46</v>
      </c>
      <c r="F851">
        <v>33937.29</v>
      </c>
    </row>
    <row r="852" spans="1:6" x14ac:dyDescent="0.3">
      <c r="A852">
        <v>2024</v>
      </c>
      <c r="B852">
        <v>4</v>
      </c>
      <c r="C852" s="105" t="s">
        <v>40</v>
      </c>
      <c r="D852" s="105" t="s">
        <v>10</v>
      </c>
      <c r="E852">
        <v>223</v>
      </c>
      <c r="F852">
        <v>198956.31</v>
      </c>
    </row>
    <row r="853" spans="1:6" x14ac:dyDescent="0.3">
      <c r="A853">
        <v>2024</v>
      </c>
      <c r="B853">
        <v>4</v>
      </c>
      <c r="C853" s="105" t="s">
        <v>40</v>
      </c>
      <c r="D853" s="105" t="s">
        <v>11</v>
      </c>
      <c r="E853">
        <v>175</v>
      </c>
      <c r="F853">
        <v>130090.66</v>
      </c>
    </row>
    <row r="854" spans="1:6" x14ac:dyDescent="0.3">
      <c r="A854">
        <v>2024</v>
      </c>
      <c r="B854">
        <v>4</v>
      </c>
      <c r="C854" s="105" t="s">
        <v>40</v>
      </c>
      <c r="D854" s="105" t="s">
        <v>12</v>
      </c>
      <c r="E854">
        <v>83</v>
      </c>
      <c r="F854">
        <v>61675.97</v>
      </c>
    </row>
    <row r="855" spans="1:6" x14ac:dyDescent="0.3">
      <c r="A855">
        <v>2024</v>
      </c>
      <c r="B855">
        <v>4</v>
      </c>
      <c r="C855" s="105" t="s">
        <v>40</v>
      </c>
      <c r="D855" s="105" t="s">
        <v>13</v>
      </c>
      <c r="E855">
        <v>115</v>
      </c>
      <c r="F855">
        <v>91973.64</v>
      </c>
    </row>
    <row r="856" spans="1:6" x14ac:dyDescent="0.3">
      <c r="A856">
        <v>2024</v>
      </c>
      <c r="B856">
        <v>4</v>
      </c>
      <c r="C856" s="105" t="s">
        <v>40</v>
      </c>
      <c r="D856" s="105" t="s">
        <v>14</v>
      </c>
      <c r="E856">
        <v>228</v>
      </c>
      <c r="F856">
        <v>148067.96</v>
      </c>
    </row>
    <row r="857" spans="1:6" x14ac:dyDescent="0.3">
      <c r="A857">
        <v>2024</v>
      </c>
      <c r="B857">
        <v>4</v>
      </c>
      <c r="C857" s="105" t="s">
        <v>40</v>
      </c>
      <c r="D857" s="105" t="s">
        <v>15</v>
      </c>
      <c r="E857">
        <v>72</v>
      </c>
      <c r="F857">
        <v>44880.36</v>
      </c>
    </row>
    <row r="858" spans="1:6" x14ac:dyDescent="0.3">
      <c r="A858">
        <v>2024</v>
      </c>
      <c r="B858">
        <v>4</v>
      </c>
      <c r="C858" s="105" t="s">
        <v>40</v>
      </c>
      <c r="D858" s="105" t="s">
        <v>16</v>
      </c>
      <c r="E858">
        <v>103</v>
      </c>
      <c r="F858">
        <v>92025.59</v>
      </c>
    </row>
    <row r="859" spans="1:6" x14ac:dyDescent="0.3">
      <c r="A859">
        <v>2024</v>
      </c>
      <c r="B859">
        <v>4</v>
      </c>
      <c r="C859" s="105" t="s">
        <v>40</v>
      </c>
      <c r="D859" s="105" t="s">
        <v>17</v>
      </c>
      <c r="E859">
        <v>286</v>
      </c>
      <c r="F859">
        <v>220612.15</v>
      </c>
    </row>
    <row r="860" spans="1:6" x14ac:dyDescent="0.3">
      <c r="A860">
        <v>2024</v>
      </c>
      <c r="B860">
        <v>4</v>
      </c>
      <c r="C860" s="105" t="s">
        <v>40</v>
      </c>
      <c r="D860" s="105" t="s">
        <v>18</v>
      </c>
      <c r="E860">
        <v>353</v>
      </c>
      <c r="F860">
        <v>287257.77</v>
      </c>
    </row>
    <row r="861" spans="1:6" x14ac:dyDescent="0.3">
      <c r="A861">
        <v>2024</v>
      </c>
      <c r="B861">
        <v>4</v>
      </c>
      <c r="C861" s="105" t="s">
        <v>40</v>
      </c>
      <c r="D861" s="105" t="s">
        <v>50</v>
      </c>
      <c r="E861">
        <v>1</v>
      </c>
      <c r="F861">
        <v>585</v>
      </c>
    </row>
    <row r="862" spans="1:6" x14ac:dyDescent="0.3">
      <c r="A862">
        <v>2024</v>
      </c>
      <c r="B862">
        <v>4</v>
      </c>
      <c r="C862" s="105" t="s">
        <v>40</v>
      </c>
      <c r="D862" s="105" t="s">
        <v>19</v>
      </c>
      <c r="E862">
        <v>135</v>
      </c>
      <c r="F862">
        <v>91516.68</v>
      </c>
    </row>
    <row r="863" spans="1:6" x14ac:dyDescent="0.3">
      <c r="A863">
        <v>2024</v>
      </c>
      <c r="B863">
        <v>4</v>
      </c>
      <c r="C863" s="105" t="s">
        <v>40</v>
      </c>
      <c r="D863" s="105" t="s">
        <v>20</v>
      </c>
      <c r="E863">
        <v>137</v>
      </c>
      <c r="F863">
        <v>95578.18</v>
      </c>
    </row>
    <row r="864" spans="1:6" x14ac:dyDescent="0.3">
      <c r="A864">
        <v>2024</v>
      </c>
      <c r="B864">
        <v>4</v>
      </c>
      <c r="C864" s="105" t="s">
        <v>40</v>
      </c>
      <c r="D864" s="105" t="s">
        <v>21</v>
      </c>
      <c r="E864">
        <v>266</v>
      </c>
      <c r="F864">
        <v>220828.78</v>
      </c>
    </row>
    <row r="865" spans="1:6" x14ac:dyDescent="0.3">
      <c r="A865">
        <v>2024</v>
      </c>
      <c r="B865">
        <v>4</v>
      </c>
      <c r="C865" s="105" t="s">
        <v>40</v>
      </c>
      <c r="D865" s="105" t="s">
        <v>22</v>
      </c>
      <c r="E865">
        <v>134</v>
      </c>
      <c r="F865">
        <v>72699.09</v>
      </c>
    </row>
    <row r="866" spans="1:6" x14ac:dyDescent="0.3">
      <c r="A866">
        <v>2024</v>
      </c>
      <c r="B866">
        <v>4</v>
      </c>
      <c r="C866" s="105" t="s">
        <v>40</v>
      </c>
      <c r="D866" s="105" t="s">
        <v>23</v>
      </c>
      <c r="E866">
        <v>354</v>
      </c>
      <c r="F866">
        <v>236025.67</v>
      </c>
    </row>
    <row r="867" spans="1:6" x14ac:dyDescent="0.3">
      <c r="A867">
        <v>2024</v>
      </c>
      <c r="B867">
        <v>4</v>
      </c>
      <c r="C867" s="105" t="s">
        <v>40</v>
      </c>
      <c r="D867" s="105" t="s">
        <v>24</v>
      </c>
      <c r="E867">
        <v>281</v>
      </c>
      <c r="F867">
        <v>178942.47</v>
      </c>
    </row>
    <row r="868" spans="1:6" x14ac:dyDescent="0.3">
      <c r="A868">
        <v>2024</v>
      </c>
      <c r="B868">
        <v>4</v>
      </c>
      <c r="C868" s="105" t="s">
        <v>40</v>
      </c>
      <c r="D868" s="105" t="s">
        <v>25</v>
      </c>
      <c r="E868">
        <v>253</v>
      </c>
      <c r="F868">
        <v>183678.46</v>
      </c>
    </row>
    <row r="869" spans="1:6" x14ac:dyDescent="0.3">
      <c r="A869">
        <v>2024</v>
      </c>
      <c r="B869">
        <v>4</v>
      </c>
      <c r="C869" s="105" t="s">
        <v>40</v>
      </c>
      <c r="D869" s="105" t="s">
        <v>26</v>
      </c>
      <c r="E869">
        <v>149</v>
      </c>
      <c r="F869">
        <v>121443.75</v>
      </c>
    </row>
    <row r="870" spans="1:6" x14ac:dyDescent="0.3">
      <c r="A870">
        <v>2024</v>
      </c>
      <c r="B870">
        <v>4</v>
      </c>
      <c r="C870" s="105" t="s">
        <v>40</v>
      </c>
      <c r="D870" s="105" t="s">
        <v>27</v>
      </c>
      <c r="E870">
        <v>183</v>
      </c>
      <c r="F870">
        <v>143580.4</v>
      </c>
    </row>
    <row r="871" spans="1:6" x14ac:dyDescent="0.3">
      <c r="A871">
        <v>2024</v>
      </c>
      <c r="B871">
        <v>4</v>
      </c>
      <c r="C871" s="105" t="s">
        <v>40</v>
      </c>
      <c r="D871" s="105" t="s">
        <v>28</v>
      </c>
      <c r="E871">
        <v>97</v>
      </c>
      <c r="F871">
        <v>61723.17</v>
      </c>
    </row>
    <row r="872" spans="1:6" x14ac:dyDescent="0.3">
      <c r="A872">
        <v>2024</v>
      </c>
      <c r="B872">
        <v>4</v>
      </c>
      <c r="C872" s="105" t="s">
        <v>40</v>
      </c>
      <c r="D872" s="105" t="s">
        <v>29</v>
      </c>
      <c r="E872">
        <v>203</v>
      </c>
      <c r="F872">
        <v>157652.14000000001</v>
      </c>
    </row>
    <row r="873" spans="1:6" x14ac:dyDescent="0.3">
      <c r="A873">
        <v>2024</v>
      </c>
      <c r="B873">
        <v>4</v>
      </c>
      <c r="C873" s="105" t="s">
        <v>40</v>
      </c>
      <c r="D873" s="105" t="s">
        <v>30</v>
      </c>
      <c r="E873">
        <v>116</v>
      </c>
      <c r="F873">
        <v>77896.59</v>
      </c>
    </row>
    <row r="874" spans="1:6" x14ac:dyDescent="0.3">
      <c r="A874">
        <v>2024</v>
      </c>
      <c r="B874">
        <v>4</v>
      </c>
      <c r="C874" s="105" t="s">
        <v>40</v>
      </c>
      <c r="D874" s="105" t="s">
        <v>31</v>
      </c>
      <c r="E874">
        <v>302</v>
      </c>
      <c r="F874">
        <v>252962.09</v>
      </c>
    </row>
    <row r="875" spans="1:6" x14ac:dyDescent="0.3">
      <c r="A875">
        <v>2024</v>
      </c>
      <c r="B875">
        <v>4</v>
      </c>
      <c r="C875" s="105" t="s">
        <v>40</v>
      </c>
      <c r="D875" s="105" t="s">
        <v>51</v>
      </c>
      <c r="E875">
        <v>2</v>
      </c>
      <c r="F875">
        <v>595</v>
      </c>
    </row>
    <row r="876" spans="1:6" x14ac:dyDescent="0.3">
      <c r="A876">
        <v>2024</v>
      </c>
      <c r="B876">
        <v>4</v>
      </c>
      <c r="C876" s="105" t="s">
        <v>40</v>
      </c>
      <c r="D876" s="105" t="s">
        <v>32</v>
      </c>
      <c r="E876">
        <v>173</v>
      </c>
      <c r="F876">
        <v>135152.99</v>
      </c>
    </row>
    <row r="877" spans="1:6" x14ac:dyDescent="0.3">
      <c r="A877">
        <v>2024</v>
      </c>
      <c r="B877">
        <v>4</v>
      </c>
      <c r="C877" s="105" t="s">
        <v>40</v>
      </c>
      <c r="D877" s="105" t="s">
        <v>33</v>
      </c>
      <c r="E877">
        <v>234</v>
      </c>
      <c r="F877">
        <v>202269.26</v>
      </c>
    </row>
    <row r="878" spans="1:6" x14ac:dyDescent="0.3">
      <c r="A878">
        <v>2024</v>
      </c>
      <c r="B878">
        <v>4</v>
      </c>
      <c r="C878" s="105" t="s">
        <v>40</v>
      </c>
      <c r="D878" s="105" t="s">
        <v>34</v>
      </c>
      <c r="E878">
        <v>242</v>
      </c>
      <c r="F878">
        <v>183985.37</v>
      </c>
    </row>
    <row r="879" spans="1:6" x14ac:dyDescent="0.3">
      <c r="A879">
        <v>2024</v>
      </c>
      <c r="B879">
        <v>4</v>
      </c>
      <c r="C879" s="105" t="s">
        <v>40</v>
      </c>
      <c r="D879" s="105" t="s">
        <v>49</v>
      </c>
      <c r="E879">
        <v>5</v>
      </c>
      <c r="F879">
        <v>3286</v>
      </c>
    </row>
    <row r="880" spans="1:6" x14ac:dyDescent="0.3">
      <c r="A880">
        <v>2024</v>
      </c>
      <c r="B880">
        <v>4</v>
      </c>
      <c r="C880" s="105" t="s">
        <v>40</v>
      </c>
      <c r="D880" s="105" t="s">
        <v>35</v>
      </c>
      <c r="E880">
        <v>126</v>
      </c>
      <c r="F880">
        <v>100854.64</v>
      </c>
    </row>
    <row r="881" spans="1:6" x14ac:dyDescent="0.3">
      <c r="A881">
        <v>2024</v>
      </c>
      <c r="B881">
        <v>4</v>
      </c>
      <c r="C881" s="105" t="s">
        <v>40</v>
      </c>
      <c r="D881" s="105" t="s">
        <v>36</v>
      </c>
      <c r="E881">
        <v>170</v>
      </c>
      <c r="F881">
        <v>125843.9</v>
      </c>
    </row>
    <row r="882" spans="1:6" x14ac:dyDescent="0.3">
      <c r="A882">
        <v>2024</v>
      </c>
      <c r="B882">
        <v>4</v>
      </c>
      <c r="C882" s="105" t="s">
        <v>40</v>
      </c>
      <c r="D882" s="105" t="s">
        <v>37</v>
      </c>
      <c r="E882">
        <v>116</v>
      </c>
      <c r="F882">
        <v>109098.1</v>
      </c>
    </row>
    <row r="883" spans="1:6" x14ac:dyDescent="0.3">
      <c r="A883">
        <v>2024</v>
      </c>
      <c r="B883">
        <v>5</v>
      </c>
      <c r="C883" s="105" t="s">
        <v>41</v>
      </c>
      <c r="D883" s="105" t="s">
        <v>7</v>
      </c>
      <c r="E883">
        <v>213</v>
      </c>
      <c r="F883">
        <v>195057.6</v>
      </c>
    </row>
    <row r="884" spans="1:6" x14ac:dyDescent="0.3">
      <c r="A884">
        <v>2024</v>
      </c>
      <c r="B884">
        <v>5</v>
      </c>
      <c r="C884" s="105" t="s">
        <v>41</v>
      </c>
      <c r="D884" s="105" t="s">
        <v>8</v>
      </c>
      <c r="E884">
        <v>208</v>
      </c>
      <c r="F884">
        <v>132382.56</v>
      </c>
    </row>
    <row r="885" spans="1:6" x14ac:dyDescent="0.3">
      <c r="A885">
        <v>2024</v>
      </c>
      <c r="B885">
        <v>5</v>
      </c>
      <c r="C885" s="105" t="s">
        <v>41</v>
      </c>
      <c r="D885" s="105" t="s">
        <v>9</v>
      </c>
      <c r="E885">
        <v>66</v>
      </c>
      <c r="F885">
        <v>48009.4</v>
      </c>
    </row>
    <row r="886" spans="1:6" x14ac:dyDescent="0.3">
      <c r="A886">
        <v>2024</v>
      </c>
      <c r="B886">
        <v>5</v>
      </c>
      <c r="C886" s="105" t="s">
        <v>41</v>
      </c>
      <c r="D886" s="105" t="s">
        <v>10</v>
      </c>
      <c r="E886">
        <v>252</v>
      </c>
      <c r="F886">
        <v>224134.87</v>
      </c>
    </row>
    <row r="887" spans="1:6" x14ac:dyDescent="0.3">
      <c r="A887">
        <v>2024</v>
      </c>
      <c r="B887">
        <v>5</v>
      </c>
      <c r="C887" s="105" t="s">
        <v>41</v>
      </c>
      <c r="D887" s="105" t="s">
        <v>11</v>
      </c>
      <c r="E887">
        <v>183</v>
      </c>
      <c r="F887">
        <v>151113.51</v>
      </c>
    </row>
    <row r="888" spans="1:6" x14ac:dyDescent="0.3">
      <c r="A888">
        <v>2024</v>
      </c>
      <c r="B888">
        <v>5</v>
      </c>
      <c r="C888" s="105" t="s">
        <v>41</v>
      </c>
      <c r="D888" s="105" t="s">
        <v>12</v>
      </c>
      <c r="E888">
        <v>209</v>
      </c>
      <c r="F888">
        <v>144289.1</v>
      </c>
    </row>
    <row r="889" spans="1:6" x14ac:dyDescent="0.3">
      <c r="A889">
        <v>2024</v>
      </c>
      <c r="B889">
        <v>5</v>
      </c>
      <c r="C889" s="105" t="s">
        <v>41</v>
      </c>
      <c r="D889" s="105" t="s">
        <v>13</v>
      </c>
      <c r="E889">
        <v>255</v>
      </c>
      <c r="F889">
        <v>171208.47</v>
      </c>
    </row>
    <row r="890" spans="1:6" x14ac:dyDescent="0.3">
      <c r="A890">
        <v>2024</v>
      </c>
      <c r="B890">
        <v>5</v>
      </c>
      <c r="C890" s="105" t="s">
        <v>41</v>
      </c>
      <c r="D890" s="105" t="s">
        <v>14</v>
      </c>
      <c r="E890">
        <v>208</v>
      </c>
      <c r="F890">
        <v>136433.54</v>
      </c>
    </row>
    <row r="891" spans="1:6" x14ac:dyDescent="0.3">
      <c r="A891">
        <v>2024</v>
      </c>
      <c r="B891">
        <v>5</v>
      </c>
      <c r="C891" s="105" t="s">
        <v>41</v>
      </c>
      <c r="D891" s="105" t="s">
        <v>15</v>
      </c>
      <c r="E891">
        <v>77</v>
      </c>
      <c r="F891">
        <v>51656.92</v>
      </c>
    </row>
    <row r="892" spans="1:6" x14ac:dyDescent="0.3">
      <c r="A892">
        <v>2024</v>
      </c>
      <c r="B892">
        <v>5</v>
      </c>
      <c r="C892" s="105" t="s">
        <v>41</v>
      </c>
      <c r="D892" s="105" t="s">
        <v>16</v>
      </c>
      <c r="E892">
        <v>153</v>
      </c>
      <c r="F892">
        <v>126813.06</v>
      </c>
    </row>
    <row r="893" spans="1:6" x14ac:dyDescent="0.3">
      <c r="A893">
        <v>2024</v>
      </c>
      <c r="B893">
        <v>5</v>
      </c>
      <c r="C893" s="105" t="s">
        <v>41</v>
      </c>
      <c r="D893" s="105" t="s">
        <v>17</v>
      </c>
      <c r="E893">
        <v>352</v>
      </c>
      <c r="F893">
        <v>271205.99</v>
      </c>
    </row>
    <row r="894" spans="1:6" x14ac:dyDescent="0.3">
      <c r="A894">
        <v>2024</v>
      </c>
      <c r="B894">
        <v>5</v>
      </c>
      <c r="C894" s="105" t="s">
        <v>41</v>
      </c>
      <c r="D894" s="105" t="s">
        <v>18</v>
      </c>
      <c r="E894">
        <v>419</v>
      </c>
      <c r="F894">
        <v>332118.26</v>
      </c>
    </row>
    <row r="895" spans="1:6" x14ac:dyDescent="0.3">
      <c r="A895">
        <v>2024</v>
      </c>
      <c r="B895">
        <v>5</v>
      </c>
      <c r="C895" s="105" t="s">
        <v>41</v>
      </c>
      <c r="D895" s="105" t="s">
        <v>50</v>
      </c>
      <c r="E895">
        <v>15</v>
      </c>
      <c r="F895">
        <v>12148</v>
      </c>
    </row>
    <row r="896" spans="1:6" x14ac:dyDescent="0.3">
      <c r="A896">
        <v>2024</v>
      </c>
      <c r="B896">
        <v>5</v>
      </c>
      <c r="C896" s="105" t="s">
        <v>41</v>
      </c>
      <c r="D896" s="105" t="s">
        <v>19</v>
      </c>
      <c r="E896">
        <v>149</v>
      </c>
      <c r="F896">
        <v>95048.7</v>
      </c>
    </row>
    <row r="897" spans="1:6" x14ac:dyDescent="0.3">
      <c r="A897">
        <v>2024</v>
      </c>
      <c r="B897">
        <v>5</v>
      </c>
      <c r="C897" s="105" t="s">
        <v>41</v>
      </c>
      <c r="D897" s="105" t="s">
        <v>20</v>
      </c>
      <c r="E897">
        <v>221</v>
      </c>
      <c r="F897">
        <v>149168.04999999999</v>
      </c>
    </row>
    <row r="898" spans="1:6" x14ac:dyDescent="0.3">
      <c r="A898">
        <v>2024</v>
      </c>
      <c r="B898">
        <v>5</v>
      </c>
      <c r="C898" s="105" t="s">
        <v>41</v>
      </c>
      <c r="D898" s="105" t="s">
        <v>21</v>
      </c>
      <c r="E898">
        <v>305</v>
      </c>
      <c r="F898">
        <v>249463.66</v>
      </c>
    </row>
    <row r="899" spans="1:6" x14ac:dyDescent="0.3">
      <c r="A899">
        <v>2024</v>
      </c>
      <c r="B899">
        <v>5</v>
      </c>
      <c r="C899" s="105" t="s">
        <v>41</v>
      </c>
      <c r="D899" s="105" t="s">
        <v>22</v>
      </c>
      <c r="E899">
        <v>166</v>
      </c>
      <c r="F899">
        <v>101381.53</v>
      </c>
    </row>
    <row r="900" spans="1:6" x14ac:dyDescent="0.3">
      <c r="A900">
        <v>2024</v>
      </c>
      <c r="B900">
        <v>5</v>
      </c>
      <c r="C900" s="105" t="s">
        <v>41</v>
      </c>
      <c r="D900" s="105" t="s">
        <v>23</v>
      </c>
      <c r="E900">
        <v>215</v>
      </c>
      <c r="F900">
        <v>185659.19</v>
      </c>
    </row>
    <row r="901" spans="1:6" x14ac:dyDescent="0.3">
      <c r="A901">
        <v>2024</v>
      </c>
      <c r="B901">
        <v>5</v>
      </c>
      <c r="C901" s="105" t="s">
        <v>41</v>
      </c>
      <c r="D901" s="105" t="s">
        <v>24</v>
      </c>
      <c r="E901">
        <v>219</v>
      </c>
      <c r="F901">
        <v>146753.89000000001</v>
      </c>
    </row>
    <row r="902" spans="1:6" x14ac:dyDescent="0.3">
      <c r="A902">
        <v>2024</v>
      </c>
      <c r="B902">
        <v>5</v>
      </c>
      <c r="C902" s="105" t="s">
        <v>41</v>
      </c>
      <c r="D902" s="105" t="s">
        <v>25</v>
      </c>
      <c r="E902">
        <v>235</v>
      </c>
      <c r="F902">
        <v>193584.02</v>
      </c>
    </row>
    <row r="903" spans="1:6" x14ac:dyDescent="0.3">
      <c r="A903">
        <v>2024</v>
      </c>
      <c r="B903">
        <v>5</v>
      </c>
      <c r="C903" s="105" t="s">
        <v>41</v>
      </c>
      <c r="D903" s="105" t="s">
        <v>26</v>
      </c>
      <c r="E903">
        <v>199</v>
      </c>
      <c r="F903">
        <v>160619.73000000001</v>
      </c>
    </row>
    <row r="904" spans="1:6" x14ac:dyDescent="0.3">
      <c r="A904">
        <v>2024</v>
      </c>
      <c r="B904">
        <v>5</v>
      </c>
      <c r="C904" s="105" t="s">
        <v>41</v>
      </c>
      <c r="D904" s="105" t="s">
        <v>27</v>
      </c>
      <c r="E904">
        <v>218</v>
      </c>
      <c r="F904">
        <v>174824.21</v>
      </c>
    </row>
    <row r="905" spans="1:6" x14ac:dyDescent="0.3">
      <c r="A905">
        <v>2024</v>
      </c>
      <c r="B905">
        <v>5</v>
      </c>
      <c r="C905" s="105" t="s">
        <v>41</v>
      </c>
      <c r="D905" s="105" t="s">
        <v>28</v>
      </c>
      <c r="E905">
        <v>76</v>
      </c>
      <c r="F905">
        <v>48079.199999999997</v>
      </c>
    </row>
    <row r="906" spans="1:6" x14ac:dyDescent="0.3">
      <c r="A906">
        <v>2024</v>
      </c>
      <c r="B906">
        <v>5</v>
      </c>
      <c r="C906" s="105" t="s">
        <v>41</v>
      </c>
      <c r="D906" s="105" t="s">
        <v>29</v>
      </c>
      <c r="E906">
        <v>182</v>
      </c>
      <c r="F906">
        <v>160013.93</v>
      </c>
    </row>
    <row r="907" spans="1:6" x14ac:dyDescent="0.3">
      <c r="A907">
        <v>2024</v>
      </c>
      <c r="B907">
        <v>5</v>
      </c>
      <c r="C907" s="105" t="s">
        <v>41</v>
      </c>
      <c r="D907" s="105" t="s">
        <v>30</v>
      </c>
      <c r="E907">
        <v>92</v>
      </c>
      <c r="F907">
        <v>60038.559999999998</v>
      </c>
    </row>
    <row r="908" spans="1:6" x14ac:dyDescent="0.3">
      <c r="A908">
        <v>2024</v>
      </c>
      <c r="B908">
        <v>5</v>
      </c>
      <c r="C908" s="105" t="s">
        <v>41</v>
      </c>
      <c r="D908" s="105" t="s">
        <v>31</v>
      </c>
      <c r="E908">
        <v>348</v>
      </c>
      <c r="F908">
        <v>285940.25</v>
      </c>
    </row>
    <row r="909" spans="1:6" x14ac:dyDescent="0.3">
      <c r="A909">
        <v>2024</v>
      </c>
      <c r="B909">
        <v>5</v>
      </c>
      <c r="C909" s="105" t="s">
        <v>41</v>
      </c>
      <c r="D909" s="105" t="s">
        <v>51</v>
      </c>
      <c r="E909">
        <v>9</v>
      </c>
      <c r="F909">
        <v>5720</v>
      </c>
    </row>
    <row r="910" spans="1:6" x14ac:dyDescent="0.3">
      <c r="A910">
        <v>2024</v>
      </c>
      <c r="B910">
        <v>5</v>
      </c>
      <c r="C910" s="105" t="s">
        <v>41</v>
      </c>
      <c r="D910" s="105" t="s">
        <v>32</v>
      </c>
      <c r="E910">
        <v>183</v>
      </c>
      <c r="F910">
        <v>143972.22</v>
      </c>
    </row>
    <row r="911" spans="1:6" x14ac:dyDescent="0.3">
      <c r="A911">
        <v>2024</v>
      </c>
      <c r="B911">
        <v>5</v>
      </c>
      <c r="C911" s="105" t="s">
        <v>41</v>
      </c>
      <c r="D911" s="105" t="s">
        <v>52</v>
      </c>
      <c r="E911">
        <v>12</v>
      </c>
      <c r="F911">
        <v>10452.64</v>
      </c>
    </row>
    <row r="912" spans="1:6" x14ac:dyDescent="0.3">
      <c r="A912">
        <v>2024</v>
      </c>
      <c r="B912">
        <v>5</v>
      </c>
      <c r="C912" s="105" t="s">
        <v>41</v>
      </c>
      <c r="D912" s="105" t="s">
        <v>33</v>
      </c>
      <c r="E912">
        <v>259</v>
      </c>
      <c r="F912">
        <v>215189.24</v>
      </c>
    </row>
    <row r="913" spans="1:6" x14ac:dyDescent="0.3">
      <c r="A913">
        <v>2024</v>
      </c>
      <c r="B913">
        <v>5</v>
      </c>
      <c r="C913" s="105" t="s">
        <v>41</v>
      </c>
      <c r="D913" s="105" t="s">
        <v>34</v>
      </c>
      <c r="E913">
        <v>244</v>
      </c>
      <c r="F913">
        <v>180764.64</v>
      </c>
    </row>
    <row r="914" spans="1:6" x14ac:dyDescent="0.3">
      <c r="A914">
        <v>2024</v>
      </c>
      <c r="B914">
        <v>5</v>
      </c>
      <c r="C914" s="105" t="s">
        <v>41</v>
      </c>
      <c r="D914" s="105" t="s">
        <v>49</v>
      </c>
      <c r="E914">
        <v>8</v>
      </c>
      <c r="F914">
        <v>5333</v>
      </c>
    </row>
    <row r="915" spans="1:6" x14ac:dyDescent="0.3">
      <c r="A915">
        <v>2024</v>
      </c>
      <c r="B915">
        <v>5</v>
      </c>
      <c r="C915" s="105" t="s">
        <v>41</v>
      </c>
      <c r="D915" s="105" t="s">
        <v>53</v>
      </c>
      <c r="E915">
        <v>15</v>
      </c>
      <c r="F915">
        <v>16991</v>
      </c>
    </row>
    <row r="916" spans="1:6" x14ac:dyDescent="0.3">
      <c r="A916">
        <v>2024</v>
      </c>
      <c r="B916">
        <v>5</v>
      </c>
      <c r="C916" s="105" t="s">
        <v>41</v>
      </c>
      <c r="D916" s="105" t="s">
        <v>35</v>
      </c>
      <c r="E916">
        <v>101</v>
      </c>
      <c r="F916">
        <v>75632.73</v>
      </c>
    </row>
    <row r="917" spans="1:6" x14ac:dyDescent="0.3">
      <c r="A917">
        <v>2024</v>
      </c>
      <c r="B917">
        <v>5</v>
      </c>
      <c r="C917" s="105" t="s">
        <v>41</v>
      </c>
      <c r="D917" s="105" t="s">
        <v>36</v>
      </c>
      <c r="E917">
        <v>276</v>
      </c>
      <c r="F917">
        <v>211939.45</v>
      </c>
    </row>
    <row r="918" spans="1:6" x14ac:dyDescent="0.3">
      <c r="A918">
        <v>2024</v>
      </c>
      <c r="B918">
        <v>5</v>
      </c>
      <c r="C918" s="105" t="s">
        <v>41</v>
      </c>
      <c r="D918" s="105" t="s">
        <v>37</v>
      </c>
      <c r="E918">
        <v>170</v>
      </c>
      <c r="F918">
        <v>139772.79</v>
      </c>
    </row>
    <row r="919" spans="1:6" x14ac:dyDescent="0.3">
      <c r="A919">
        <v>2024</v>
      </c>
      <c r="B919">
        <v>6</v>
      </c>
      <c r="C919" s="105" t="s">
        <v>42</v>
      </c>
      <c r="D919" s="105" t="s">
        <v>7</v>
      </c>
      <c r="E919">
        <v>251</v>
      </c>
      <c r="F919">
        <v>218219.97</v>
      </c>
    </row>
    <row r="920" spans="1:6" x14ac:dyDescent="0.3">
      <c r="A920">
        <v>2024</v>
      </c>
      <c r="B920">
        <v>6</v>
      </c>
      <c r="C920" s="105" t="s">
        <v>42</v>
      </c>
      <c r="D920" s="105" t="s">
        <v>8</v>
      </c>
      <c r="E920">
        <v>212</v>
      </c>
      <c r="F920">
        <v>132099.10999999999</v>
      </c>
    </row>
    <row r="921" spans="1:6" x14ac:dyDescent="0.3">
      <c r="A921">
        <v>2024</v>
      </c>
      <c r="B921">
        <v>6</v>
      </c>
      <c r="C921" s="105" t="s">
        <v>42</v>
      </c>
      <c r="D921" s="105" t="s">
        <v>9</v>
      </c>
      <c r="E921">
        <v>74</v>
      </c>
      <c r="F921">
        <v>51660.68</v>
      </c>
    </row>
    <row r="922" spans="1:6" x14ac:dyDescent="0.3">
      <c r="A922">
        <v>2024</v>
      </c>
      <c r="B922">
        <v>6</v>
      </c>
      <c r="C922" s="105" t="s">
        <v>42</v>
      </c>
      <c r="D922" s="105" t="s">
        <v>10</v>
      </c>
      <c r="E922">
        <v>332</v>
      </c>
      <c r="F922">
        <v>294240.21999999997</v>
      </c>
    </row>
    <row r="923" spans="1:6" x14ac:dyDescent="0.3">
      <c r="A923">
        <v>2024</v>
      </c>
      <c r="B923">
        <v>6</v>
      </c>
      <c r="C923" s="105" t="s">
        <v>42</v>
      </c>
      <c r="D923" s="105" t="s">
        <v>11</v>
      </c>
      <c r="E923">
        <v>186</v>
      </c>
      <c r="F923">
        <v>145439.19</v>
      </c>
    </row>
    <row r="924" spans="1:6" x14ac:dyDescent="0.3">
      <c r="A924">
        <v>2024</v>
      </c>
      <c r="B924">
        <v>6</v>
      </c>
      <c r="C924" s="105" t="s">
        <v>42</v>
      </c>
      <c r="D924" s="105" t="s">
        <v>12</v>
      </c>
      <c r="E924">
        <v>134</v>
      </c>
      <c r="F924">
        <v>89780.88</v>
      </c>
    </row>
    <row r="925" spans="1:6" x14ac:dyDescent="0.3">
      <c r="A925">
        <v>2024</v>
      </c>
      <c r="B925">
        <v>6</v>
      </c>
      <c r="C925" s="105" t="s">
        <v>42</v>
      </c>
      <c r="D925" s="105" t="s">
        <v>13</v>
      </c>
      <c r="E925">
        <v>159</v>
      </c>
      <c r="F925">
        <v>109802.59</v>
      </c>
    </row>
    <row r="926" spans="1:6" x14ac:dyDescent="0.3">
      <c r="A926">
        <v>2024</v>
      </c>
      <c r="B926">
        <v>6</v>
      </c>
      <c r="C926" s="105" t="s">
        <v>42</v>
      </c>
      <c r="D926" s="105" t="s">
        <v>14</v>
      </c>
      <c r="E926">
        <v>353</v>
      </c>
      <c r="F926">
        <v>259761.5</v>
      </c>
    </row>
    <row r="927" spans="1:6" x14ac:dyDescent="0.3">
      <c r="A927">
        <v>2024</v>
      </c>
      <c r="B927">
        <v>6</v>
      </c>
      <c r="C927" s="105" t="s">
        <v>42</v>
      </c>
      <c r="D927" s="105" t="s">
        <v>15</v>
      </c>
      <c r="E927">
        <v>77</v>
      </c>
      <c r="F927">
        <v>46047.82</v>
      </c>
    </row>
    <row r="928" spans="1:6" x14ac:dyDescent="0.3">
      <c r="A928">
        <v>2024</v>
      </c>
      <c r="B928">
        <v>6</v>
      </c>
      <c r="C928" s="105" t="s">
        <v>42</v>
      </c>
      <c r="D928" s="105" t="s">
        <v>16</v>
      </c>
      <c r="E928">
        <v>148</v>
      </c>
      <c r="F928">
        <v>120011.18</v>
      </c>
    </row>
    <row r="929" spans="1:6" x14ac:dyDescent="0.3">
      <c r="A929">
        <v>2024</v>
      </c>
      <c r="B929">
        <v>6</v>
      </c>
      <c r="C929" s="105" t="s">
        <v>42</v>
      </c>
      <c r="D929" s="105" t="s">
        <v>17</v>
      </c>
      <c r="E929">
        <v>410</v>
      </c>
      <c r="F929">
        <v>319629.28999999998</v>
      </c>
    </row>
    <row r="930" spans="1:6" x14ac:dyDescent="0.3">
      <c r="A930">
        <v>2024</v>
      </c>
      <c r="B930">
        <v>6</v>
      </c>
      <c r="C930" s="105" t="s">
        <v>42</v>
      </c>
      <c r="D930" s="105" t="s">
        <v>18</v>
      </c>
      <c r="E930">
        <v>434</v>
      </c>
      <c r="F930">
        <v>350244.09</v>
      </c>
    </row>
    <row r="931" spans="1:6" x14ac:dyDescent="0.3">
      <c r="A931">
        <v>2024</v>
      </c>
      <c r="B931">
        <v>6</v>
      </c>
      <c r="C931" s="105" t="s">
        <v>42</v>
      </c>
      <c r="D931" s="105" t="s">
        <v>50</v>
      </c>
      <c r="E931">
        <v>30</v>
      </c>
      <c r="F931">
        <v>23267</v>
      </c>
    </row>
    <row r="932" spans="1:6" x14ac:dyDescent="0.3">
      <c r="A932">
        <v>2024</v>
      </c>
      <c r="B932">
        <v>6</v>
      </c>
      <c r="C932" s="105" t="s">
        <v>42</v>
      </c>
      <c r="D932" s="105" t="s">
        <v>19</v>
      </c>
      <c r="E932">
        <v>145</v>
      </c>
      <c r="F932">
        <v>98600.46</v>
      </c>
    </row>
    <row r="933" spans="1:6" x14ac:dyDescent="0.3">
      <c r="A933">
        <v>2024</v>
      </c>
      <c r="B933">
        <v>6</v>
      </c>
      <c r="C933" s="105" t="s">
        <v>42</v>
      </c>
      <c r="D933" s="105" t="s">
        <v>20</v>
      </c>
      <c r="E933">
        <v>223</v>
      </c>
      <c r="F933">
        <v>157736.45000000001</v>
      </c>
    </row>
    <row r="934" spans="1:6" x14ac:dyDescent="0.3">
      <c r="A934">
        <v>2024</v>
      </c>
      <c r="B934">
        <v>6</v>
      </c>
      <c r="C934" s="105" t="s">
        <v>42</v>
      </c>
      <c r="D934" s="105" t="s">
        <v>21</v>
      </c>
      <c r="E934">
        <v>274</v>
      </c>
      <c r="F934">
        <v>218979.39</v>
      </c>
    </row>
    <row r="935" spans="1:6" x14ac:dyDescent="0.3">
      <c r="A935">
        <v>2024</v>
      </c>
      <c r="B935">
        <v>6</v>
      </c>
      <c r="C935" s="105" t="s">
        <v>42</v>
      </c>
      <c r="D935" s="105" t="s">
        <v>22</v>
      </c>
      <c r="E935">
        <v>218</v>
      </c>
      <c r="F935">
        <v>127661.16</v>
      </c>
    </row>
    <row r="936" spans="1:6" x14ac:dyDescent="0.3">
      <c r="A936">
        <v>2024</v>
      </c>
      <c r="B936">
        <v>6</v>
      </c>
      <c r="C936" s="105" t="s">
        <v>42</v>
      </c>
      <c r="D936" s="105" t="s">
        <v>23</v>
      </c>
      <c r="E936">
        <v>268</v>
      </c>
      <c r="F936">
        <v>229293.4</v>
      </c>
    </row>
    <row r="937" spans="1:6" x14ac:dyDescent="0.3">
      <c r="A937">
        <v>2024</v>
      </c>
      <c r="B937">
        <v>6</v>
      </c>
      <c r="C937" s="105" t="s">
        <v>42</v>
      </c>
      <c r="D937" s="105" t="s">
        <v>24</v>
      </c>
      <c r="E937">
        <v>364</v>
      </c>
      <c r="F937">
        <v>231767.4</v>
      </c>
    </row>
    <row r="938" spans="1:6" x14ac:dyDescent="0.3">
      <c r="A938">
        <v>2024</v>
      </c>
      <c r="B938">
        <v>6</v>
      </c>
      <c r="C938" s="105" t="s">
        <v>42</v>
      </c>
      <c r="D938" s="105" t="s">
        <v>25</v>
      </c>
      <c r="E938">
        <v>246</v>
      </c>
      <c r="F938">
        <v>184639.81</v>
      </c>
    </row>
    <row r="939" spans="1:6" x14ac:dyDescent="0.3">
      <c r="A939">
        <v>2024</v>
      </c>
      <c r="B939">
        <v>6</v>
      </c>
      <c r="C939" s="105" t="s">
        <v>42</v>
      </c>
      <c r="D939" s="105" t="s">
        <v>26</v>
      </c>
      <c r="E939">
        <v>289</v>
      </c>
      <c r="F939">
        <v>233024.4</v>
      </c>
    </row>
    <row r="940" spans="1:6" x14ac:dyDescent="0.3">
      <c r="A940">
        <v>2024</v>
      </c>
      <c r="B940">
        <v>6</v>
      </c>
      <c r="C940" s="105" t="s">
        <v>42</v>
      </c>
      <c r="D940" s="105" t="s">
        <v>27</v>
      </c>
      <c r="E940">
        <v>283</v>
      </c>
      <c r="F940">
        <v>226811.15</v>
      </c>
    </row>
    <row r="941" spans="1:6" x14ac:dyDescent="0.3">
      <c r="A941">
        <v>2024</v>
      </c>
      <c r="B941">
        <v>6</v>
      </c>
      <c r="C941" s="105" t="s">
        <v>42</v>
      </c>
      <c r="D941" s="105" t="s">
        <v>28</v>
      </c>
      <c r="E941">
        <v>119</v>
      </c>
      <c r="F941">
        <v>75437.33</v>
      </c>
    </row>
    <row r="942" spans="1:6" x14ac:dyDescent="0.3">
      <c r="A942">
        <v>2024</v>
      </c>
      <c r="B942">
        <v>6</v>
      </c>
      <c r="C942" s="105" t="s">
        <v>42</v>
      </c>
      <c r="D942" s="105" t="s">
        <v>29</v>
      </c>
      <c r="E942">
        <v>223</v>
      </c>
      <c r="F942">
        <v>184020.55</v>
      </c>
    </row>
    <row r="943" spans="1:6" x14ac:dyDescent="0.3">
      <c r="A943">
        <v>2024</v>
      </c>
      <c r="B943">
        <v>6</v>
      </c>
      <c r="C943" s="105" t="s">
        <v>42</v>
      </c>
      <c r="D943" s="105" t="s">
        <v>30</v>
      </c>
      <c r="E943">
        <v>96</v>
      </c>
      <c r="F943">
        <v>64634.81</v>
      </c>
    </row>
    <row r="944" spans="1:6" x14ac:dyDescent="0.3">
      <c r="A944">
        <v>2024</v>
      </c>
      <c r="B944">
        <v>6</v>
      </c>
      <c r="C944" s="105" t="s">
        <v>42</v>
      </c>
      <c r="D944" s="105" t="s">
        <v>31</v>
      </c>
      <c r="E944">
        <v>365</v>
      </c>
      <c r="F944">
        <v>291060.76</v>
      </c>
    </row>
    <row r="945" spans="1:6" x14ac:dyDescent="0.3">
      <c r="A945">
        <v>2024</v>
      </c>
      <c r="B945">
        <v>6</v>
      </c>
      <c r="C945" s="105" t="s">
        <v>42</v>
      </c>
      <c r="D945" s="105" t="s">
        <v>51</v>
      </c>
      <c r="E945">
        <v>29</v>
      </c>
      <c r="F945">
        <v>19485.75</v>
      </c>
    </row>
    <row r="946" spans="1:6" x14ac:dyDescent="0.3">
      <c r="A946">
        <v>2024</v>
      </c>
      <c r="B946">
        <v>6</v>
      </c>
      <c r="C946" s="105" t="s">
        <v>42</v>
      </c>
      <c r="D946" s="105" t="s">
        <v>32</v>
      </c>
      <c r="E946">
        <v>189</v>
      </c>
      <c r="F946">
        <v>145390.9</v>
      </c>
    </row>
    <row r="947" spans="1:6" x14ac:dyDescent="0.3">
      <c r="A947">
        <v>2024</v>
      </c>
      <c r="B947">
        <v>6</v>
      </c>
      <c r="C947" s="105" t="s">
        <v>42</v>
      </c>
      <c r="D947" s="105" t="s">
        <v>52</v>
      </c>
      <c r="E947">
        <v>23</v>
      </c>
      <c r="F947">
        <v>19616</v>
      </c>
    </row>
    <row r="948" spans="1:6" x14ac:dyDescent="0.3">
      <c r="A948">
        <v>2024</v>
      </c>
      <c r="B948">
        <v>6</v>
      </c>
      <c r="C948" s="105" t="s">
        <v>42</v>
      </c>
      <c r="D948" s="105" t="s">
        <v>33</v>
      </c>
      <c r="E948">
        <v>274</v>
      </c>
      <c r="F948">
        <v>231273.9</v>
      </c>
    </row>
    <row r="949" spans="1:6" x14ac:dyDescent="0.3">
      <c r="A949">
        <v>2024</v>
      </c>
      <c r="B949">
        <v>6</v>
      </c>
      <c r="C949" s="105" t="s">
        <v>42</v>
      </c>
      <c r="D949" s="105" t="s">
        <v>34</v>
      </c>
      <c r="E949">
        <v>307</v>
      </c>
      <c r="F949">
        <v>242234.99</v>
      </c>
    </row>
    <row r="950" spans="1:6" x14ac:dyDescent="0.3">
      <c r="A950">
        <v>2024</v>
      </c>
      <c r="B950">
        <v>6</v>
      </c>
      <c r="C950" s="105" t="s">
        <v>42</v>
      </c>
      <c r="D950" s="105" t="s">
        <v>49</v>
      </c>
      <c r="E950">
        <v>3</v>
      </c>
      <c r="F950">
        <v>1946</v>
      </c>
    </row>
    <row r="951" spans="1:6" x14ac:dyDescent="0.3">
      <c r="A951">
        <v>2024</v>
      </c>
      <c r="B951">
        <v>6</v>
      </c>
      <c r="C951" s="105" t="s">
        <v>42</v>
      </c>
      <c r="D951" s="105" t="s">
        <v>53</v>
      </c>
      <c r="E951">
        <v>29</v>
      </c>
      <c r="F951">
        <v>22457.75</v>
      </c>
    </row>
    <row r="952" spans="1:6" x14ac:dyDescent="0.3">
      <c r="A952">
        <v>2024</v>
      </c>
      <c r="B952">
        <v>6</v>
      </c>
      <c r="C952" s="105" t="s">
        <v>42</v>
      </c>
      <c r="D952" s="105" t="s">
        <v>35</v>
      </c>
      <c r="E952">
        <v>134</v>
      </c>
      <c r="F952">
        <v>97889.09</v>
      </c>
    </row>
    <row r="953" spans="1:6" x14ac:dyDescent="0.3">
      <c r="A953">
        <v>2024</v>
      </c>
      <c r="B953">
        <v>6</v>
      </c>
      <c r="C953" s="105" t="s">
        <v>42</v>
      </c>
      <c r="D953" s="105" t="s">
        <v>36</v>
      </c>
      <c r="E953">
        <v>275</v>
      </c>
      <c r="F953">
        <v>203576.65</v>
      </c>
    </row>
    <row r="954" spans="1:6" x14ac:dyDescent="0.3">
      <c r="A954">
        <v>2024</v>
      </c>
      <c r="B954">
        <v>6</v>
      </c>
      <c r="C954" s="105" t="s">
        <v>42</v>
      </c>
      <c r="D954" s="105" t="s">
        <v>37</v>
      </c>
      <c r="E954">
        <v>264</v>
      </c>
      <c r="F954">
        <v>205282.04</v>
      </c>
    </row>
    <row r="955" spans="1:6" x14ac:dyDescent="0.3">
      <c r="A955">
        <v>2024</v>
      </c>
      <c r="B955">
        <v>7</v>
      </c>
      <c r="C955" s="105" t="s">
        <v>43</v>
      </c>
      <c r="D955" s="105" t="s">
        <v>7</v>
      </c>
      <c r="E955">
        <v>296</v>
      </c>
      <c r="F955">
        <v>256293.66</v>
      </c>
    </row>
    <row r="956" spans="1:6" x14ac:dyDescent="0.3">
      <c r="A956">
        <v>2024</v>
      </c>
      <c r="B956">
        <v>7</v>
      </c>
      <c r="C956" s="105" t="s">
        <v>43</v>
      </c>
      <c r="D956" s="105" t="s">
        <v>8</v>
      </c>
      <c r="E956">
        <v>261</v>
      </c>
      <c r="F956">
        <v>156303.35999999999</v>
      </c>
    </row>
    <row r="957" spans="1:6" x14ac:dyDescent="0.3">
      <c r="A957">
        <v>2024</v>
      </c>
      <c r="B957">
        <v>7</v>
      </c>
      <c r="C957" s="105" t="s">
        <v>43</v>
      </c>
      <c r="D957" s="105" t="s">
        <v>9</v>
      </c>
      <c r="E957">
        <v>85</v>
      </c>
      <c r="F957">
        <v>60473.39</v>
      </c>
    </row>
    <row r="958" spans="1:6" x14ac:dyDescent="0.3">
      <c r="A958">
        <v>2024</v>
      </c>
      <c r="B958">
        <v>7</v>
      </c>
      <c r="C958" s="105" t="s">
        <v>43</v>
      </c>
      <c r="D958" s="105" t="s">
        <v>10</v>
      </c>
      <c r="E958">
        <v>344</v>
      </c>
      <c r="F958">
        <v>296303.69</v>
      </c>
    </row>
    <row r="959" spans="1:6" x14ac:dyDescent="0.3">
      <c r="A959">
        <v>2024</v>
      </c>
      <c r="B959">
        <v>7</v>
      </c>
      <c r="C959" s="105" t="s">
        <v>43</v>
      </c>
      <c r="D959" s="105" t="s">
        <v>11</v>
      </c>
      <c r="E959">
        <v>224</v>
      </c>
      <c r="F959">
        <v>178534.32</v>
      </c>
    </row>
    <row r="960" spans="1:6" x14ac:dyDescent="0.3">
      <c r="A960">
        <v>2024</v>
      </c>
      <c r="B960">
        <v>7</v>
      </c>
      <c r="C960" s="105" t="s">
        <v>43</v>
      </c>
      <c r="D960" s="105" t="s">
        <v>12</v>
      </c>
      <c r="E960">
        <v>162</v>
      </c>
      <c r="F960">
        <v>110383.36</v>
      </c>
    </row>
    <row r="961" spans="1:6" x14ac:dyDescent="0.3">
      <c r="A961">
        <v>2024</v>
      </c>
      <c r="B961">
        <v>7</v>
      </c>
      <c r="C961" s="105" t="s">
        <v>43</v>
      </c>
      <c r="D961" s="105" t="s">
        <v>13</v>
      </c>
      <c r="E961">
        <v>167</v>
      </c>
      <c r="F961">
        <v>113370.32</v>
      </c>
    </row>
    <row r="962" spans="1:6" x14ac:dyDescent="0.3">
      <c r="A962">
        <v>2024</v>
      </c>
      <c r="B962">
        <v>7</v>
      </c>
      <c r="C962" s="105" t="s">
        <v>43</v>
      </c>
      <c r="D962" s="105" t="s">
        <v>14</v>
      </c>
      <c r="E962">
        <v>195</v>
      </c>
      <c r="F962">
        <v>127701.71</v>
      </c>
    </row>
    <row r="963" spans="1:6" x14ac:dyDescent="0.3">
      <c r="A963">
        <v>2024</v>
      </c>
      <c r="B963">
        <v>7</v>
      </c>
      <c r="C963" s="105" t="s">
        <v>43</v>
      </c>
      <c r="D963" s="105" t="s">
        <v>15</v>
      </c>
      <c r="E963">
        <v>82</v>
      </c>
      <c r="F963">
        <v>52134.400000000001</v>
      </c>
    </row>
    <row r="964" spans="1:6" x14ac:dyDescent="0.3">
      <c r="A964">
        <v>2024</v>
      </c>
      <c r="B964">
        <v>7</v>
      </c>
      <c r="C964" s="105" t="s">
        <v>43</v>
      </c>
      <c r="D964" s="105" t="s">
        <v>16</v>
      </c>
      <c r="E964">
        <v>157</v>
      </c>
      <c r="F964">
        <v>125193.27</v>
      </c>
    </row>
    <row r="965" spans="1:6" x14ac:dyDescent="0.3">
      <c r="A965">
        <v>2024</v>
      </c>
      <c r="B965">
        <v>7</v>
      </c>
      <c r="C965" s="105" t="s">
        <v>43</v>
      </c>
      <c r="D965" s="105" t="s">
        <v>17</v>
      </c>
      <c r="E965">
        <v>527</v>
      </c>
      <c r="F965">
        <v>423946.87</v>
      </c>
    </row>
    <row r="966" spans="1:6" x14ac:dyDescent="0.3">
      <c r="A966">
        <v>2024</v>
      </c>
      <c r="B966">
        <v>7</v>
      </c>
      <c r="C966" s="105" t="s">
        <v>43</v>
      </c>
      <c r="D966" s="105" t="s">
        <v>18</v>
      </c>
      <c r="E966">
        <v>455</v>
      </c>
      <c r="F966">
        <v>371893.55</v>
      </c>
    </row>
    <row r="967" spans="1:6" x14ac:dyDescent="0.3">
      <c r="A967">
        <v>2024</v>
      </c>
      <c r="B967">
        <v>7</v>
      </c>
      <c r="C967" s="105" t="s">
        <v>43</v>
      </c>
      <c r="D967" s="105" t="s">
        <v>50</v>
      </c>
      <c r="E967">
        <v>47</v>
      </c>
      <c r="F967">
        <v>36476</v>
      </c>
    </row>
    <row r="968" spans="1:6" x14ac:dyDescent="0.3">
      <c r="A968">
        <v>2024</v>
      </c>
      <c r="B968">
        <v>7</v>
      </c>
      <c r="C968" s="105" t="s">
        <v>43</v>
      </c>
      <c r="D968" s="105" t="s">
        <v>19</v>
      </c>
      <c r="E968">
        <v>209</v>
      </c>
      <c r="F968">
        <v>131428.35</v>
      </c>
    </row>
    <row r="969" spans="1:6" x14ac:dyDescent="0.3">
      <c r="A969">
        <v>2024</v>
      </c>
      <c r="B969">
        <v>7</v>
      </c>
      <c r="C969" s="105" t="s">
        <v>43</v>
      </c>
      <c r="D969" s="105" t="s">
        <v>20</v>
      </c>
      <c r="E969">
        <v>215</v>
      </c>
      <c r="F969">
        <v>146679.64000000001</v>
      </c>
    </row>
    <row r="970" spans="1:6" x14ac:dyDescent="0.3">
      <c r="A970">
        <v>2024</v>
      </c>
      <c r="B970">
        <v>7</v>
      </c>
      <c r="C970" s="105" t="s">
        <v>43</v>
      </c>
      <c r="D970" s="105" t="s">
        <v>21</v>
      </c>
      <c r="E970">
        <v>277</v>
      </c>
      <c r="F970">
        <v>234249.39</v>
      </c>
    </row>
    <row r="971" spans="1:6" x14ac:dyDescent="0.3">
      <c r="A971">
        <v>2024</v>
      </c>
      <c r="B971">
        <v>7</v>
      </c>
      <c r="C971" s="105" t="s">
        <v>43</v>
      </c>
      <c r="D971" s="105" t="s">
        <v>22</v>
      </c>
      <c r="E971">
        <v>147</v>
      </c>
      <c r="F971">
        <v>90130.55</v>
      </c>
    </row>
    <row r="972" spans="1:6" x14ac:dyDescent="0.3">
      <c r="A972">
        <v>2024</v>
      </c>
      <c r="B972">
        <v>7</v>
      </c>
      <c r="C972" s="105" t="s">
        <v>43</v>
      </c>
      <c r="D972" s="105" t="s">
        <v>23</v>
      </c>
      <c r="E972">
        <v>308</v>
      </c>
      <c r="F972">
        <v>265702.43</v>
      </c>
    </row>
    <row r="973" spans="1:6" x14ac:dyDescent="0.3">
      <c r="A973">
        <v>2024</v>
      </c>
      <c r="B973">
        <v>7</v>
      </c>
      <c r="C973" s="105" t="s">
        <v>43</v>
      </c>
      <c r="D973" s="105" t="s">
        <v>24</v>
      </c>
      <c r="E973">
        <v>300</v>
      </c>
      <c r="F973">
        <v>196023.67</v>
      </c>
    </row>
    <row r="974" spans="1:6" x14ac:dyDescent="0.3">
      <c r="A974">
        <v>2024</v>
      </c>
      <c r="B974">
        <v>7</v>
      </c>
      <c r="C974" s="105" t="s">
        <v>43</v>
      </c>
      <c r="D974" s="105" t="s">
        <v>25</v>
      </c>
      <c r="E974">
        <v>257</v>
      </c>
      <c r="F974">
        <v>187263.44</v>
      </c>
    </row>
    <row r="975" spans="1:6" x14ac:dyDescent="0.3">
      <c r="A975">
        <v>2024</v>
      </c>
      <c r="B975">
        <v>7</v>
      </c>
      <c r="C975" s="105" t="s">
        <v>43</v>
      </c>
      <c r="D975" s="105" t="s">
        <v>26</v>
      </c>
      <c r="E975">
        <v>292</v>
      </c>
      <c r="F975">
        <v>210529.7</v>
      </c>
    </row>
    <row r="976" spans="1:6" x14ac:dyDescent="0.3">
      <c r="A976">
        <v>2024</v>
      </c>
      <c r="B976">
        <v>7</v>
      </c>
      <c r="C976" s="105" t="s">
        <v>43</v>
      </c>
      <c r="D976" s="105" t="s">
        <v>27</v>
      </c>
      <c r="E976">
        <v>306</v>
      </c>
      <c r="F976">
        <v>242741.25</v>
      </c>
    </row>
    <row r="977" spans="1:6" x14ac:dyDescent="0.3">
      <c r="A977">
        <v>2024</v>
      </c>
      <c r="B977">
        <v>7</v>
      </c>
      <c r="C977" s="105" t="s">
        <v>43</v>
      </c>
      <c r="D977" s="105" t="s">
        <v>28</v>
      </c>
      <c r="E977">
        <v>112</v>
      </c>
      <c r="F977">
        <v>69342.100000000006</v>
      </c>
    </row>
    <row r="978" spans="1:6" x14ac:dyDescent="0.3">
      <c r="A978">
        <v>2024</v>
      </c>
      <c r="B978">
        <v>7</v>
      </c>
      <c r="C978" s="105" t="s">
        <v>43</v>
      </c>
      <c r="D978" s="105" t="s">
        <v>29</v>
      </c>
      <c r="E978">
        <v>284</v>
      </c>
      <c r="F978">
        <v>238388.56</v>
      </c>
    </row>
    <row r="979" spans="1:6" x14ac:dyDescent="0.3">
      <c r="A979">
        <v>2024</v>
      </c>
      <c r="B979">
        <v>7</v>
      </c>
      <c r="C979" s="105" t="s">
        <v>43</v>
      </c>
      <c r="D979" s="105" t="s">
        <v>30</v>
      </c>
      <c r="E979">
        <v>124</v>
      </c>
      <c r="F979">
        <v>80126.77</v>
      </c>
    </row>
    <row r="980" spans="1:6" x14ac:dyDescent="0.3">
      <c r="A980">
        <v>2024</v>
      </c>
      <c r="B980">
        <v>7</v>
      </c>
      <c r="C980" s="105" t="s">
        <v>43</v>
      </c>
      <c r="D980" s="105" t="s">
        <v>31</v>
      </c>
      <c r="E980">
        <v>426</v>
      </c>
      <c r="F980">
        <v>366889.48</v>
      </c>
    </row>
    <row r="981" spans="1:6" x14ac:dyDescent="0.3">
      <c r="A981">
        <v>2024</v>
      </c>
      <c r="B981">
        <v>7</v>
      </c>
      <c r="C981" s="105" t="s">
        <v>43</v>
      </c>
      <c r="D981" s="105" t="s">
        <v>51</v>
      </c>
      <c r="E981">
        <v>38</v>
      </c>
      <c r="F981">
        <v>27609.75</v>
      </c>
    </row>
    <row r="982" spans="1:6" x14ac:dyDescent="0.3">
      <c r="A982">
        <v>2024</v>
      </c>
      <c r="B982">
        <v>7</v>
      </c>
      <c r="C982" s="105" t="s">
        <v>43</v>
      </c>
      <c r="D982" s="105" t="s">
        <v>32</v>
      </c>
      <c r="E982">
        <v>212</v>
      </c>
      <c r="F982">
        <v>164389.69</v>
      </c>
    </row>
    <row r="983" spans="1:6" x14ac:dyDescent="0.3">
      <c r="A983">
        <v>2024</v>
      </c>
      <c r="B983">
        <v>7</v>
      </c>
      <c r="C983" s="105" t="s">
        <v>43</v>
      </c>
      <c r="D983" s="105" t="s">
        <v>52</v>
      </c>
      <c r="E983">
        <v>35</v>
      </c>
      <c r="F983">
        <v>29475.360000000001</v>
      </c>
    </row>
    <row r="984" spans="1:6" x14ac:dyDescent="0.3">
      <c r="A984">
        <v>2024</v>
      </c>
      <c r="B984">
        <v>7</v>
      </c>
      <c r="C984" s="105" t="s">
        <v>43</v>
      </c>
      <c r="D984" s="105" t="s">
        <v>33</v>
      </c>
      <c r="E984">
        <v>326</v>
      </c>
      <c r="F984">
        <v>265801.96999999997</v>
      </c>
    </row>
    <row r="985" spans="1:6" x14ac:dyDescent="0.3">
      <c r="A985">
        <v>2024</v>
      </c>
      <c r="B985">
        <v>7</v>
      </c>
      <c r="C985" s="105" t="s">
        <v>43</v>
      </c>
      <c r="D985" s="105" t="s">
        <v>34</v>
      </c>
      <c r="E985">
        <v>451</v>
      </c>
      <c r="F985">
        <v>324676.87</v>
      </c>
    </row>
    <row r="986" spans="1:6" x14ac:dyDescent="0.3">
      <c r="A986">
        <v>2024</v>
      </c>
      <c r="B986">
        <v>7</v>
      </c>
      <c r="C986" s="105" t="s">
        <v>43</v>
      </c>
      <c r="D986" s="105" t="s">
        <v>49</v>
      </c>
      <c r="E986">
        <v>4</v>
      </c>
      <c r="F986">
        <v>2559</v>
      </c>
    </row>
    <row r="987" spans="1:6" x14ac:dyDescent="0.3">
      <c r="A987">
        <v>2024</v>
      </c>
      <c r="B987">
        <v>7</v>
      </c>
      <c r="C987" s="105" t="s">
        <v>43</v>
      </c>
      <c r="D987" s="105" t="s">
        <v>53</v>
      </c>
      <c r="E987">
        <v>71</v>
      </c>
      <c r="F987">
        <v>51351.45</v>
      </c>
    </row>
    <row r="988" spans="1:6" x14ac:dyDescent="0.3">
      <c r="A988">
        <v>2024</v>
      </c>
      <c r="B988">
        <v>7</v>
      </c>
      <c r="C988" s="105" t="s">
        <v>43</v>
      </c>
      <c r="D988" s="105" t="s">
        <v>35</v>
      </c>
      <c r="E988">
        <v>160</v>
      </c>
      <c r="F988">
        <v>122500.9</v>
      </c>
    </row>
    <row r="989" spans="1:6" x14ac:dyDescent="0.3">
      <c r="A989">
        <v>2024</v>
      </c>
      <c r="B989">
        <v>7</v>
      </c>
      <c r="C989" s="105" t="s">
        <v>43</v>
      </c>
      <c r="D989" s="105" t="s">
        <v>36</v>
      </c>
      <c r="E989">
        <v>278</v>
      </c>
      <c r="F989">
        <v>207676.42</v>
      </c>
    </row>
    <row r="990" spans="1:6" x14ac:dyDescent="0.3">
      <c r="A990">
        <v>2024</v>
      </c>
      <c r="B990">
        <v>7</v>
      </c>
      <c r="C990" s="105" t="s">
        <v>43</v>
      </c>
      <c r="D990" s="105" t="s">
        <v>37</v>
      </c>
      <c r="E990">
        <v>236</v>
      </c>
      <c r="F990">
        <v>190184.84</v>
      </c>
    </row>
    <row r="991" spans="1:6" x14ac:dyDescent="0.3">
      <c r="A991">
        <v>2024</v>
      </c>
      <c r="B991">
        <v>8</v>
      </c>
      <c r="C991" s="105" t="s">
        <v>44</v>
      </c>
      <c r="D991" s="105" t="s">
        <v>7</v>
      </c>
      <c r="E991">
        <v>307</v>
      </c>
      <c r="F991">
        <v>261268.45</v>
      </c>
    </row>
    <row r="992" spans="1:6" x14ac:dyDescent="0.3">
      <c r="A992">
        <v>2024</v>
      </c>
      <c r="B992">
        <v>8</v>
      </c>
      <c r="C992" s="105" t="s">
        <v>44</v>
      </c>
      <c r="D992" s="105" t="s">
        <v>8</v>
      </c>
      <c r="E992">
        <v>222</v>
      </c>
      <c r="F992">
        <v>136378.38</v>
      </c>
    </row>
    <row r="993" spans="1:6" x14ac:dyDescent="0.3">
      <c r="A993">
        <v>2024</v>
      </c>
      <c r="B993">
        <v>8</v>
      </c>
      <c r="C993" s="105" t="s">
        <v>44</v>
      </c>
      <c r="D993" s="105" t="s">
        <v>9</v>
      </c>
      <c r="E993">
        <v>66</v>
      </c>
      <c r="F993">
        <v>46561.36</v>
      </c>
    </row>
    <row r="994" spans="1:6" x14ac:dyDescent="0.3">
      <c r="A994">
        <v>2024</v>
      </c>
      <c r="B994">
        <v>8</v>
      </c>
      <c r="C994" s="105" t="s">
        <v>44</v>
      </c>
      <c r="D994" s="105" t="s">
        <v>10</v>
      </c>
      <c r="E994">
        <v>319</v>
      </c>
      <c r="F994">
        <v>260204.14</v>
      </c>
    </row>
    <row r="995" spans="1:6" x14ac:dyDescent="0.3">
      <c r="A995">
        <v>2024</v>
      </c>
      <c r="B995">
        <v>8</v>
      </c>
      <c r="C995" s="105" t="s">
        <v>44</v>
      </c>
      <c r="D995" s="105" t="s">
        <v>11</v>
      </c>
      <c r="E995">
        <v>237</v>
      </c>
      <c r="F995">
        <v>176279.28</v>
      </c>
    </row>
    <row r="996" spans="1:6" x14ac:dyDescent="0.3">
      <c r="A996">
        <v>2024</v>
      </c>
      <c r="B996">
        <v>8</v>
      </c>
      <c r="C996" s="105" t="s">
        <v>44</v>
      </c>
      <c r="D996" s="105" t="s">
        <v>12</v>
      </c>
      <c r="E996">
        <v>146</v>
      </c>
      <c r="F996">
        <v>89709.98</v>
      </c>
    </row>
    <row r="997" spans="1:6" x14ac:dyDescent="0.3">
      <c r="A997">
        <v>2024</v>
      </c>
      <c r="B997">
        <v>8</v>
      </c>
      <c r="C997" s="105" t="s">
        <v>44</v>
      </c>
      <c r="D997" s="105" t="s">
        <v>13</v>
      </c>
      <c r="E997">
        <v>197</v>
      </c>
      <c r="F997">
        <v>127239.56</v>
      </c>
    </row>
    <row r="998" spans="1:6" x14ac:dyDescent="0.3">
      <c r="A998">
        <v>2024</v>
      </c>
      <c r="B998">
        <v>8</v>
      </c>
      <c r="C998" s="105" t="s">
        <v>44</v>
      </c>
      <c r="D998" s="105" t="s">
        <v>14</v>
      </c>
      <c r="E998">
        <v>186</v>
      </c>
      <c r="F998">
        <v>120885.09</v>
      </c>
    </row>
    <row r="999" spans="1:6" x14ac:dyDescent="0.3">
      <c r="A999">
        <v>2024</v>
      </c>
      <c r="B999">
        <v>8</v>
      </c>
      <c r="C999" s="105" t="s">
        <v>44</v>
      </c>
      <c r="D999" s="105" t="s">
        <v>15</v>
      </c>
      <c r="E999">
        <v>68</v>
      </c>
      <c r="F999">
        <v>44403.5</v>
      </c>
    </row>
    <row r="1000" spans="1:6" x14ac:dyDescent="0.3">
      <c r="A1000">
        <v>2024</v>
      </c>
      <c r="B1000">
        <v>8</v>
      </c>
      <c r="C1000" s="105" t="s">
        <v>44</v>
      </c>
      <c r="D1000" s="105" t="s">
        <v>16</v>
      </c>
      <c r="E1000">
        <v>139</v>
      </c>
      <c r="F1000">
        <v>119386.26</v>
      </c>
    </row>
    <row r="1001" spans="1:6" x14ac:dyDescent="0.3">
      <c r="A1001">
        <v>2024</v>
      </c>
      <c r="B1001">
        <v>8</v>
      </c>
      <c r="C1001" s="105" t="s">
        <v>44</v>
      </c>
      <c r="D1001" s="105" t="s">
        <v>17</v>
      </c>
      <c r="E1001">
        <v>533</v>
      </c>
      <c r="F1001">
        <v>435148.1</v>
      </c>
    </row>
    <row r="1002" spans="1:6" x14ac:dyDescent="0.3">
      <c r="A1002">
        <v>2024</v>
      </c>
      <c r="B1002">
        <v>8</v>
      </c>
      <c r="C1002" s="105" t="s">
        <v>44</v>
      </c>
      <c r="D1002" s="105" t="s">
        <v>18</v>
      </c>
      <c r="E1002">
        <v>392</v>
      </c>
      <c r="F1002">
        <v>310729.28999999998</v>
      </c>
    </row>
    <row r="1003" spans="1:6" x14ac:dyDescent="0.3">
      <c r="A1003">
        <v>2024</v>
      </c>
      <c r="B1003">
        <v>8</v>
      </c>
      <c r="C1003" s="105" t="s">
        <v>44</v>
      </c>
      <c r="D1003" s="105" t="s">
        <v>50</v>
      </c>
      <c r="E1003">
        <v>87</v>
      </c>
      <c r="F1003">
        <v>69875.77</v>
      </c>
    </row>
    <row r="1004" spans="1:6" x14ac:dyDescent="0.3">
      <c r="A1004">
        <v>2024</v>
      </c>
      <c r="B1004">
        <v>8</v>
      </c>
      <c r="C1004" s="105" t="s">
        <v>44</v>
      </c>
      <c r="D1004" s="105" t="s">
        <v>19</v>
      </c>
      <c r="E1004">
        <v>178</v>
      </c>
      <c r="F1004">
        <v>116757.04</v>
      </c>
    </row>
    <row r="1005" spans="1:6" x14ac:dyDescent="0.3">
      <c r="A1005">
        <v>2024</v>
      </c>
      <c r="B1005">
        <v>8</v>
      </c>
      <c r="C1005" s="105" t="s">
        <v>44</v>
      </c>
      <c r="D1005" s="105" t="s">
        <v>20</v>
      </c>
      <c r="E1005">
        <v>196</v>
      </c>
      <c r="F1005">
        <v>147842.92000000001</v>
      </c>
    </row>
    <row r="1006" spans="1:6" x14ac:dyDescent="0.3">
      <c r="A1006">
        <v>2024</v>
      </c>
      <c r="B1006">
        <v>8</v>
      </c>
      <c r="C1006" s="105" t="s">
        <v>44</v>
      </c>
      <c r="D1006" s="105" t="s">
        <v>21</v>
      </c>
      <c r="E1006">
        <v>325</v>
      </c>
      <c r="F1006">
        <v>266394.46000000002</v>
      </c>
    </row>
    <row r="1007" spans="1:6" x14ac:dyDescent="0.3">
      <c r="A1007">
        <v>2024</v>
      </c>
      <c r="B1007">
        <v>8</v>
      </c>
      <c r="C1007" s="105" t="s">
        <v>44</v>
      </c>
      <c r="D1007" s="105" t="s">
        <v>22</v>
      </c>
      <c r="E1007">
        <v>129</v>
      </c>
      <c r="F1007">
        <v>85131.96</v>
      </c>
    </row>
    <row r="1008" spans="1:6" x14ac:dyDescent="0.3">
      <c r="A1008">
        <v>2024</v>
      </c>
      <c r="B1008">
        <v>8</v>
      </c>
      <c r="C1008" s="105" t="s">
        <v>44</v>
      </c>
      <c r="D1008" s="105" t="s">
        <v>23</v>
      </c>
      <c r="E1008">
        <v>245</v>
      </c>
      <c r="F1008">
        <v>215637.92</v>
      </c>
    </row>
    <row r="1009" spans="1:6" x14ac:dyDescent="0.3">
      <c r="A1009">
        <v>2024</v>
      </c>
      <c r="B1009">
        <v>8</v>
      </c>
      <c r="C1009" s="105" t="s">
        <v>44</v>
      </c>
      <c r="D1009" s="105" t="s">
        <v>24</v>
      </c>
      <c r="E1009">
        <v>218</v>
      </c>
      <c r="F1009">
        <v>142177.76</v>
      </c>
    </row>
    <row r="1010" spans="1:6" x14ac:dyDescent="0.3">
      <c r="A1010">
        <v>2024</v>
      </c>
      <c r="B1010">
        <v>8</v>
      </c>
      <c r="C1010" s="105" t="s">
        <v>44</v>
      </c>
      <c r="D1010" s="105" t="s">
        <v>25</v>
      </c>
      <c r="E1010">
        <v>263</v>
      </c>
      <c r="F1010">
        <v>191749.44</v>
      </c>
    </row>
    <row r="1011" spans="1:6" x14ac:dyDescent="0.3">
      <c r="A1011">
        <v>2024</v>
      </c>
      <c r="B1011">
        <v>8</v>
      </c>
      <c r="C1011" s="105" t="s">
        <v>44</v>
      </c>
      <c r="D1011" s="105" t="s">
        <v>26</v>
      </c>
      <c r="E1011">
        <v>229</v>
      </c>
      <c r="F1011">
        <v>188411.05</v>
      </c>
    </row>
    <row r="1012" spans="1:6" x14ac:dyDescent="0.3">
      <c r="A1012">
        <v>2024</v>
      </c>
      <c r="B1012">
        <v>8</v>
      </c>
      <c r="C1012" s="105" t="s">
        <v>44</v>
      </c>
      <c r="D1012" s="105" t="s">
        <v>27</v>
      </c>
      <c r="E1012">
        <v>251</v>
      </c>
      <c r="F1012">
        <v>198515.20000000001</v>
      </c>
    </row>
    <row r="1013" spans="1:6" x14ac:dyDescent="0.3">
      <c r="A1013">
        <v>2024</v>
      </c>
      <c r="B1013">
        <v>8</v>
      </c>
      <c r="C1013" s="105" t="s">
        <v>44</v>
      </c>
      <c r="D1013" s="105" t="s">
        <v>28</v>
      </c>
      <c r="E1013">
        <v>94</v>
      </c>
      <c r="F1013">
        <v>55775.75</v>
      </c>
    </row>
    <row r="1014" spans="1:6" x14ac:dyDescent="0.3">
      <c r="A1014">
        <v>2024</v>
      </c>
      <c r="B1014">
        <v>8</v>
      </c>
      <c r="C1014" s="105" t="s">
        <v>44</v>
      </c>
      <c r="D1014" s="105" t="s">
        <v>29</v>
      </c>
      <c r="E1014">
        <v>337</v>
      </c>
      <c r="F1014">
        <v>249541.78</v>
      </c>
    </row>
    <row r="1015" spans="1:6" x14ac:dyDescent="0.3">
      <c r="A1015">
        <v>2024</v>
      </c>
      <c r="B1015">
        <v>8</v>
      </c>
      <c r="C1015" s="105" t="s">
        <v>44</v>
      </c>
      <c r="D1015" s="105" t="s">
        <v>30</v>
      </c>
      <c r="E1015">
        <v>92</v>
      </c>
      <c r="F1015">
        <v>64554.55</v>
      </c>
    </row>
    <row r="1016" spans="1:6" x14ac:dyDescent="0.3">
      <c r="A1016">
        <v>2024</v>
      </c>
      <c r="B1016">
        <v>8</v>
      </c>
      <c r="C1016" s="105" t="s">
        <v>44</v>
      </c>
      <c r="D1016" s="105" t="s">
        <v>31</v>
      </c>
      <c r="E1016">
        <v>465</v>
      </c>
      <c r="F1016">
        <v>376338.89</v>
      </c>
    </row>
    <row r="1017" spans="1:6" x14ac:dyDescent="0.3">
      <c r="A1017">
        <v>2024</v>
      </c>
      <c r="B1017">
        <v>8</v>
      </c>
      <c r="C1017" s="105" t="s">
        <v>44</v>
      </c>
      <c r="D1017" s="105" t="s">
        <v>51</v>
      </c>
      <c r="E1017">
        <v>44</v>
      </c>
      <c r="F1017">
        <v>25716.5</v>
      </c>
    </row>
    <row r="1018" spans="1:6" x14ac:dyDescent="0.3">
      <c r="A1018">
        <v>2024</v>
      </c>
      <c r="B1018">
        <v>8</v>
      </c>
      <c r="C1018" s="105" t="s">
        <v>44</v>
      </c>
      <c r="D1018" s="105" t="s">
        <v>32</v>
      </c>
      <c r="E1018">
        <v>182</v>
      </c>
      <c r="F1018">
        <v>141813.17000000001</v>
      </c>
    </row>
    <row r="1019" spans="1:6" x14ac:dyDescent="0.3">
      <c r="A1019">
        <v>2024</v>
      </c>
      <c r="B1019">
        <v>8</v>
      </c>
      <c r="C1019" s="105" t="s">
        <v>44</v>
      </c>
      <c r="D1019" s="105" t="s">
        <v>52</v>
      </c>
      <c r="E1019">
        <v>44</v>
      </c>
      <c r="F1019">
        <v>36602.910000000003</v>
      </c>
    </row>
    <row r="1020" spans="1:6" x14ac:dyDescent="0.3">
      <c r="A1020">
        <v>2024</v>
      </c>
      <c r="B1020">
        <v>8</v>
      </c>
      <c r="C1020" s="105" t="s">
        <v>44</v>
      </c>
      <c r="D1020" s="105" t="s">
        <v>33</v>
      </c>
      <c r="E1020">
        <v>375</v>
      </c>
      <c r="F1020">
        <v>293440.24</v>
      </c>
    </row>
    <row r="1021" spans="1:6" x14ac:dyDescent="0.3">
      <c r="A1021">
        <v>2024</v>
      </c>
      <c r="B1021">
        <v>8</v>
      </c>
      <c r="C1021" s="105" t="s">
        <v>44</v>
      </c>
      <c r="D1021" s="105" t="s">
        <v>34</v>
      </c>
      <c r="E1021">
        <v>359</v>
      </c>
      <c r="F1021">
        <v>288507.65999999997</v>
      </c>
    </row>
    <row r="1022" spans="1:6" x14ac:dyDescent="0.3">
      <c r="A1022">
        <v>2024</v>
      </c>
      <c r="B1022">
        <v>8</v>
      </c>
      <c r="C1022" s="105" t="s">
        <v>44</v>
      </c>
      <c r="D1022" s="105" t="s">
        <v>49</v>
      </c>
      <c r="E1022">
        <v>12</v>
      </c>
      <c r="F1022">
        <v>7390</v>
      </c>
    </row>
    <row r="1023" spans="1:6" x14ac:dyDescent="0.3">
      <c r="A1023">
        <v>2024</v>
      </c>
      <c r="B1023">
        <v>8</v>
      </c>
      <c r="C1023" s="105" t="s">
        <v>44</v>
      </c>
      <c r="D1023" s="105" t="s">
        <v>53</v>
      </c>
      <c r="E1023">
        <v>62</v>
      </c>
      <c r="F1023">
        <v>44370.32</v>
      </c>
    </row>
    <row r="1024" spans="1:6" x14ac:dyDescent="0.3">
      <c r="A1024">
        <v>2024</v>
      </c>
      <c r="B1024">
        <v>8</v>
      </c>
      <c r="C1024" s="105" t="s">
        <v>44</v>
      </c>
      <c r="D1024" s="105" t="s">
        <v>35</v>
      </c>
      <c r="E1024">
        <v>192</v>
      </c>
      <c r="F1024">
        <v>148801.07</v>
      </c>
    </row>
    <row r="1025" spans="1:6" x14ac:dyDescent="0.3">
      <c r="A1025">
        <v>2024</v>
      </c>
      <c r="B1025">
        <v>8</v>
      </c>
      <c r="C1025" s="105" t="s">
        <v>44</v>
      </c>
      <c r="D1025" s="105" t="s">
        <v>36</v>
      </c>
      <c r="E1025">
        <v>244</v>
      </c>
      <c r="F1025">
        <v>180891.83</v>
      </c>
    </row>
    <row r="1026" spans="1:6" x14ac:dyDescent="0.3">
      <c r="A1026">
        <v>2024</v>
      </c>
      <c r="B1026">
        <v>8</v>
      </c>
      <c r="C1026" s="105" t="s">
        <v>44</v>
      </c>
      <c r="D1026" s="105" t="s">
        <v>37</v>
      </c>
      <c r="E1026">
        <v>276</v>
      </c>
      <c r="F1026">
        <v>222250.27</v>
      </c>
    </row>
    <row r="1027" spans="1:6" x14ac:dyDescent="0.3">
      <c r="A1027">
        <v>2024</v>
      </c>
      <c r="B1027">
        <v>9</v>
      </c>
      <c r="C1027" s="105" t="s">
        <v>45</v>
      </c>
      <c r="D1027" s="105" t="s">
        <v>7</v>
      </c>
      <c r="E1027">
        <v>276</v>
      </c>
      <c r="F1027">
        <v>221961.54</v>
      </c>
    </row>
    <row r="1028" spans="1:6" x14ac:dyDescent="0.3">
      <c r="A1028">
        <v>2024</v>
      </c>
      <c r="B1028">
        <v>9</v>
      </c>
      <c r="C1028" s="105" t="s">
        <v>45</v>
      </c>
      <c r="D1028" s="105" t="s">
        <v>8</v>
      </c>
      <c r="E1028">
        <v>206</v>
      </c>
      <c r="F1028">
        <v>129996.64</v>
      </c>
    </row>
    <row r="1029" spans="1:6" x14ac:dyDescent="0.3">
      <c r="A1029">
        <v>2024</v>
      </c>
      <c r="B1029">
        <v>9</v>
      </c>
      <c r="C1029" s="105" t="s">
        <v>45</v>
      </c>
      <c r="D1029" s="105" t="s">
        <v>9</v>
      </c>
      <c r="E1029">
        <v>61</v>
      </c>
      <c r="F1029">
        <v>44719.839999999997</v>
      </c>
    </row>
    <row r="1030" spans="1:6" x14ac:dyDescent="0.3">
      <c r="A1030">
        <v>2024</v>
      </c>
      <c r="B1030">
        <v>9</v>
      </c>
      <c r="C1030" s="105" t="s">
        <v>45</v>
      </c>
      <c r="D1030" s="105" t="s">
        <v>10</v>
      </c>
      <c r="E1030">
        <v>247</v>
      </c>
      <c r="F1030">
        <v>198291.35</v>
      </c>
    </row>
    <row r="1031" spans="1:6" x14ac:dyDescent="0.3">
      <c r="A1031">
        <v>2024</v>
      </c>
      <c r="B1031">
        <v>9</v>
      </c>
      <c r="C1031" s="105" t="s">
        <v>45</v>
      </c>
      <c r="D1031" s="105" t="s">
        <v>11</v>
      </c>
      <c r="E1031">
        <v>280</v>
      </c>
      <c r="F1031">
        <v>202898.78</v>
      </c>
    </row>
    <row r="1032" spans="1:6" x14ac:dyDescent="0.3">
      <c r="A1032">
        <v>2024</v>
      </c>
      <c r="B1032">
        <v>9</v>
      </c>
      <c r="C1032" s="105" t="s">
        <v>45</v>
      </c>
      <c r="D1032" s="105" t="s">
        <v>12</v>
      </c>
      <c r="E1032">
        <v>131</v>
      </c>
      <c r="F1032">
        <v>78187.41</v>
      </c>
    </row>
    <row r="1033" spans="1:6" x14ac:dyDescent="0.3">
      <c r="A1033">
        <v>2024</v>
      </c>
      <c r="B1033">
        <v>9</v>
      </c>
      <c r="C1033" s="105" t="s">
        <v>45</v>
      </c>
      <c r="D1033" s="105" t="s">
        <v>13</v>
      </c>
      <c r="E1033">
        <v>166</v>
      </c>
      <c r="F1033">
        <v>107257.94</v>
      </c>
    </row>
    <row r="1034" spans="1:6" x14ac:dyDescent="0.3">
      <c r="A1034">
        <v>2024</v>
      </c>
      <c r="B1034">
        <v>9</v>
      </c>
      <c r="C1034" s="105" t="s">
        <v>45</v>
      </c>
      <c r="D1034" s="105" t="s">
        <v>14</v>
      </c>
      <c r="E1034">
        <v>153</v>
      </c>
      <c r="F1034">
        <v>105283.57</v>
      </c>
    </row>
    <row r="1035" spans="1:6" x14ac:dyDescent="0.3">
      <c r="A1035">
        <v>2024</v>
      </c>
      <c r="B1035">
        <v>9</v>
      </c>
      <c r="C1035" s="105" t="s">
        <v>45</v>
      </c>
      <c r="D1035" s="105" t="s">
        <v>15</v>
      </c>
      <c r="E1035">
        <v>58</v>
      </c>
      <c r="F1035">
        <v>34316.699999999997</v>
      </c>
    </row>
    <row r="1036" spans="1:6" x14ac:dyDescent="0.3">
      <c r="A1036">
        <v>2024</v>
      </c>
      <c r="B1036">
        <v>9</v>
      </c>
      <c r="C1036" s="105" t="s">
        <v>45</v>
      </c>
      <c r="D1036" s="105" t="s">
        <v>16</v>
      </c>
      <c r="E1036">
        <v>118</v>
      </c>
      <c r="F1036">
        <v>89426.240000000005</v>
      </c>
    </row>
    <row r="1037" spans="1:6" x14ac:dyDescent="0.3">
      <c r="A1037">
        <v>2024</v>
      </c>
      <c r="B1037">
        <v>9</v>
      </c>
      <c r="C1037" s="105" t="s">
        <v>45</v>
      </c>
      <c r="D1037" s="105" t="s">
        <v>17</v>
      </c>
      <c r="E1037">
        <v>451</v>
      </c>
      <c r="F1037">
        <v>332480.67</v>
      </c>
    </row>
    <row r="1038" spans="1:6" x14ac:dyDescent="0.3">
      <c r="A1038">
        <v>2024</v>
      </c>
      <c r="B1038">
        <v>9</v>
      </c>
      <c r="C1038" s="105" t="s">
        <v>45</v>
      </c>
      <c r="D1038" s="105" t="s">
        <v>18</v>
      </c>
      <c r="E1038">
        <v>419</v>
      </c>
      <c r="F1038">
        <v>346989.5</v>
      </c>
    </row>
    <row r="1039" spans="1:6" x14ac:dyDescent="0.3">
      <c r="A1039">
        <v>2024</v>
      </c>
      <c r="B1039">
        <v>9</v>
      </c>
      <c r="C1039" s="105" t="s">
        <v>45</v>
      </c>
      <c r="D1039" s="105" t="s">
        <v>50</v>
      </c>
      <c r="E1039">
        <v>87</v>
      </c>
      <c r="F1039">
        <v>66799.92</v>
      </c>
    </row>
    <row r="1040" spans="1:6" x14ac:dyDescent="0.3">
      <c r="A1040">
        <v>2024</v>
      </c>
      <c r="B1040">
        <v>9</v>
      </c>
      <c r="C1040" s="105" t="s">
        <v>45</v>
      </c>
      <c r="D1040" s="105" t="s">
        <v>19</v>
      </c>
      <c r="E1040">
        <v>144</v>
      </c>
      <c r="F1040">
        <v>92494.28</v>
      </c>
    </row>
    <row r="1041" spans="1:6" x14ac:dyDescent="0.3">
      <c r="A1041">
        <v>2024</v>
      </c>
      <c r="B1041">
        <v>9</v>
      </c>
      <c r="C1041" s="105" t="s">
        <v>45</v>
      </c>
      <c r="D1041" s="105" t="s">
        <v>20</v>
      </c>
      <c r="E1041">
        <v>156</v>
      </c>
      <c r="F1041">
        <v>104711.24</v>
      </c>
    </row>
    <row r="1042" spans="1:6" x14ac:dyDescent="0.3">
      <c r="A1042">
        <v>2024</v>
      </c>
      <c r="B1042">
        <v>9</v>
      </c>
      <c r="C1042" s="105" t="s">
        <v>45</v>
      </c>
      <c r="D1042" s="105" t="s">
        <v>21</v>
      </c>
      <c r="E1042">
        <v>354</v>
      </c>
      <c r="F1042">
        <v>269998.34000000003</v>
      </c>
    </row>
    <row r="1043" spans="1:6" x14ac:dyDescent="0.3">
      <c r="A1043">
        <v>2024</v>
      </c>
      <c r="B1043">
        <v>9</v>
      </c>
      <c r="C1043" s="105" t="s">
        <v>45</v>
      </c>
      <c r="D1043" s="105" t="s">
        <v>22</v>
      </c>
      <c r="E1043">
        <v>105</v>
      </c>
      <c r="F1043">
        <v>68880.92</v>
      </c>
    </row>
    <row r="1044" spans="1:6" x14ac:dyDescent="0.3">
      <c r="A1044">
        <v>2024</v>
      </c>
      <c r="B1044">
        <v>9</v>
      </c>
      <c r="C1044" s="105" t="s">
        <v>45</v>
      </c>
      <c r="D1044" s="105" t="s">
        <v>23</v>
      </c>
      <c r="E1044">
        <v>197</v>
      </c>
      <c r="F1044">
        <v>158680.81</v>
      </c>
    </row>
    <row r="1045" spans="1:6" x14ac:dyDescent="0.3">
      <c r="A1045">
        <v>2024</v>
      </c>
      <c r="B1045">
        <v>9</v>
      </c>
      <c r="C1045" s="105" t="s">
        <v>45</v>
      </c>
      <c r="D1045" s="105" t="s">
        <v>24</v>
      </c>
      <c r="E1045">
        <v>220</v>
      </c>
      <c r="F1045">
        <v>142288</v>
      </c>
    </row>
    <row r="1046" spans="1:6" x14ac:dyDescent="0.3">
      <c r="A1046">
        <v>2024</v>
      </c>
      <c r="B1046">
        <v>9</v>
      </c>
      <c r="C1046" s="105" t="s">
        <v>45</v>
      </c>
      <c r="D1046" s="105" t="s">
        <v>25</v>
      </c>
      <c r="E1046">
        <v>224</v>
      </c>
      <c r="F1046">
        <v>169896</v>
      </c>
    </row>
    <row r="1047" spans="1:6" x14ac:dyDescent="0.3">
      <c r="A1047">
        <v>2024</v>
      </c>
      <c r="B1047">
        <v>9</v>
      </c>
      <c r="C1047" s="105" t="s">
        <v>45</v>
      </c>
      <c r="D1047" s="105" t="s">
        <v>26</v>
      </c>
      <c r="E1047">
        <v>203</v>
      </c>
      <c r="F1047">
        <v>159840.89000000001</v>
      </c>
    </row>
    <row r="1048" spans="1:6" x14ac:dyDescent="0.3">
      <c r="A1048">
        <v>2024</v>
      </c>
      <c r="B1048">
        <v>9</v>
      </c>
      <c r="C1048" s="105" t="s">
        <v>45</v>
      </c>
      <c r="D1048" s="105" t="s">
        <v>27</v>
      </c>
      <c r="E1048">
        <v>178</v>
      </c>
      <c r="F1048">
        <v>138922.71</v>
      </c>
    </row>
    <row r="1049" spans="1:6" x14ac:dyDescent="0.3">
      <c r="A1049">
        <v>2024</v>
      </c>
      <c r="B1049">
        <v>9</v>
      </c>
      <c r="C1049" s="105" t="s">
        <v>45</v>
      </c>
      <c r="D1049" s="105" t="s">
        <v>28</v>
      </c>
      <c r="E1049">
        <v>83</v>
      </c>
      <c r="F1049">
        <v>49545.53</v>
      </c>
    </row>
    <row r="1050" spans="1:6" x14ac:dyDescent="0.3">
      <c r="A1050">
        <v>2024</v>
      </c>
      <c r="B1050">
        <v>9</v>
      </c>
      <c r="C1050" s="105" t="s">
        <v>45</v>
      </c>
      <c r="D1050" s="105" t="s">
        <v>29</v>
      </c>
      <c r="E1050">
        <v>273</v>
      </c>
      <c r="F1050">
        <v>192102.53</v>
      </c>
    </row>
    <row r="1051" spans="1:6" x14ac:dyDescent="0.3">
      <c r="A1051">
        <v>2024</v>
      </c>
      <c r="B1051">
        <v>9</v>
      </c>
      <c r="C1051" s="105" t="s">
        <v>45</v>
      </c>
      <c r="D1051" s="105" t="s">
        <v>30</v>
      </c>
      <c r="E1051">
        <v>84</v>
      </c>
      <c r="F1051">
        <v>57200.77</v>
      </c>
    </row>
    <row r="1052" spans="1:6" x14ac:dyDescent="0.3">
      <c r="A1052">
        <v>2024</v>
      </c>
      <c r="B1052">
        <v>9</v>
      </c>
      <c r="C1052" s="105" t="s">
        <v>45</v>
      </c>
      <c r="D1052" s="105" t="s">
        <v>31</v>
      </c>
      <c r="E1052">
        <v>414</v>
      </c>
      <c r="F1052">
        <v>326414.78000000003</v>
      </c>
    </row>
    <row r="1053" spans="1:6" x14ac:dyDescent="0.3">
      <c r="A1053">
        <v>2024</v>
      </c>
      <c r="B1053">
        <v>9</v>
      </c>
      <c r="C1053" s="105" t="s">
        <v>45</v>
      </c>
      <c r="D1053" s="105" t="s">
        <v>51</v>
      </c>
      <c r="E1053">
        <v>62</v>
      </c>
      <c r="F1053">
        <v>40981</v>
      </c>
    </row>
    <row r="1054" spans="1:6" x14ac:dyDescent="0.3">
      <c r="A1054">
        <v>2024</v>
      </c>
      <c r="B1054">
        <v>9</v>
      </c>
      <c r="C1054" s="105" t="s">
        <v>45</v>
      </c>
      <c r="D1054" s="105" t="s">
        <v>32</v>
      </c>
      <c r="E1054">
        <v>168</v>
      </c>
      <c r="F1054">
        <v>113757.08</v>
      </c>
    </row>
    <row r="1055" spans="1:6" x14ac:dyDescent="0.3">
      <c r="A1055">
        <v>2024</v>
      </c>
      <c r="B1055">
        <v>9</v>
      </c>
      <c r="C1055" s="105" t="s">
        <v>45</v>
      </c>
      <c r="D1055" s="105" t="s">
        <v>52</v>
      </c>
      <c r="E1055">
        <v>52</v>
      </c>
      <c r="F1055">
        <v>42100.39</v>
      </c>
    </row>
    <row r="1056" spans="1:6" x14ac:dyDescent="0.3">
      <c r="A1056">
        <v>2024</v>
      </c>
      <c r="B1056">
        <v>9</v>
      </c>
      <c r="C1056" s="105" t="s">
        <v>45</v>
      </c>
      <c r="D1056" s="105" t="s">
        <v>33</v>
      </c>
      <c r="E1056">
        <v>350</v>
      </c>
      <c r="F1056">
        <v>278432.03000000003</v>
      </c>
    </row>
    <row r="1057" spans="1:6" x14ac:dyDescent="0.3">
      <c r="A1057">
        <v>2024</v>
      </c>
      <c r="B1057">
        <v>9</v>
      </c>
      <c r="C1057" s="105" t="s">
        <v>45</v>
      </c>
      <c r="D1057" s="105" t="s">
        <v>34</v>
      </c>
      <c r="E1057">
        <v>381</v>
      </c>
      <c r="F1057">
        <v>275451.25</v>
      </c>
    </row>
    <row r="1058" spans="1:6" x14ac:dyDescent="0.3">
      <c r="A1058">
        <v>2024</v>
      </c>
      <c r="B1058">
        <v>9</v>
      </c>
      <c r="C1058" s="105" t="s">
        <v>45</v>
      </c>
      <c r="D1058" s="105" t="s">
        <v>49</v>
      </c>
      <c r="E1058">
        <v>17</v>
      </c>
      <c r="F1058">
        <v>9839</v>
      </c>
    </row>
    <row r="1059" spans="1:6" x14ac:dyDescent="0.3">
      <c r="A1059">
        <v>2024</v>
      </c>
      <c r="B1059">
        <v>9</v>
      </c>
      <c r="C1059" s="105" t="s">
        <v>45</v>
      </c>
      <c r="D1059" s="105" t="s">
        <v>53</v>
      </c>
      <c r="E1059">
        <v>41</v>
      </c>
      <c r="F1059">
        <v>27941</v>
      </c>
    </row>
    <row r="1060" spans="1:6" x14ac:dyDescent="0.3">
      <c r="A1060">
        <v>2024</v>
      </c>
      <c r="B1060">
        <v>9</v>
      </c>
      <c r="C1060" s="105" t="s">
        <v>45</v>
      </c>
      <c r="D1060" s="105" t="s">
        <v>35</v>
      </c>
      <c r="E1060">
        <v>174</v>
      </c>
      <c r="F1060">
        <v>119690.03</v>
      </c>
    </row>
    <row r="1061" spans="1:6" x14ac:dyDescent="0.3">
      <c r="A1061">
        <v>2024</v>
      </c>
      <c r="B1061">
        <v>9</v>
      </c>
      <c r="C1061" s="105" t="s">
        <v>45</v>
      </c>
      <c r="D1061" s="105" t="s">
        <v>36</v>
      </c>
      <c r="E1061">
        <v>191</v>
      </c>
      <c r="F1061">
        <v>138618.65</v>
      </c>
    </row>
    <row r="1062" spans="1:6" x14ac:dyDescent="0.3">
      <c r="A1062">
        <v>2024</v>
      </c>
      <c r="B1062">
        <v>9</v>
      </c>
      <c r="C1062" s="105" t="s">
        <v>45</v>
      </c>
      <c r="D1062" s="105" t="s">
        <v>37</v>
      </c>
      <c r="E1062">
        <v>287</v>
      </c>
      <c r="F1062">
        <v>221213.45</v>
      </c>
    </row>
    <row r="1063" spans="1:6" x14ac:dyDescent="0.3">
      <c r="A1063">
        <v>2024</v>
      </c>
      <c r="B1063">
        <v>10</v>
      </c>
      <c r="C1063" s="105" t="s">
        <v>46</v>
      </c>
      <c r="D1063" s="105" t="s">
        <v>7</v>
      </c>
      <c r="E1063">
        <v>202</v>
      </c>
      <c r="F1063">
        <v>169604.87</v>
      </c>
    </row>
    <row r="1064" spans="1:6" x14ac:dyDescent="0.3">
      <c r="A1064">
        <v>2024</v>
      </c>
      <c r="B1064">
        <v>10</v>
      </c>
      <c r="C1064" s="105" t="s">
        <v>46</v>
      </c>
      <c r="D1064" s="105" t="s">
        <v>8</v>
      </c>
      <c r="E1064">
        <v>214</v>
      </c>
      <c r="F1064">
        <v>131778.01999999999</v>
      </c>
    </row>
    <row r="1065" spans="1:6" x14ac:dyDescent="0.3">
      <c r="A1065">
        <v>2024</v>
      </c>
      <c r="B1065">
        <v>10</v>
      </c>
      <c r="C1065" s="105" t="s">
        <v>46</v>
      </c>
      <c r="D1065" s="105" t="s">
        <v>9</v>
      </c>
      <c r="E1065">
        <v>60</v>
      </c>
      <c r="F1065">
        <v>42146.75</v>
      </c>
    </row>
    <row r="1066" spans="1:6" x14ac:dyDescent="0.3">
      <c r="A1066">
        <v>2024</v>
      </c>
      <c r="B1066">
        <v>10</v>
      </c>
      <c r="C1066" s="105" t="s">
        <v>46</v>
      </c>
      <c r="D1066" s="105" t="s">
        <v>10</v>
      </c>
      <c r="E1066">
        <v>256</v>
      </c>
      <c r="F1066">
        <v>227624.85</v>
      </c>
    </row>
    <row r="1067" spans="1:6" x14ac:dyDescent="0.3">
      <c r="A1067">
        <v>2024</v>
      </c>
      <c r="B1067">
        <v>10</v>
      </c>
      <c r="C1067" s="105" t="s">
        <v>46</v>
      </c>
      <c r="D1067" s="105" t="s">
        <v>11</v>
      </c>
      <c r="E1067">
        <v>217</v>
      </c>
      <c r="F1067">
        <v>154775.01</v>
      </c>
    </row>
    <row r="1068" spans="1:6" x14ac:dyDescent="0.3">
      <c r="A1068">
        <v>2024</v>
      </c>
      <c r="B1068">
        <v>10</v>
      </c>
      <c r="C1068" s="105" t="s">
        <v>46</v>
      </c>
      <c r="D1068" s="105" t="s">
        <v>12</v>
      </c>
      <c r="E1068">
        <v>139</v>
      </c>
      <c r="F1068">
        <v>91850.44</v>
      </c>
    </row>
    <row r="1069" spans="1:6" x14ac:dyDescent="0.3">
      <c r="A1069">
        <v>2024</v>
      </c>
      <c r="B1069">
        <v>10</v>
      </c>
      <c r="C1069" s="105" t="s">
        <v>46</v>
      </c>
      <c r="D1069" s="105" t="s">
        <v>13</v>
      </c>
      <c r="E1069">
        <v>156</v>
      </c>
      <c r="F1069">
        <v>105618.66</v>
      </c>
    </row>
    <row r="1070" spans="1:6" x14ac:dyDescent="0.3">
      <c r="A1070">
        <v>2024</v>
      </c>
      <c r="B1070">
        <v>10</v>
      </c>
      <c r="C1070" s="105" t="s">
        <v>46</v>
      </c>
      <c r="D1070" s="105" t="s">
        <v>14</v>
      </c>
      <c r="E1070">
        <v>151</v>
      </c>
      <c r="F1070">
        <v>98823.57</v>
      </c>
    </row>
    <row r="1071" spans="1:6" x14ac:dyDescent="0.3">
      <c r="A1071">
        <v>2024</v>
      </c>
      <c r="B1071">
        <v>10</v>
      </c>
      <c r="C1071" s="105" t="s">
        <v>46</v>
      </c>
      <c r="D1071" s="105" t="s">
        <v>15</v>
      </c>
      <c r="E1071">
        <v>62</v>
      </c>
      <c r="F1071">
        <v>39025.39</v>
      </c>
    </row>
    <row r="1072" spans="1:6" x14ac:dyDescent="0.3">
      <c r="A1072">
        <v>2024</v>
      </c>
      <c r="B1072">
        <v>10</v>
      </c>
      <c r="C1072" s="105" t="s">
        <v>46</v>
      </c>
      <c r="D1072" s="105" t="s">
        <v>16</v>
      </c>
      <c r="E1072">
        <v>106</v>
      </c>
      <c r="F1072">
        <v>86704.98</v>
      </c>
    </row>
    <row r="1073" spans="1:6" x14ac:dyDescent="0.3">
      <c r="A1073">
        <v>2024</v>
      </c>
      <c r="B1073">
        <v>10</v>
      </c>
      <c r="C1073" s="105" t="s">
        <v>46</v>
      </c>
      <c r="D1073" s="105" t="s">
        <v>17</v>
      </c>
      <c r="E1073">
        <v>404</v>
      </c>
      <c r="F1073">
        <v>287959.06</v>
      </c>
    </row>
    <row r="1074" spans="1:6" x14ac:dyDescent="0.3">
      <c r="A1074">
        <v>2024</v>
      </c>
      <c r="B1074">
        <v>10</v>
      </c>
      <c r="C1074" s="105" t="s">
        <v>46</v>
      </c>
      <c r="D1074" s="105" t="s">
        <v>18</v>
      </c>
      <c r="E1074">
        <v>373</v>
      </c>
      <c r="F1074">
        <v>298157.17</v>
      </c>
    </row>
    <row r="1075" spans="1:6" x14ac:dyDescent="0.3">
      <c r="A1075">
        <v>2024</v>
      </c>
      <c r="B1075">
        <v>10</v>
      </c>
      <c r="C1075" s="105" t="s">
        <v>46</v>
      </c>
      <c r="D1075" s="105" t="s">
        <v>50</v>
      </c>
      <c r="E1075">
        <v>89</v>
      </c>
      <c r="F1075">
        <v>70446</v>
      </c>
    </row>
    <row r="1076" spans="1:6" x14ac:dyDescent="0.3">
      <c r="A1076">
        <v>2024</v>
      </c>
      <c r="B1076">
        <v>10</v>
      </c>
      <c r="C1076" s="105" t="s">
        <v>46</v>
      </c>
      <c r="D1076" s="105" t="s">
        <v>19</v>
      </c>
      <c r="E1076">
        <v>134</v>
      </c>
      <c r="F1076">
        <v>84557.89</v>
      </c>
    </row>
    <row r="1077" spans="1:6" x14ac:dyDescent="0.3">
      <c r="A1077">
        <v>2024</v>
      </c>
      <c r="B1077">
        <v>10</v>
      </c>
      <c r="C1077" s="105" t="s">
        <v>46</v>
      </c>
      <c r="D1077" s="105" t="s">
        <v>20</v>
      </c>
      <c r="E1077">
        <v>167</v>
      </c>
      <c r="F1077">
        <v>122287.62</v>
      </c>
    </row>
    <row r="1078" spans="1:6" x14ac:dyDescent="0.3">
      <c r="A1078">
        <v>2024</v>
      </c>
      <c r="B1078">
        <v>10</v>
      </c>
      <c r="C1078" s="105" t="s">
        <v>46</v>
      </c>
      <c r="D1078" s="105" t="s">
        <v>21</v>
      </c>
      <c r="E1078">
        <v>413</v>
      </c>
      <c r="F1078">
        <v>311086.28999999998</v>
      </c>
    </row>
    <row r="1079" spans="1:6" x14ac:dyDescent="0.3">
      <c r="A1079">
        <v>2024</v>
      </c>
      <c r="B1079">
        <v>10</v>
      </c>
      <c r="C1079" s="105" t="s">
        <v>46</v>
      </c>
      <c r="D1079" s="105" t="s">
        <v>22</v>
      </c>
      <c r="E1079">
        <v>114</v>
      </c>
      <c r="F1079">
        <v>74139.7</v>
      </c>
    </row>
    <row r="1080" spans="1:6" x14ac:dyDescent="0.3">
      <c r="A1080">
        <v>2024</v>
      </c>
      <c r="B1080">
        <v>10</v>
      </c>
      <c r="C1080" s="105" t="s">
        <v>46</v>
      </c>
      <c r="D1080" s="105" t="s">
        <v>23</v>
      </c>
      <c r="E1080">
        <v>212</v>
      </c>
      <c r="F1080">
        <v>170346.66</v>
      </c>
    </row>
    <row r="1081" spans="1:6" x14ac:dyDescent="0.3">
      <c r="A1081">
        <v>2024</v>
      </c>
      <c r="B1081">
        <v>10</v>
      </c>
      <c r="C1081" s="105" t="s">
        <v>46</v>
      </c>
      <c r="D1081" s="105" t="s">
        <v>24</v>
      </c>
      <c r="E1081">
        <v>197</v>
      </c>
      <c r="F1081">
        <v>129316.73</v>
      </c>
    </row>
    <row r="1082" spans="1:6" x14ac:dyDescent="0.3">
      <c r="A1082">
        <v>2024</v>
      </c>
      <c r="B1082">
        <v>10</v>
      </c>
      <c r="C1082" s="105" t="s">
        <v>46</v>
      </c>
      <c r="D1082" s="105" t="s">
        <v>25</v>
      </c>
      <c r="E1082">
        <v>266</v>
      </c>
      <c r="F1082">
        <v>199973.88</v>
      </c>
    </row>
    <row r="1083" spans="1:6" x14ac:dyDescent="0.3">
      <c r="A1083">
        <v>2024</v>
      </c>
      <c r="B1083">
        <v>10</v>
      </c>
      <c r="C1083" s="105" t="s">
        <v>46</v>
      </c>
      <c r="D1083" s="105" t="s">
        <v>26</v>
      </c>
      <c r="E1083">
        <v>206</v>
      </c>
      <c r="F1083">
        <v>160006.73000000001</v>
      </c>
    </row>
    <row r="1084" spans="1:6" x14ac:dyDescent="0.3">
      <c r="A1084">
        <v>2024</v>
      </c>
      <c r="B1084">
        <v>10</v>
      </c>
      <c r="C1084" s="105" t="s">
        <v>46</v>
      </c>
      <c r="D1084" s="105" t="s">
        <v>27</v>
      </c>
      <c r="E1084">
        <v>194</v>
      </c>
      <c r="F1084">
        <v>153145.51</v>
      </c>
    </row>
    <row r="1085" spans="1:6" x14ac:dyDescent="0.3">
      <c r="A1085">
        <v>2024</v>
      </c>
      <c r="B1085">
        <v>10</v>
      </c>
      <c r="C1085" s="105" t="s">
        <v>46</v>
      </c>
      <c r="D1085" s="105" t="s">
        <v>28</v>
      </c>
      <c r="E1085">
        <v>83</v>
      </c>
      <c r="F1085">
        <v>53747.71</v>
      </c>
    </row>
    <row r="1086" spans="1:6" x14ac:dyDescent="0.3">
      <c r="A1086">
        <v>2024</v>
      </c>
      <c r="B1086">
        <v>10</v>
      </c>
      <c r="C1086" s="105" t="s">
        <v>46</v>
      </c>
      <c r="D1086" s="105" t="s">
        <v>29</v>
      </c>
      <c r="E1086">
        <v>275</v>
      </c>
      <c r="F1086">
        <v>206420.19</v>
      </c>
    </row>
    <row r="1087" spans="1:6" x14ac:dyDescent="0.3">
      <c r="A1087">
        <v>2024</v>
      </c>
      <c r="B1087">
        <v>10</v>
      </c>
      <c r="C1087" s="105" t="s">
        <v>46</v>
      </c>
      <c r="D1087" s="105" t="s">
        <v>30</v>
      </c>
      <c r="E1087">
        <v>63</v>
      </c>
      <c r="F1087">
        <v>41090.01</v>
      </c>
    </row>
    <row r="1088" spans="1:6" x14ac:dyDescent="0.3">
      <c r="A1088">
        <v>2024</v>
      </c>
      <c r="B1088">
        <v>10</v>
      </c>
      <c r="C1088" s="105" t="s">
        <v>46</v>
      </c>
      <c r="D1088" s="105" t="s">
        <v>31</v>
      </c>
      <c r="E1088">
        <v>438</v>
      </c>
      <c r="F1088">
        <v>351981.4</v>
      </c>
    </row>
    <row r="1089" spans="1:6" x14ac:dyDescent="0.3">
      <c r="A1089">
        <v>2024</v>
      </c>
      <c r="B1089">
        <v>10</v>
      </c>
      <c r="C1089" s="105" t="s">
        <v>46</v>
      </c>
      <c r="D1089" s="105" t="s">
        <v>51</v>
      </c>
      <c r="E1089">
        <v>68</v>
      </c>
      <c r="F1089">
        <v>42346.5</v>
      </c>
    </row>
    <row r="1090" spans="1:6" x14ac:dyDescent="0.3">
      <c r="A1090">
        <v>2024</v>
      </c>
      <c r="B1090">
        <v>10</v>
      </c>
      <c r="C1090" s="105" t="s">
        <v>46</v>
      </c>
      <c r="D1090" s="105" t="s">
        <v>32</v>
      </c>
      <c r="E1090">
        <v>134</v>
      </c>
      <c r="F1090">
        <v>94253</v>
      </c>
    </row>
    <row r="1091" spans="1:6" x14ac:dyDescent="0.3">
      <c r="A1091">
        <v>2024</v>
      </c>
      <c r="B1091">
        <v>10</v>
      </c>
      <c r="C1091" s="105" t="s">
        <v>46</v>
      </c>
      <c r="D1091" s="105" t="s">
        <v>52</v>
      </c>
      <c r="E1091">
        <v>50</v>
      </c>
      <c r="F1091">
        <v>42371.01</v>
      </c>
    </row>
    <row r="1092" spans="1:6" x14ac:dyDescent="0.3">
      <c r="A1092">
        <v>2024</v>
      </c>
      <c r="B1092">
        <v>10</v>
      </c>
      <c r="C1092" s="105" t="s">
        <v>46</v>
      </c>
      <c r="D1092" s="105" t="s">
        <v>33</v>
      </c>
      <c r="E1092">
        <v>328</v>
      </c>
      <c r="F1092">
        <v>258842.39</v>
      </c>
    </row>
    <row r="1093" spans="1:6" x14ac:dyDescent="0.3">
      <c r="A1093">
        <v>2024</v>
      </c>
      <c r="B1093">
        <v>10</v>
      </c>
      <c r="C1093" s="105" t="s">
        <v>46</v>
      </c>
      <c r="D1093" s="105" t="s">
        <v>34</v>
      </c>
      <c r="E1093">
        <v>246</v>
      </c>
      <c r="F1093">
        <v>190600.26</v>
      </c>
    </row>
    <row r="1094" spans="1:6" x14ac:dyDescent="0.3">
      <c r="A1094">
        <v>2024</v>
      </c>
      <c r="B1094">
        <v>10</v>
      </c>
      <c r="C1094" s="105" t="s">
        <v>46</v>
      </c>
      <c r="D1094" s="105" t="s">
        <v>49</v>
      </c>
      <c r="E1094">
        <v>11</v>
      </c>
      <c r="F1094">
        <v>6665</v>
      </c>
    </row>
    <row r="1095" spans="1:6" x14ac:dyDescent="0.3">
      <c r="A1095">
        <v>2024</v>
      </c>
      <c r="B1095">
        <v>10</v>
      </c>
      <c r="C1095" s="105" t="s">
        <v>46</v>
      </c>
      <c r="D1095" s="105" t="s">
        <v>53</v>
      </c>
      <c r="E1095">
        <v>53</v>
      </c>
      <c r="F1095">
        <v>38452</v>
      </c>
    </row>
    <row r="1096" spans="1:6" x14ac:dyDescent="0.3">
      <c r="A1096">
        <v>2024</v>
      </c>
      <c r="B1096">
        <v>10</v>
      </c>
      <c r="C1096" s="105" t="s">
        <v>46</v>
      </c>
      <c r="D1096" s="105" t="s">
        <v>35</v>
      </c>
      <c r="E1096">
        <v>165</v>
      </c>
      <c r="F1096">
        <v>114309.69</v>
      </c>
    </row>
    <row r="1097" spans="1:6" x14ac:dyDescent="0.3">
      <c r="A1097">
        <v>2024</v>
      </c>
      <c r="B1097">
        <v>10</v>
      </c>
      <c r="C1097" s="105" t="s">
        <v>46</v>
      </c>
      <c r="D1097" s="105" t="s">
        <v>36</v>
      </c>
      <c r="E1097">
        <v>207</v>
      </c>
      <c r="F1097">
        <v>137382.41</v>
      </c>
    </row>
    <row r="1098" spans="1:6" x14ac:dyDescent="0.3">
      <c r="A1098">
        <v>2024</v>
      </c>
      <c r="B1098">
        <v>10</v>
      </c>
      <c r="C1098" s="105" t="s">
        <v>46</v>
      </c>
      <c r="D1098" s="105" t="s">
        <v>37</v>
      </c>
      <c r="E1098">
        <v>253</v>
      </c>
      <c r="F1098">
        <v>194259.65</v>
      </c>
    </row>
    <row r="1099" spans="1:6" x14ac:dyDescent="0.3">
      <c r="A1099">
        <v>2024</v>
      </c>
      <c r="B1099">
        <v>11</v>
      </c>
      <c r="C1099" s="105" t="s">
        <v>47</v>
      </c>
      <c r="D1099" s="105" t="s">
        <v>7</v>
      </c>
      <c r="E1099">
        <v>155</v>
      </c>
      <c r="F1099">
        <v>135420.21</v>
      </c>
    </row>
    <row r="1100" spans="1:6" x14ac:dyDescent="0.3">
      <c r="A1100">
        <v>2024</v>
      </c>
      <c r="B1100">
        <v>11</v>
      </c>
      <c r="C1100" s="105" t="s">
        <v>47</v>
      </c>
      <c r="D1100" s="105" t="s">
        <v>8</v>
      </c>
      <c r="E1100">
        <v>169</v>
      </c>
      <c r="F1100">
        <v>108476.48</v>
      </c>
    </row>
    <row r="1101" spans="1:6" x14ac:dyDescent="0.3">
      <c r="A1101">
        <v>2024</v>
      </c>
      <c r="B1101">
        <v>11</v>
      </c>
      <c r="C1101" s="105" t="s">
        <v>47</v>
      </c>
      <c r="D1101" s="105" t="s">
        <v>9</v>
      </c>
      <c r="E1101">
        <v>71</v>
      </c>
      <c r="F1101">
        <v>50138.46</v>
      </c>
    </row>
    <row r="1102" spans="1:6" x14ac:dyDescent="0.3">
      <c r="A1102">
        <v>2024</v>
      </c>
      <c r="B1102">
        <v>11</v>
      </c>
      <c r="C1102" s="105" t="s">
        <v>47</v>
      </c>
      <c r="D1102" s="105" t="s">
        <v>10</v>
      </c>
      <c r="E1102">
        <v>169</v>
      </c>
      <c r="F1102">
        <v>160745.51999999999</v>
      </c>
    </row>
    <row r="1103" spans="1:6" x14ac:dyDescent="0.3">
      <c r="A1103">
        <v>2024</v>
      </c>
      <c r="B1103">
        <v>11</v>
      </c>
      <c r="C1103" s="105" t="s">
        <v>47</v>
      </c>
      <c r="D1103" s="105" t="s">
        <v>11</v>
      </c>
      <c r="E1103">
        <v>166</v>
      </c>
      <c r="F1103">
        <v>125708.49</v>
      </c>
    </row>
    <row r="1104" spans="1:6" x14ac:dyDescent="0.3">
      <c r="A1104">
        <v>2024</v>
      </c>
      <c r="B1104">
        <v>11</v>
      </c>
      <c r="C1104" s="105" t="s">
        <v>47</v>
      </c>
      <c r="D1104" s="105" t="s">
        <v>12</v>
      </c>
      <c r="E1104">
        <v>95</v>
      </c>
      <c r="F1104">
        <v>66263.31</v>
      </c>
    </row>
    <row r="1105" spans="1:6" x14ac:dyDescent="0.3">
      <c r="A1105">
        <v>2024</v>
      </c>
      <c r="B1105">
        <v>11</v>
      </c>
      <c r="C1105" s="105" t="s">
        <v>47</v>
      </c>
      <c r="D1105" s="105" t="s">
        <v>13</v>
      </c>
      <c r="E1105">
        <v>112</v>
      </c>
      <c r="F1105">
        <v>83614.399999999994</v>
      </c>
    </row>
    <row r="1106" spans="1:6" x14ac:dyDescent="0.3">
      <c r="A1106">
        <v>2024</v>
      </c>
      <c r="B1106">
        <v>11</v>
      </c>
      <c r="C1106" s="105" t="s">
        <v>47</v>
      </c>
      <c r="D1106" s="105" t="s">
        <v>14</v>
      </c>
      <c r="E1106">
        <v>136</v>
      </c>
      <c r="F1106">
        <v>92954.39</v>
      </c>
    </row>
    <row r="1107" spans="1:6" x14ac:dyDescent="0.3">
      <c r="A1107">
        <v>2024</v>
      </c>
      <c r="B1107">
        <v>11</v>
      </c>
      <c r="C1107" s="105" t="s">
        <v>47</v>
      </c>
      <c r="D1107" s="105" t="s">
        <v>15</v>
      </c>
      <c r="E1107">
        <v>39</v>
      </c>
      <c r="F1107">
        <v>23990.99</v>
      </c>
    </row>
    <row r="1108" spans="1:6" x14ac:dyDescent="0.3">
      <c r="A1108">
        <v>2024</v>
      </c>
      <c r="B1108">
        <v>11</v>
      </c>
      <c r="C1108" s="105" t="s">
        <v>47</v>
      </c>
      <c r="D1108" s="105" t="s">
        <v>16</v>
      </c>
      <c r="E1108">
        <v>85</v>
      </c>
      <c r="F1108">
        <v>78457.570000000007</v>
      </c>
    </row>
    <row r="1109" spans="1:6" x14ac:dyDescent="0.3">
      <c r="A1109">
        <v>2024</v>
      </c>
      <c r="B1109">
        <v>11</v>
      </c>
      <c r="C1109" s="105" t="s">
        <v>47</v>
      </c>
      <c r="D1109" s="105" t="s">
        <v>17</v>
      </c>
      <c r="E1109">
        <v>354</v>
      </c>
      <c r="F1109">
        <v>243938.49</v>
      </c>
    </row>
    <row r="1110" spans="1:6" x14ac:dyDescent="0.3">
      <c r="A1110">
        <v>2024</v>
      </c>
      <c r="B1110">
        <v>11</v>
      </c>
      <c r="C1110" s="105" t="s">
        <v>47</v>
      </c>
      <c r="D1110" s="105" t="s">
        <v>18</v>
      </c>
      <c r="E1110">
        <v>278</v>
      </c>
      <c r="F1110">
        <v>241254.8</v>
      </c>
    </row>
    <row r="1111" spans="1:6" x14ac:dyDescent="0.3">
      <c r="A1111">
        <v>2024</v>
      </c>
      <c r="B1111">
        <v>11</v>
      </c>
      <c r="C1111" s="105" t="s">
        <v>47</v>
      </c>
      <c r="D1111" s="105" t="s">
        <v>50</v>
      </c>
      <c r="E1111">
        <v>69</v>
      </c>
      <c r="F1111">
        <v>72227.37</v>
      </c>
    </row>
    <row r="1112" spans="1:6" x14ac:dyDescent="0.3">
      <c r="A1112">
        <v>2024</v>
      </c>
      <c r="B1112">
        <v>11</v>
      </c>
      <c r="C1112" s="105" t="s">
        <v>47</v>
      </c>
      <c r="D1112" s="105" t="s">
        <v>19</v>
      </c>
      <c r="E1112">
        <v>97</v>
      </c>
      <c r="F1112">
        <v>61518.33</v>
      </c>
    </row>
    <row r="1113" spans="1:6" x14ac:dyDescent="0.3">
      <c r="A1113">
        <v>2024</v>
      </c>
      <c r="B1113">
        <v>11</v>
      </c>
      <c r="C1113" s="105" t="s">
        <v>47</v>
      </c>
      <c r="D1113" s="105" t="s">
        <v>20</v>
      </c>
      <c r="E1113">
        <v>103</v>
      </c>
      <c r="F1113">
        <v>73315.78</v>
      </c>
    </row>
    <row r="1114" spans="1:6" x14ac:dyDescent="0.3">
      <c r="A1114">
        <v>2024</v>
      </c>
      <c r="B1114">
        <v>11</v>
      </c>
      <c r="C1114" s="105" t="s">
        <v>47</v>
      </c>
      <c r="D1114" s="105" t="s">
        <v>21</v>
      </c>
      <c r="E1114">
        <v>196</v>
      </c>
      <c r="F1114">
        <v>175103.54</v>
      </c>
    </row>
    <row r="1115" spans="1:6" x14ac:dyDescent="0.3">
      <c r="A1115">
        <v>2024</v>
      </c>
      <c r="B1115">
        <v>11</v>
      </c>
      <c r="C1115" s="105" t="s">
        <v>47</v>
      </c>
      <c r="D1115" s="105" t="s">
        <v>22</v>
      </c>
      <c r="E1115">
        <v>95</v>
      </c>
      <c r="F1115">
        <v>67649.47</v>
      </c>
    </row>
    <row r="1116" spans="1:6" x14ac:dyDescent="0.3">
      <c r="A1116">
        <v>2024</v>
      </c>
      <c r="B1116">
        <v>11</v>
      </c>
      <c r="C1116" s="105" t="s">
        <v>47</v>
      </c>
      <c r="D1116" s="105" t="s">
        <v>23</v>
      </c>
      <c r="E1116">
        <v>97</v>
      </c>
      <c r="F1116">
        <v>92203.64</v>
      </c>
    </row>
    <row r="1117" spans="1:6" x14ac:dyDescent="0.3">
      <c r="A1117">
        <v>2024</v>
      </c>
      <c r="B1117">
        <v>11</v>
      </c>
      <c r="C1117" s="105" t="s">
        <v>47</v>
      </c>
      <c r="D1117" s="105" t="s">
        <v>24</v>
      </c>
      <c r="E1117">
        <v>170</v>
      </c>
      <c r="F1117">
        <v>109742.53</v>
      </c>
    </row>
    <row r="1118" spans="1:6" x14ac:dyDescent="0.3">
      <c r="A1118">
        <v>2024</v>
      </c>
      <c r="B1118">
        <v>11</v>
      </c>
      <c r="C1118" s="105" t="s">
        <v>47</v>
      </c>
      <c r="D1118" s="105" t="s">
        <v>25</v>
      </c>
      <c r="E1118">
        <v>200</v>
      </c>
      <c r="F1118">
        <v>160268.62</v>
      </c>
    </row>
    <row r="1119" spans="1:6" x14ac:dyDescent="0.3">
      <c r="A1119">
        <v>2024</v>
      </c>
      <c r="B1119">
        <v>11</v>
      </c>
      <c r="C1119" s="105" t="s">
        <v>47</v>
      </c>
      <c r="D1119" s="105" t="s">
        <v>26</v>
      </c>
      <c r="E1119">
        <v>122</v>
      </c>
      <c r="F1119">
        <v>100122.85</v>
      </c>
    </row>
    <row r="1120" spans="1:6" x14ac:dyDescent="0.3">
      <c r="A1120">
        <v>2024</v>
      </c>
      <c r="B1120">
        <v>11</v>
      </c>
      <c r="C1120" s="105" t="s">
        <v>47</v>
      </c>
      <c r="D1120" s="105" t="s">
        <v>27</v>
      </c>
      <c r="E1120">
        <v>169</v>
      </c>
      <c r="F1120">
        <v>145201.28</v>
      </c>
    </row>
    <row r="1121" spans="1:6" x14ac:dyDescent="0.3">
      <c r="A1121">
        <v>2024</v>
      </c>
      <c r="B1121">
        <v>11</v>
      </c>
      <c r="C1121" s="105" t="s">
        <v>47</v>
      </c>
      <c r="D1121" s="105" t="s">
        <v>28</v>
      </c>
      <c r="E1121">
        <v>55</v>
      </c>
      <c r="F1121">
        <v>33436.800000000003</v>
      </c>
    </row>
    <row r="1122" spans="1:6" x14ac:dyDescent="0.3">
      <c r="A1122">
        <v>2024</v>
      </c>
      <c r="B1122">
        <v>11</v>
      </c>
      <c r="C1122" s="105" t="s">
        <v>47</v>
      </c>
      <c r="D1122" s="105" t="s">
        <v>29</v>
      </c>
      <c r="E1122">
        <v>203</v>
      </c>
      <c r="F1122">
        <v>154058.13</v>
      </c>
    </row>
    <row r="1123" spans="1:6" x14ac:dyDescent="0.3">
      <c r="A1123">
        <v>2024</v>
      </c>
      <c r="B1123">
        <v>11</v>
      </c>
      <c r="C1123" s="105" t="s">
        <v>47</v>
      </c>
      <c r="D1123" s="105" t="s">
        <v>30</v>
      </c>
      <c r="E1123">
        <v>66</v>
      </c>
      <c r="F1123">
        <v>46967.42</v>
      </c>
    </row>
    <row r="1124" spans="1:6" x14ac:dyDescent="0.3">
      <c r="A1124">
        <v>2024</v>
      </c>
      <c r="B1124">
        <v>11</v>
      </c>
      <c r="C1124" s="105" t="s">
        <v>47</v>
      </c>
      <c r="D1124" s="105" t="s">
        <v>31</v>
      </c>
      <c r="E1124">
        <v>337</v>
      </c>
      <c r="F1124">
        <v>282593.91999999998</v>
      </c>
    </row>
    <row r="1125" spans="1:6" x14ac:dyDescent="0.3">
      <c r="A1125">
        <v>2024</v>
      </c>
      <c r="B1125">
        <v>11</v>
      </c>
      <c r="C1125" s="105" t="s">
        <v>47</v>
      </c>
      <c r="D1125" s="105" t="s">
        <v>51</v>
      </c>
      <c r="E1125">
        <v>60</v>
      </c>
      <c r="F1125">
        <v>39721.5</v>
      </c>
    </row>
    <row r="1126" spans="1:6" x14ac:dyDescent="0.3">
      <c r="A1126">
        <v>2024</v>
      </c>
      <c r="B1126">
        <v>11</v>
      </c>
      <c r="C1126" s="105" t="s">
        <v>47</v>
      </c>
      <c r="D1126" s="105" t="s">
        <v>32</v>
      </c>
      <c r="E1126">
        <v>84</v>
      </c>
      <c r="F1126">
        <v>63324.06</v>
      </c>
    </row>
    <row r="1127" spans="1:6" x14ac:dyDescent="0.3">
      <c r="A1127">
        <v>2024</v>
      </c>
      <c r="B1127">
        <v>11</v>
      </c>
      <c r="C1127" s="105" t="s">
        <v>47</v>
      </c>
      <c r="D1127" s="105" t="s">
        <v>52</v>
      </c>
      <c r="E1127">
        <v>44</v>
      </c>
      <c r="F1127">
        <v>39033.78</v>
      </c>
    </row>
    <row r="1128" spans="1:6" x14ac:dyDescent="0.3">
      <c r="A1128">
        <v>2024</v>
      </c>
      <c r="B1128">
        <v>11</v>
      </c>
      <c r="C1128" s="105" t="s">
        <v>47</v>
      </c>
      <c r="D1128" s="105" t="s">
        <v>33</v>
      </c>
      <c r="E1128">
        <v>216</v>
      </c>
      <c r="F1128">
        <v>181082.82</v>
      </c>
    </row>
    <row r="1129" spans="1:6" x14ac:dyDescent="0.3">
      <c r="A1129">
        <v>2024</v>
      </c>
      <c r="B1129">
        <v>11</v>
      </c>
      <c r="C1129" s="105" t="s">
        <v>47</v>
      </c>
      <c r="D1129" s="105" t="s">
        <v>34</v>
      </c>
      <c r="E1129">
        <v>244</v>
      </c>
      <c r="F1129">
        <v>188527.82</v>
      </c>
    </row>
    <row r="1130" spans="1:6" x14ac:dyDescent="0.3">
      <c r="A1130">
        <v>2024</v>
      </c>
      <c r="B1130">
        <v>11</v>
      </c>
      <c r="C1130" s="105" t="s">
        <v>47</v>
      </c>
      <c r="D1130" s="105" t="s">
        <v>49</v>
      </c>
      <c r="E1130">
        <v>14</v>
      </c>
      <c r="F1130">
        <v>9133</v>
      </c>
    </row>
    <row r="1131" spans="1:6" x14ac:dyDescent="0.3">
      <c r="A1131">
        <v>2024</v>
      </c>
      <c r="B1131">
        <v>11</v>
      </c>
      <c r="C1131" s="105" t="s">
        <v>47</v>
      </c>
      <c r="D1131" s="105" t="s">
        <v>53</v>
      </c>
      <c r="E1131">
        <v>32</v>
      </c>
      <c r="F1131">
        <v>20966</v>
      </c>
    </row>
    <row r="1132" spans="1:6" x14ac:dyDescent="0.3">
      <c r="A1132">
        <v>2024</v>
      </c>
      <c r="B1132">
        <v>11</v>
      </c>
      <c r="C1132" s="105" t="s">
        <v>47</v>
      </c>
      <c r="D1132" s="105" t="s">
        <v>35</v>
      </c>
      <c r="E1132">
        <v>112</v>
      </c>
      <c r="F1132">
        <v>86560.76</v>
      </c>
    </row>
    <row r="1133" spans="1:6" x14ac:dyDescent="0.3">
      <c r="A1133">
        <v>2024</v>
      </c>
      <c r="B1133">
        <v>11</v>
      </c>
      <c r="C1133" s="105" t="s">
        <v>47</v>
      </c>
      <c r="D1133" s="105" t="s">
        <v>36</v>
      </c>
      <c r="E1133">
        <v>128</v>
      </c>
      <c r="F1133">
        <v>94549.35</v>
      </c>
    </row>
    <row r="1134" spans="1:6" x14ac:dyDescent="0.3">
      <c r="A1134">
        <v>2024</v>
      </c>
      <c r="B1134">
        <v>11</v>
      </c>
      <c r="C1134" s="105" t="s">
        <v>47</v>
      </c>
      <c r="D1134" s="105" t="s">
        <v>37</v>
      </c>
      <c r="E1134">
        <v>175</v>
      </c>
      <c r="F1134">
        <v>139074.9</v>
      </c>
    </row>
    <row r="1135" spans="1:6" x14ac:dyDescent="0.3">
      <c r="A1135">
        <v>2024</v>
      </c>
      <c r="B1135">
        <v>12</v>
      </c>
      <c r="C1135" s="105" t="s">
        <v>48</v>
      </c>
      <c r="D1135" s="105" t="s">
        <v>7</v>
      </c>
      <c r="E1135">
        <v>214</v>
      </c>
      <c r="F1135">
        <v>192292.68</v>
      </c>
    </row>
    <row r="1136" spans="1:6" x14ac:dyDescent="0.3">
      <c r="A1136">
        <v>2024</v>
      </c>
      <c r="B1136">
        <v>12</v>
      </c>
      <c r="C1136" s="105" t="s">
        <v>48</v>
      </c>
      <c r="D1136" s="105" t="s">
        <v>8</v>
      </c>
      <c r="E1136">
        <v>233</v>
      </c>
      <c r="F1136">
        <v>161019.75</v>
      </c>
    </row>
    <row r="1137" spans="1:6" x14ac:dyDescent="0.3">
      <c r="A1137">
        <v>2024</v>
      </c>
      <c r="B1137">
        <v>12</v>
      </c>
      <c r="C1137" s="105" t="s">
        <v>48</v>
      </c>
      <c r="D1137" s="105" t="s">
        <v>9</v>
      </c>
      <c r="E1137">
        <v>59</v>
      </c>
      <c r="F1137">
        <v>45553.14</v>
      </c>
    </row>
    <row r="1138" spans="1:6" x14ac:dyDescent="0.3">
      <c r="A1138">
        <v>2024</v>
      </c>
      <c r="B1138">
        <v>12</v>
      </c>
      <c r="C1138" s="105" t="s">
        <v>48</v>
      </c>
      <c r="D1138" s="105" t="s">
        <v>10</v>
      </c>
      <c r="E1138">
        <v>193</v>
      </c>
      <c r="F1138">
        <v>186295.49</v>
      </c>
    </row>
    <row r="1139" spans="1:6" x14ac:dyDescent="0.3">
      <c r="A1139">
        <v>2024</v>
      </c>
      <c r="B1139">
        <v>12</v>
      </c>
      <c r="C1139" s="105" t="s">
        <v>48</v>
      </c>
      <c r="D1139" s="105" t="s">
        <v>11</v>
      </c>
      <c r="E1139">
        <v>184</v>
      </c>
      <c r="F1139">
        <v>149869.60999999999</v>
      </c>
    </row>
    <row r="1140" spans="1:6" x14ac:dyDescent="0.3">
      <c r="A1140">
        <v>2024</v>
      </c>
      <c r="B1140">
        <v>12</v>
      </c>
      <c r="C1140" s="105" t="s">
        <v>48</v>
      </c>
      <c r="D1140" s="105" t="s">
        <v>12</v>
      </c>
      <c r="E1140">
        <v>190</v>
      </c>
      <c r="F1140">
        <v>127172.16</v>
      </c>
    </row>
    <row r="1141" spans="1:6" x14ac:dyDescent="0.3">
      <c r="A1141">
        <v>2024</v>
      </c>
      <c r="B1141">
        <v>12</v>
      </c>
      <c r="C1141" s="105" t="s">
        <v>48</v>
      </c>
      <c r="D1141" s="105" t="s">
        <v>13</v>
      </c>
      <c r="E1141">
        <v>157</v>
      </c>
      <c r="F1141">
        <v>122449.41</v>
      </c>
    </row>
    <row r="1142" spans="1:6" x14ac:dyDescent="0.3">
      <c r="A1142">
        <v>2024</v>
      </c>
      <c r="B1142">
        <v>12</v>
      </c>
      <c r="C1142" s="105" t="s">
        <v>48</v>
      </c>
      <c r="D1142" s="105" t="s">
        <v>14</v>
      </c>
      <c r="E1142">
        <v>173</v>
      </c>
      <c r="F1142">
        <v>117787.17</v>
      </c>
    </row>
    <row r="1143" spans="1:6" x14ac:dyDescent="0.3">
      <c r="A1143">
        <v>2024</v>
      </c>
      <c r="B1143">
        <v>12</v>
      </c>
      <c r="C1143" s="105" t="s">
        <v>48</v>
      </c>
      <c r="D1143" s="105" t="s">
        <v>15</v>
      </c>
      <c r="E1143">
        <v>69</v>
      </c>
      <c r="F1143">
        <v>56637.05</v>
      </c>
    </row>
    <row r="1144" spans="1:6" x14ac:dyDescent="0.3">
      <c r="A1144">
        <v>2024</v>
      </c>
      <c r="B1144">
        <v>12</v>
      </c>
      <c r="C1144" s="105" t="s">
        <v>48</v>
      </c>
      <c r="D1144" s="105" t="s">
        <v>16</v>
      </c>
      <c r="E1144">
        <v>100</v>
      </c>
      <c r="F1144">
        <v>92326.69</v>
      </c>
    </row>
    <row r="1145" spans="1:6" x14ac:dyDescent="0.3">
      <c r="A1145">
        <v>2024</v>
      </c>
      <c r="B1145">
        <v>12</v>
      </c>
      <c r="C1145" s="105" t="s">
        <v>48</v>
      </c>
      <c r="D1145" s="105" t="s">
        <v>17</v>
      </c>
      <c r="E1145">
        <v>342</v>
      </c>
      <c r="F1145">
        <v>284435.40000000002</v>
      </c>
    </row>
    <row r="1146" spans="1:6" x14ac:dyDescent="0.3">
      <c r="A1146">
        <v>2024</v>
      </c>
      <c r="B1146">
        <v>12</v>
      </c>
      <c r="C1146" s="105" t="s">
        <v>48</v>
      </c>
      <c r="D1146" s="105" t="s">
        <v>18</v>
      </c>
      <c r="E1146">
        <v>335</v>
      </c>
      <c r="F1146">
        <v>285788.13</v>
      </c>
    </row>
    <row r="1147" spans="1:6" x14ac:dyDescent="0.3">
      <c r="A1147">
        <v>2024</v>
      </c>
      <c r="B1147">
        <v>12</v>
      </c>
      <c r="C1147" s="105" t="s">
        <v>48</v>
      </c>
      <c r="D1147" s="105" t="s">
        <v>50</v>
      </c>
      <c r="E1147">
        <v>74</v>
      </c>
      <c r="F1147">
        <v>68525.63</v>
      </c>
    </row>
    <row r="1148" spans="1:6" x14ac:dyDescent="0.3">
      <c r="A1148">
        <v>2024</v>
      </c>
      <c r="B1148">
        <v>12</v>
      </c>
      <c r="C1148" s="105" t="s">
        <v>48</v>
      </c>
      <c r="D1148" s="105" t="s">
        <v>19</v>
      </c>
      <c r="E1148">
        <v>165</v>
      </c>
      <c r="F1148">
        <v>114554.32</v>
      </c>
    </row>
    <row r="1149" spans="1:6" x14ac:dyDescent="0.3">
      <c r="A1149">
        <v>2024</v>
      </c>
      <c r="B1149">
        <v>12</v>
      </c>
      <c r="C1149" s="105" t="s">
        <v>48</v>
      </c>
      <c r="D1149" s="105" t="s">
        <v>20</v>
      </c>
      <c r="E1149">
        <v>177</v>
      </c>
      <c r="F1149">
        <v>139108.67000000001</v>
      </c>
    </row>
    <row r="1150" spans="1:6" x14ac:dyDescent="0.3">
      <c r="A1150">
        <v>2024</v>
      </c>
      <c r="B1150">
        <v>12</v>
      </c>
      <c r="C1150" s="105" t="s">
        <v>48</v>
      </c>
      <c r="D1150" s="105" t="s">
        <v>21</v>
      </c>
      <c r="E1150">
        <v>302</v>
      </c>
      <c r="F1150">
        <v>275769.55</v>
      </c>
    </row>
    <row r="1151" spans="1:6" x14ac:dyDescent="0.3">
      <c r="A1151">
        <v>2024</v>
      </c>
      <c r="B1151">
        <v>12</v>
      </c>
      <c r="C1151" s="105" t="s">
        <v>48</v>
      </c>
      <c r="D1151" s="105" t="s">
        <v>22</v>
      </c>
      <c r="E1151">
        <v>128</v>
      </c>
      <c r="F1151">
        <v>87759.4</v>
      </c>
    </row>
    <row r="1152" spans="1:6" x14ac:dyDescent="0.3">
      <c r="A1152">
        <v>2024</v>
      </c>
      <c r="B1152">
        <v>12</v>
      </c>
      <c r="C1152" s="105" t="s">
        <v>48</v>
      </c>
      <c r="D1152" s="105" t="s">
        <v>23</v>
      </c>
      <c r="E1152">
        <v>201</v>
      </c>
      <c r="F1152">
        <v>190143.16</v>
      </c>
    </row>
    <row r="1153" spans="1:6" x14ac:dyDescent="0.3">
      <c r="A1153">
        <v>2024</v>
      </c>
      <c r="B1153">
        <v>12</v>
      </c>
      <c r="C1153" s="105" t="s">
        <v>48</v>
      </c>
      <c r="D1153" s="105" t="s">
        <v>24</v>
      </c>
      <c r="E1153">
        <v>251</v>
      </c>
      <c r="F1153">
        <v>175321.37</v>
      </c>
    </row>
    <row r="1154" spans="1:6" x14ac:dyDescent="0.3">
      <c r="A1154">
        <v>2024</v>
      </c>
      <c r="B1154">
        <v>12</v>
      </c>
      <c r="C1154" s="105" t="s">
        <v>48</v>
      </c>
      <c r="D1154" s="105" t="s">
        <v>25</v>
      </c>
      <c r="E1154">
        <v>303</v>
      </c>
      <c r="F1154">
        <v>228286.41</v>
      </c>
    </row>
    <row r="1155" spans="1:6" x14ac:dyDescent="0.3">
      <c r="A1155">
        <v>2024</v>
      </c>
      <c r="B1155">
        <v>12</v>
      </c>
      <c r="C1155" s="105" t="s">
        <v>48</v>
      </c>
      <c r="D1155" s="105" t="s">
        <v>26</v>
      </c>
      <c r="E1155">
        <v>176</v>
      </c>
      <c r="F1155">
        <v>149857.31</v>
      </c>
    </row>
    <row r="1156" spans="1:6" x14ac:dyDescent="0.3">
      <c r="A1156">
        <v>2024</v>
      </c>
      <c r="B1156">
        <v>12</v>
      </c>
      <c r="C1156" s="105" t="s">
        <v>48</v>
      </c>
      <c r="D1156" s="105" t="s">
        <v>27</v>
      </c>
      <c r="E1156">
        <v>211</v>
      </c>
      <c r="F1156">
        <v>178285.31</v>
      </c>
    </row>
    <row r="1157" spans="1:6" x14ac:dyDescent="0.3">
      <c r="A1157">
        <v>2024</v>
      </c>
      <c r="B1157">
        <v>12</v>
      </c>
      <c r="C1157" s="105" t="s">
        <v>48</v>
      </c>
      <c r="D1157" s="105" t="s">
        <v>28</v>
      </c>
      <c r="E1157">
        <v>114</v>
      </c>
      <c r="F1157">
        <v>76424.72</v>
      </c>
    </row>
    <row r="1158" spans="1:6" x14ac:dyDescent="0.3">
      <c r="A1158">
        <v>2024</v>
      </c>
      <c r="B1158">
        <v>12</v>
      </c>
      <c r="C1158" s="105" t="s">
        <v>48</v>
      </c>
      <c r="D1158" s="105" t="s">
        <v>29</v>
      </c>
      <c r="E1158">
        <v>232</v>
      </c>
      <c r="F1158">
        <v>199454.91</v>
      </c>
    </row>
    <row r="1159" spans="1:6" x14ac:dyDescent="0.3">
      <c r="A1159">
        <v>2024</v>
      </c>
      <c r="B1159">
        <v>12</v>
      </c>
      <c r="C1159" s="105" t="s">
        <v>48</v>
      </c>
      <c r="D1159" s="105" t="s">
        <v>30</v>
      </c>
      <c r="E1159">
        <v>89</v>
      </c>
      <c r="F1159">
        <v>82148.259999999995</v>
      </c>
    </row>
    <row r="1160" spans="1:6" x14ac:dyDescent="0.3">
      <c r="A1160">
        <v>2024</v>
      </c>
      <c r="B1160">
        <v>12</v>
      </c>
      <c r="C1160" s="105" t="s">
        <v>48</v>
      </c>
      <c r="D1160" s="105" t="s">
        <v>31</v>
      </c>
      <c r="E1160">
        <v>386</v>
      </c>
      <c r="F1160">
        <v>331658.18</v>
      </c>
    </row>
    <row r="1161" spans="1:6" x14ac:dyDescent="0.3">
      <c r="A1161">
        <v>2024</v>
      </c>
      <c r="B1161">
        <v>12</v>
      </c>
      <c r="C1161" s="105" t="s">
        <v>48</v>
      </c>
      <c r="D1161" s="105" t="s">
        <v>51</v>
      </c>
      <c r="E1161">
        <v>57</v>
      </c>
      <c r="F1161">
        <v>37685</v>
      </c>
    </row>
    <row r="1162" spans="1:6" x14ac:dyDescent="0.3">
      <c r="A1162">
        <v>2024</v>
      </c>
      <c r="B1162">
        <v>12</v>
      </c>
      <c r="C1162" s="105" t="s">
        <v>48</v>
      </c>
      <c r="D1162" s="105" t="s">
        <v>32</v>
      </c>
      <c r="E1162">
        <v>126</v>
      </c>
      <c r="F1162">
        <v>103404.07</v>
      </c>
    </row>
    <row r="1163" spans="1:6" x14ac:dyDescent="0.3">
      <c r="A1163">
        <v>2024</v>
      </c>
      <c r="B1163">
        <v>12</v>
      </c>
      <c r="C1163" s="105" t="s">
        <v>48</v>
      </c>
      <c r="D1163" s="105" t="s">
        <v>52</v>
      </c>
      <c r="E1163">
        <v>60</v>
      </c>
      <c r="F1163">
        <v>51249.78</v>
      </c>
    </row>
    <row r="1164" spans="1:6" x14ac:dyDescent="0.3">
      <c r="A1164">
        <v>2024</v>
      </c>
      <c r="B1164">
        <v>12</v>
      </c>
      <c r="C1164" s="105" t="s">
        <v>48</v>
      </c>
      <c r="D1164" s="105" t="s">
        <v>33</v>
      </c>
      <c r="E1164">
        <v>288</v>
      </c>
      <c r="F1164">
        <v>257857.39</v>
      </c>
    </row>
    <row r="1165" spans="1:6" x14ac:dyDescent="0.3">
      <c r="A1165">
        <v>2024</v>
      </c>
      <c r="B1165">
        <v>12</v>
      </c>
      <c r="C1165" s="105" t="s">
        <v>48</v>
      </c>
      <c r="D1165" s="105" t="s">
        <v>34</v>
      </c>
      <c r="E1165">
        <v>351</v>
      </c>
      <c r="F1165">
        <v>285677.46999999997</v>
      </c>
    </row>
    <row r="1166" spans="1:6" x14ac:dyDescent="0.3">
      <c r="A1166">
        <v>2024</v>
      </c>
      <c r="B1166">
        <v>12</v>
      </c>
      <c r="C1166" s="105" t="s">
        <v>48</v>
      </c>
      <c r="D1166" s="105" t="s">
        <v>49</v>
      </c>
      <c r="E1166">
        <v>13</v>
      </c>
      <c r="F1166">
        <v>8697</v>
      </c>
    </row>
    <row r="1167" spans="1:6" x14ac:dyDescent="0.3">
      <c r="A1167">
        <v>2024</v>
      </c>
      <c r="B1167">
        <v>12</v>
      </c>
      <c r="C1167" s="105" t="s">
        <v>48</v>
      </c>
      <c r="D1167" s="105" t="s">
        <v>53</v>
      </c>
      <c r="E1167">
        <v>34</v>
      </c>
      <c r="F1167">
        <v>24885</v>
      </c>
    </row>
    <row r="1168" spans="1:6" x14ac:dyDescent="0.3">
      <c r="A1168">
        <v>2024</v>
      </c>
      <c r="B1168">
        <v>12</v>
      </c>
      <c r="C1168" s="105" t="s">
        <v>48</v>
      </c>
      <c r="D1168" s="105" t="s">
        <v>35</v>
      </c>
      <c r="E1168">
        <v>132</v>
      </c>
      <c r="F1168">
        <v>112567.3</v>
      </c>
    </row>
    <row r="1169" spans="1:6" x14ac:dyDescent="0.3">
      <c r="A1169">
        <v>2024</v>
      </c>
      <c r="B1169">
        <v>12</v>
      </c>
      <c r="C1169" s="105" t="s">
        <v>48</v>
      </c>
      <c r="D1169" s="105" t="s">
        <v>36</v>
      </c>
      <c r="E1169">
        <v>196</v>
      </c>
      <c r="F1169">
        <v>159518.91</v>
      </c>
    </row>
    <row r="1170" spans="1:6" x14ac:dyDescent="0.3">
      <c r="A1170">
        <v>2024</v>
      </c>
      <c r="B1170">
        <v>12</v>
      </c>
      <c r="C1170" s="105" t="s">
        <v>48</v>
      </c>
      <c r="D1170" s="105" t="s">
        <v>37</v>
      </c>
      <c r="E1170">
        <v>234</v>
      </c>
      <c r="F1170">
        <v>207282.5</v>
      </c>
    </row>
    <row r="1171" spans="1:6" x14ac:dyDescent="0.3">
      <c r="A1171">
        <v>2025</v>
      </c>
      <c r="B1171">
        <v>1</v>
      </c>
      <c r="C1171" s="105" t="s">
        <v>6</v>
      </c>
      <c r="D1171" s="105" t="s">
        <v>7</v>
      </c>
      <c r="E1171">
        <v>152</v>
      </c>
      <c r="F1171">
        <v>137896.92000000001</v>
      </c>
    </row>
    <row r="1172" spans="1:6" x14ac:dyDescent="0.3">
      <c r="A1172">
        <v>2025</v>
      </c>
      <c r="B1172">
        <v>1</v>
      </c>
      <c r="C1172" s="105" t="s">
        <v>6</v>
      </c>
      <c r="D1172" s="105" t="s">
        <v>8</v>
      </c>
      <c r="E1172">
        <v>185</v>
      </c>
      <c r="F1172">
        <v>123488.37</v>
      </c>
    </row>
    <row r="1173" spans="1:6" x14ac:dyDescent="0.3">
      <c r="A1173">
        <v>2025</v>
      </c>
      <c r="B1173">
        <v>1</v>
      </c>
      <c r="C1173" s="105" t="s">
        <v>6</v>
      </c>
      <c r="D1173" s="105" t="s">
        <v>9</v>
      </c>
      <c r="E1173">
        <v>54</v>
      </c>
      <c r="F1173">
        <v>41204.51</v>
      </c>
    </row>
    <row r="1174" spans="1:6" x14ac:dyDescent="0.3">
      <c r="A1174">
        <v>2025</v>
      </c>
      <c r="B1174">
        <v>1</v>
      </c>
      <c r="C1174" s="105" t="s">
        <v>6</v>
      </c>
      <c r="D1174" s="105" t="s">
        <v>10</v>
      </c>
      <c r="E1174">
        <v>169</v>
      </c>
      <c r="F1174">
        <v>157230.39000000001</v>
      </c>
    </row>
    <row r="1175" spans="1:6" x14ac:dyDescent="0.3">
      <c r="A1175">
        <v>2025</v>
      </c>
      <c r="B1175">
        <v>1</v>
      </c>
      <c r="C1175" s="105" t="s">
        <v>6</v>
      </c>
      <c r="D1175" s="105" t="s">
        <v>11</v>
      </c>
      <c r="E1175">
        <v>163</v>
      </c>
      <c r="F1175">
        <v>137057.29</v>
      </c>
    </row>
    <row r="1176" spans="1:6" x14ac:dyDescent="0.3">
      <c r="A1176">
        <v>2025</v>
      </c>
      <c r="B1176">
        <v>1</v>
      </c>
      <c r="C1176" s="105" t="s">
        <v>6</v>
      </c>
      <c r="D1176" s="105" t="s">
        <v>12</v>
      </c>
      <c r="E1176">
        <v>106</v>
      </c>
      <c r="F1176">
        <v>79418.48</v>
      </c>
    </row>
    <row r="1177" spans="1:6" x14ac:dyDescent="0.3">
      <c r="A1177">
        <v>2025</v>
      </c>
      <c r="B1177">
        <v>1</v>
      </c>
      <c r="C1177" s="105" t="s">
        <v>6</v>
      </c>
      <c r="D1177" s="105" t="s">
        <v>13</v>
      </c>
      <c r="E1177">
        <v>128</v>
      </c>
      <c r="F1177">
        <v>97688.43</v>
      </c>
    </row>
    <row r="1178" spans="1:6" x14ac:dyDescent="0.3">
      <c r="A1178">
        <v>2025</v>
      </c>
      <c r="B1178">
        <v>1</v>
      </c>
      <c r="C1178" s="105" t="s">
        <v>6</v>
      </c>
      <c r="D1178" s="105" t="s">
        <v>14</v>
      </c>
      <c r="E1178">
        <v>133</v>
      </c>
      <c r="F1178">
        <v>90956</v>
      </c>
    </row>
    <row r="1179" spans="1:6" x14ac:dyDescent="0.3">
      <c r="A1179">
        <v>2025</v>
      </c>
      <c r="B1179">
        <v>1</v>
      </c>
      <c r="C1179" s="105" t="s">
        <v>6</v>
      </c>
      <c r="D1179" s="105" t="s">
        <v>15</v>
      </c>
      <c r="E1179">
        <v>71</v>
      </c>
      <c r="F1179">
        <v>45149.26</v>
      </c>
    </row>
    <row r="1180" spans="1:6" x14ac:dyDescent="0.3">
      <c r="A1180">
        <v>2025</v>
      </c>
      <c r="B1180">
        <v>1</v>
      </c>
      <c r="C1180" s="105" t="s">
        <v>6</v>
      </c>
      <c r="D1180" s="105" t="s">
        <v>16</v>
      </c>
      <c r="E1180">
        <v>78</v>
      </c>
      <c r="F1180">
        <v>68655.3</v>
      </c>
    </row>
    <row r="1181" spans="1:6" x14ac:dyDescent="0.3">
      <c r="A1181">
        <v>2025</v>
      </c>
      <c r="B1181">
        <v>1</v>
      </c>
      <c r="C1181" s="105" t="s">
        <v>6</v>
      </c>
      <c r="D1181" s="105" t="s">
        <v>17</v>
      </c>
      <c r="E1181">
        <v>281</v>
      </c>
      <c r="F1181">
        <v>246079.88</v>
      </c>
    </row>
    <row r="1182" spans="1:6" x14ac:dyDescent="0.3">
      <c r="A1182">
        <v>2025</v>
      </c>
      <c r="B1182">
        <v>1</v>
      </c>
      <c r="C1182" s="105" t="s">
        <v>6</v>
      </c>
      <c r="D1182" s="105" t="s">
        <v>18</v>
      </c>
      <c r="E1182">
        <v>279</v>
      </c>
      <c r="F1182">
        <v>249068.65</v>
      </c>
    </row>
    <row r="1183" spans="1:6" x14ac:dyDescent="0.3">
      <c r="A1183">
        <v>2025</v>
      </c>
      <c r="B1183">
        <v>1</v>
      </c>
      <c r="C1183" s="105" t="s">
        <v>6</v>
      </c>
      <c r="D1183" s="105" t="s">
        <v>50</v>
      </c>
      <c r="E1183">
        <v>71</v>
      </c>
      <c r="F1183">
        <v>56027.63</v>
      </c>
    </row>
    <row r="1184" spans="1:6" x14ac:dyDescent="0.3">
      <c r="A1184">
        <v>2025</v>
      </c>
      <c r="B1184">
        <v>1</v>
      </c>
      <c r="C1184" s="105" t="s">
        <v>6</v>
      </c>
      <c r="D1184" s="105" t="s">
        <v>19</v>
      </c>
      <c r="E1184">
        <v>155</v>
      </c>
      <c r="F1184">
        <v>106855.74</v>
      </c>
    </row>
    <row r="1185" spans="1:6" x14ac:dyDescent="0.3">
      <c r="A1185">
        <v>2025</v>
      </c>
      <c r="B1185">
        <v>1</v>
      </c>
      <c r="C1185" s="105" t="s">
        <v>6</v>
      </c>
      <c r="D1185" s="105" t="s">
        <v>20</v>
      </c>
      <c r="E1185">
        <v>137</v>
      </c>
      <c r="F1185">
        <v>104019.33</v>
      </c>
    </row>
    <row r="1186" spans="1:6" x14ac:dyDescent="0.3">
      <c r="A1186">
        <v>2025</v>
      </c>
      <c r="B1186">
        <v>1</v>
      </c>
      <c r="C1186" s="105" t="s">
        <v>6</v>
      </c>
      <c r="D1186" s="105" t="s">
        <v>21</v>
      </c>
      <c r="E1186">
        <v>221</v>
      </c>
      <c r="F1186">
        <v>205995.42</v>
      </c>
    </row>
    <row r="1187" spans="1:6" x14ac:dyDescent="0.3">
      <c r="A1187">
        <v>2025</v>
      </c>
      <c r="B1187">
        <v>1</v>
      </c>
      <c r="C1187" s="105" t="s">
        <v>6</v>
      </c>
      <c r="D1187" s="105" t="s">
        <v>22</v>
      </c>
      <c r="E1187">
        <v>111</v>
      </c>
      <c r="F1187">
        <v>77554.710000000006</v>
      </c>
    </row>
    <row r="1188" spans="1:6" x14ac:dyDescent="0.3">
      <c r="A1188">
        <v>2025</v>
      </c>
      <c r="B1188">
        <v>1</v>
      </c>
      <c r="C1188" s="105" t="s">
        <v>6</v>
      </c>
      <c r="D1188" s="105" t="s">
        <v>23</v>
      </c>
      <c r="E1188">
        <v>141</v>
      </c>
      <c r="F1188">
        <v>131268.99</v>
      </c>
    </row>
    <row r="1189" spans="1:6" x14ac:dyDescent="0.3">
      <c r="A1189">
        <v>2025</v>
      </c>
      <c r="B1189">
        <v>1</v>
      </c>
      <c r="C1189" s="105" t="s">
        <v>6</v>
      </c>
      <c r="D1189" s="105" t="s">
        <v>24</v>
      </c>
      <c r="E1189">
        <v>241</v>
      </c>
      <c r="F1189">
        <v>164119</v>
      </c>
    </row>
    <row r="1190" spans="1:6" x14ac:dyDescent="0.3">
      <c r="A1190">
        <v>2025</v>
      </c>
      <c r="B1190">
        <v>1</v>
      </c>
      <c r="C1190" s="105" t="s">
        <v>6</v>
      </c>
      <c r="D1190" s="105" t="s">
        <v>25</v>
      </c>
      <c r="E1190">
        <v>256</v>
      </c>
      <c r="F1190">
        <v>203579.3</v>
      </c>
    </row>
    <row r="1191" spans="1:6" x14ac:dyDescent="0.3">
      <c r="A1191">
        <v>2025</v>
      </c>
      <c r="B1191">
        <v>1</v>
      </c>
      <c r="C1191" s="105" t="s">
        <v>6</v>
      </c>
      <c r="D1191" s="105" t="s">
        <v>26</v>
      </c>
      <c r="E1191">
        <v>128</v>
      </c>
      <c r="F1191">
        <v>113908.79</v>
      </c>
    </row>
    <row r="1192" spans="1:6" x14ac:dyDescent="0.3">
      <c r="A1192">
        <v>2025</v>
      </c>
      <c r="B1192">
        <v>1</v>
      </c>
      <c r="C1192" s="105" t="s">
        <v>6</v>
      </c>
      <c r="D1192" s="105" t="s">
        <v>27</v>
      </c>
      <c r="E1192">
        <v>181</v>
      </c>
      <c r="F1192">
        <v>145650.28</v>
      </c>
    </row>
    <row r="1193" spans="1:6" x14ac:dyDescent="0.3">
      <c r="A1193">
        <v>2025</v>
      </c>
      <c r="B1193">
        <v>1</v>
      </c>
      <c r="C1193" s="105" t="s">
        <v>6</v>
      </c>
      <c r="D1193" s="105" t="s">
        <v>28</v>
      </c>
      <c r="E1193">
        <v>101</v>
      </c>
      <c r="F1193">
        <v>74277</v>
      </c>
    </row>
    <row r="1194" spans="1:6" x14ac:dyDescent="0.3">
      <c r="A1194">
        <v>2025</v>
      </c>
      <c r="B1194">
        <v>1</v>
      </c>
      <c r="C1194" s="105" t="s">
        <v>6</v>
      </c>
      <c r="D1194" s="105" t="s">
        <v>29</v>
      </c>
      <c r="E1194">
        <v>243</v>
      </c>
      <c r="F1194">
        <v>187745.72</v>
      </c>
    </row>
    <row r="1195" spans="1:6" x14ac:dyDescent="0.3">
      <c r="A1195">
        <v>2025</v>
      </c>
      <c r="B1195">
        <v>1</v>
      </c>
      <c r="C1195" s="105" t="s">
        <v>6</v>
      </c>
      <c r="D1195" s="105" t="s">
        <v>30</v>
      </c>
      <c r="E1195">
        <v>78</v>
      </c>
      <c r="F1195">
        <v>68737.67</v>
      </c>
    </row>
    <row r="1196" spans="1:6" x14ac:dyDescent="0.3">
      <c r="A1196">
        <v>2025</v>
      </c>
      <c r="B1196">
        <v>1</v>
      </c>
      <c r="C1196" s="105" t="s">
        <v>6</v>
      </c>
      <c r="D1196" s="105" t="s">
        <v>31</v>
      </c>
      <c r="E1196">
        <v>338</v>
      </c>
      <c r="F1196">
        <v>318832.26</v>
      </c>
    </row>
    <row r="1197" spans="1:6" x14ac:dyDescent="0.3">
      <c r="A1197">
        <v>2025</v>
      </c>
      <c r="B1197">
        <v>1</v>
      </c>
      <c r="C1197" s="105" t="s">
        <v>6</v>
      </c>
      <c r="D1197" s="105" t="s">
        <v>51</v>
      </c>
      <c r="E1197">
        <v>34</v>
      </c>
      <c r="F1197">
        <v>21950</v>
      </c>
    </row>
    <row r="1198" spans="1:6" x14ac:dyDescent="0.3">
      <c r="A1198">
        <v>2025</v>
      </c>
      <c r="B1198">
        <v>1</v>
      </c>
      <c r="C1198" s="105" t="s">
        <v>6</v>
      </c>
      <c r="D1198" s="105" t="s">
        <v>32</v>
      </c>
      <c r="E1198">
        <v>110</v>
      </c>
      <c r="F1198">
        <v>92000.89</v>
      </c>
    </row>
    <row r="1199" spans="1:6" x14ac:dyDescent="0.3">
      <c r="A1199">
        <v>2025</v>
      </c>
      <c r="B1199">
        <v>1</v>
      </c>
      <c r="C1199" s="105" t="s">
        <v>6</v>
      </c>
      <c r="D1199" s="105" t="s">
        <v>52</v>
      </c>
      <c r="E1199">
        <v>29</v>
      </c>
      <c r="F1199">
        <v>25768.78</v>
      </c>
    </row>
    <row r="1200" spans="1:6" x14ac:dyDescent="0.3">
      <c r="A1200">
        <v>2025</v>
      </c>
      <c r="B1200">
        <v>1</v>
      </c>
      <c r="C1200" s="105" t="s">
        <v>6</v>
      </c>
      <c r="D1200" s="105" t="s">
        <v>33</v>
      </c>
      <c r="E1200">
        <v>251</v>
      </c>
      <c r="F1200">
        <v>236355.37</v>
      </c>
    </row>
    <row r="1201" spans="1:6" x14ac:dyDescent="0.3">
      <c r="A1201">
        <v>2025</v>
      </c>
      <c r="B1201">
        <v>1</v>
      </c>
      <c r="C1201" s="105" t="s">
        <v>6</v>
      </c>
      <c r="D1201" s="105" t="s">
        <v>34</v>
      </c>
      <c r="E1201">
        <v>234</v>
      </c>
      <c r="F1201">
        <v>190296.95999999999</v>
      </c>
    </row>
    <row r="1202" spans="1:6" x14ac:dyDescent="0.3">
      <c r="A1202">
        <v>2025</v>
      </c>
      <c r="B1202">
        <v>1</v>
      </c>
      <c r="C1202" s="105" t="s">
        <v>6</v>
      </c>
      <c r="D1202" s="105" t="s">
        <v>49</v>
      </c>
      <c r="E1202">
        <v>4</v>
      </c>
      <c r="F1202">
        <v>2535</v>
      </c>
    </row>
    <row r="1203" spans="1:6" x14ac:dyDescent="0.3">
      <c r="A1203">
        <v>2025</v>
      </c>
      <c r="B1203">
        <v>1</v>
      </c>
      <c r="C1203" s="105" t="s">
        <v>6</v>
      </c>
      <c r="D1203" s="105" t="s">
        <v>53</v>
      </c>
      <c r="E1203">
        <v>36</v>
      </c>
      <c r="F1203">
        <v>26599.93</v>
      </c>
    </row>
    <row r="1204" spans="1:6" x14ac:dyDescent="0.3">
      <c r="A1204">
        <v>2025</v>
      </c>
      <c r="B1204">
        <v>1</v>
      </c>
      <c r="C1204" s="105" t="s">
        <v>6</v>
      </c>
      <c r="D1204" s="105" t="s">
        <v>35</v>
      </c>
      <c r="E1204">
        <v>124</v>
      </c>
      <c r="F1204">
        <v>102691.65</v>
      </c>
    </row>
    <row r="1205" spans="1:6" x14ac:dyDescent="0.3">
      <c r="A1205">
        <v>2025</v>
      </c>
      <c r="B1205">
        <v>1</v>
      </c>
      <c r="C1205" s="105" t="s">
        <v>6</v>
      </c>
      <c r="D1205" s="105" t="s">
        <v>36</v>
      </c>
      <c r="E1205">
        <v>145</v>
      </c>
      <c r="F1205">
        <v>113967.83</v>
      </c>
    </row>
    <row r="1206" spans="1:6" x14ac:dyDescent="0.3">
      <c r="A1206">
        <v>2025</v>
      </c>
      <c r="B1206">
        <v>1</v>
      </c>
      <c r="C1206" s="105" t="s">
        <v>6</v>
      </c>
      <c r="D1206" s="105" t="s">
        <v>37</v>
      </c>
      <c r="E1206">
        <v>166</v>
      </c>
      <c r="F1206">
        <v>140503.06</v>
      </c>
    </row>
    <row r="1207" spans="1:6" x14ac:dyDescent="0.3">
      <c r="A1207">
        <v>2025</v>
      </c>
      <c r="B1207">
        <v>2</v>
      </c>
      <c r="C1207" s="105" t="s">
        <v>38</v>
      </c>
      <c r="D1207" s="105" t="s">
        <v>7</v>
      </c>
      <c r="E1207">
        <v>167</v>
      </c>
      <c r="F1207">
        <v>150336.1</v>
      </c>
    </row>
    <row r="1208" spans="1:6" x14ac:dyDescent="0.3">
      <c r="A1208">
        <v>2025</v>
      </c>
      <c r="B1208">
        <v>2</v>
      </c>
      <c r="C1208" s="105" t="s">
        <v>38</v>
      </c>
      <c r="D1208" s="105" t="s">
        <v>8</v>
      </c>
      <c r="E1208">
        <v>180</v>
      </c>
      <c r="F1208">
        <v>135448.99</v>
      </c>
    </row>
    <row r="1209" spans="1:6" x14ac:dyDescent="0.3">
      <c r="A1209">
        <v>2025</v>
      </c>
      <c r="B1209">
        <v>2</v>
      </c>
      <c r="C1209" s="105" t="s">
        <v>38</v>
      </c>
      <c r="D1209" s="105" t="s">
        <v>9</v>
      </c>
      <c r="E1209">
        <v>52</v>
      </c>
      <c r="F1209">
        <v>164539.15</v>
      </c>
    </row>
    <row r="1210" spans="1:6" x14ac:dyDescent="0.3">
      <c r="A1210">
        <v>2025</v>
      </c>
      <c r="B1210">
        <v>2</v>
      </c>
      <c r="C1210" s="105" t="s">
        <v>38</v>
      </c>
      <c r="D1210" s="105" t="s">
        <v>10</v>
      </c>
      <c r="E1210">
        <v>163</v>
      </c>
      <c r="F1210">
        <v>162443.63</v>
      </c>
    </row>
    <row r="1211" spans="1:6" x14ac:dyDescent="0.3">
      <c r="A1211">
        <v>2025</v>
      </c>
      <c r="B1211">
        <v>2</v>
      </c>
      <c r="C1211" s="105" t="s">
        <v>38</v>
      </c>
      <c r="D1211" s="105" t="s">
        <v>11</v>
      </c>
      <c r="E1211">
        <v>162</v>
      </c>
      <c r="F1211">
        <v>129918.22</v>
      </c>
    </row>
    <row r="1212" spans="1:6" x14ac:dyDescent="0.3">
      <c r="A1212">
        <v>2025</v>
      </c>
      <c r="B1212">
        <v>2</v>
      </c>
      <c r="C1212" s="105" t="s">
        <v>38</v>
      </c>
      <c r="D1212" s="105" t="s">
        <v>12</v>
      </c>
      <c r="E1212">
        <v>82</v>
      </c>
      <c r="F1212">
        <v>64088.19</v>
      </c>
    </row>
    <row r="1213" spans="1:6" x14ac:dyDescent="0.3">
      <c r="A1213">
        <v>2025</v>
      </c>
      <c r="B1213">
        <v>2</v>
      </c>
      <c r="C1213" s="105" t="s">
        <v>38</v>
      </c>
      <c r="D1213" s="105" t="s">
        <v>13</v>
      </c>
      <c r="E1213">
        <v>120</v>
      </c>
      <c r="F1213">
        <v>91496.91</v>
      </c>
    </row>
    <row r="1214" spans="1:6" x14ac:dyDescent="0.3">
      <c r="A1214">
        <v>2025</v>
      </c>
      <c r="B1214">
        <v>2</v>
      </c>
      <c r="C1214" s="105" t="s">
        <v>38</v>
      </c>
      <c r="D1214" s="105" t="s">
        <v>14</v>
      </c>
      <c r="E1214">
        <v>141</v>
      </c>
      <c r="F1214">
        <v>101272.4</v>
      </c>
    </row>
    <row r="1215" spans="1:6" x14ac:dyDescent="0.3">
      <c r="A1215">
        <v>2025</v>
      </c>
      <c r="B1215">
        <v>2</v>
      </c>
      <c r="C1215" s="105" t="s">
        <v>38</v>
      </c>
      <c r="D1215" s="105" t="s">
        <v>15</v>
      </c>
      <c r="E1215">
        <v>40</v>
      </c>
      <c r="F1215">
        <v>30133.22</v>
      </c>
    </row>
    <row r="1216" spans="1:6" x14ac:dyDescent="0.3">
      <c r="A1216">
        <v>2025</v>
      </c>
      <c r="B1216">
        <v>2</v>
      </c>
      <c r="C1216" s="105" t="s">
        <v>38</v>
      </c>
      <c r="D1216" s="105" t="s">
        <v>16</v>
      </c>
      <c r="E1216">
        <v>66</v>
      </c>
      <c r="F1216">
        <v>61328.13</v>
      </c>
    </row>
    <row r="1217" spans="1:6" x14ac:dyDescent="0.3">
      <c r="A1217">
        <v>2025</v>
      </c>
      <c r="B1217">
        <v>2</v>
      </c>
      <c r="C1217" s="105" t="s">
        <v>38</v>
      </c>
      <c r="D1217" s="105" t="s">
        <v>17</v>
      </c>
      <c r="E1217">
        <v>271</v>
      </c>
      <c r="F1217">
        <v>232904</v>
      </c>
    </row>
    <row r="1218" spans="1:6" x14ac:dyDescent="0.3">
      <c r="A1218">
        <v>2025</v>
      </c>
      <c r="B1218">
        <v>2</v>
      </c>
      <c r="C1218" s="105" t="s">
        <v>38</v>
      </c>
      <c r="D1218" s="105" t="s">
        <v>18</v>
      </c>
      <c r="E1218">
        <v>235</v>
      </c>
      <c r="F1218">
        <v>213594.71</v>
      </c>
    </row>
    <row r="1219" spans="1:6" x14ac:dyDescent="0.3">
      <c r="A1219">
        <v>2025</v>
      </c>
      <c r="B1219">
        <v>2</v>
      </c>
      <c r="C1219" s="105" t="s">
        <v>38</v>
      </c>
      <c r="D1219" s="105" t="s">
        <v>50</v>
      </c>
      <c r="E1219">
        <v>30</v>
      </c>
      <c r="F1219">
        <v>24232</v>
      </c>
    </row>
    <row r="1220" spans="1:6" x14ac:dyDescent="0.3">
      <c r="A1220">
        <v>2025</v>
      </c>
      <c r="B1220">
        <v>2</v>
      </c>
      <c r="C1220" s="105" t="s">
        <v>38</v>
      </c>
      <c r="D1220" s="105" t="s">
        <v>19</v>
      </c>
      <c r="E1220">
        <v>160</v>
      </c>
      <c r="F1220">
        <v>111206.68</v>
      </c>
    </row>
    <row r="1221" spans="1:6" x14ac:dyDescent="0.3">
      <c r="A1221">
        <v>2025</v>
      </c>
      <c r="B1221">
        <v>2</v>
      </c>
      <c r="C1221" s="105" t="s">
        <v>38</v>
      </c>
      <c r="D1221" s="105" t="s">
        <v>20</v>
      </c>
      <c r="E1221">
        <v>72</v>
      </c>
      <c r="F1221">
        <v>54457.2</v>
      </c>
    </row>
    <row r="1222" spans="1:6" x14ac:dyDescent="0.3">
      <c r="A1222">
        <v>2025</v>
      </c>
      <c r="B1222">
        <v>2</v>
      </c>
      <c r="C1222" s="105" t="s">
        <v>38</v>
      </c>
      <c r="D1222" s="105" t="s">
        <v>21</v>
      </c>
      <c r="E1222">
        <v>220</v>
      </c>
      <c r="F1222">
        <v>208968.22</v>
      </c>
    </row>
    <row r="1223" spans="1:6" x14ac:dyDescent="0.3">
      <c r="A1223">
        <v>2025</v>
      </c>
      <c r="B1223">
        <v>2</v>
      </c>
      <c r="C1223" s="105" t="s">
        <v>38</v>
      </c>
      <c r="D1223" s="105" t="s">
        <v>22</v>
      </c>
      <c r="E1223">
        <v>106</v>
      </c>
      <c r="F1223">
        <v>72435.62</v>
      </c>
    </row>
    <row r="1224" spans="1:6" x14ac:dyDescent="0.3">
      <c r="A1224">
        <v>2025</v>
      </c>
      <c r="B1224">
        <v>2</v>
      </c>
      <c r="C1224" s="105" t="s">
        <v>38</v>
      </c>
      <c r="D1224" s="105" t="s">
        <v>23</v>
      </c>
      <c r="E1224">
        <v>128</v>
      </c>
      <c r="F1224">
        <v>118958.98</v>
      </c>
    </row>
    <row r="1225" spans="1:6" x14ac:dyDescent="0.3">
      <c r="A1225">
        <v>2025</v>
      </c>
      <c r="B1225">
        <v>2</v>
      </c>
      <c r="C1225" s="105" t="s">
        <v>38</v>
      </c>
      <c r="D1225" s="105" t="s">
        <v>24</v>
      </c>
      <c r="E1225">
        <v>207</v>
      </c>
      <c r="F1225">
        <v>148802.43</v>
      </c>
    </row>
    <row r="1226" spans="1:6" x14ac:dyDescent="0.3">
      <c r="A1226">
        <v>2025</v>
      </c>
      <c r="B1226">
        <v>2</v>
      </c>
      <c r="C1226" s="105" t="s">
        <v>38</v>
      </c>
      <c r="D1226" s="105" t="s">
        <v>25</v>
      </c>
      <c r="E1226">
        <v>237</v>
      </c>
      <c r="F1226">
        <v>183779.75</v>
      </c>
    </row>
    <row r="1227" spans="1:6" x14ac:dyDescent="0.3">
      <c r="A1227">
        <v>2025</v>
      </c>
      <c r="B1227">
        <v>2</v>
      </c>
      <c r="C1227" s="105" t="s">
        <v>38</v>
      </c>
      <c r="D1227" s="105" t="s">
        <v>26</v>
      </c>
      <c r="E1227">
        <v>114</v>
      </c>
      <c r="F1227">
        <v>101557.3</v>
      </c>
    </row>
    <row r="1228" spans="1:6" x14ac:dyDescent="0.3">
      <c r="A1228">
        <v>2025</v>
      </c>
      <c r="B1228">
        <v>2</v>
      </c>
      <c r="C1228" s="105" t="s">
        <v>38</v>
      </c>
      <c r="D1228" s="105" t="s">
        <v>27</v>
      </c>
      <c r="E1228">
        <v>154</v>
      </c>
      <c r="F1228">
        <v>131526.78</v>
      </c>
    </row>
    <row r="1229" spans="1:6" x14ac:dyDescent="0.3">
      <c r="A1229">
        <v>2025</v>
      </c>
      <c r="B1229">
        <v>2</v>
      </c>
      <c r="C1229" s="105" t="s">
        <v>38</v>
      </c>
      <c r="D1229" s="105" t="s">
        <v>28</v>
      </c>
      <c r="E1229">
        <v>94</v>
      </c>
      <c r="F1229">
        <v>85548.74</v>
      </c>
    </row>
    <row r="1230" spans="1:6" x14ac:dyDescent="0.3">
      <c r="A1230">
        <v>2025</v>
      </c>
      <c r="B1230">
        <v>2</v>
      </c>
      <c r="C1230" s="105" t="s">
        <v>38</v>
      </c>
      <c r="D1230" s="105" t="s">
        <v>29</v>
      </c>
      <c r="E1230">
        <v>175</v>
      </c>
      <c r="F1230">
        <v>148392.71</v>
      </c>
    </row>
    <row r="1231" spans="1:6" x14ac:dyDescent="0.3">
      <c r="A1231">
        <v>2025</v>
      </c>
      <c r="B1231">
        <v>2</v>
      </c>
      <c r="C1231" s="105" t="s">
        <v>38</v>
      </c>
      <c r="D1231" s="105" t="s">
        <v>30</v>
      </c>
      <c r="E1231">
        <v>55</v>
      </c>
      <c r="F1231">
        <v>42147.82</v>
      </c>
    </row>
    <row r="1232" spans="1:6" x14ac:dyDescent="0.3">
      <c r="A1232">
        <v>2025</v>
      </c>
      <c r="B1232">
        <v>2</v>
      </c>
      <c r="C1232" s="105" t="s">
        <v>38</v>
      </c>
      <c r="D1232" s="105" t="s">
        <v>31</v>
      </c>
      <c r="E1232">
        <v>281</v>
      </c>
      <c r="F1232">
        <v>253619.15</v>
      </c>
    </row>
    <row r="1233" spans="1:6" x14ac:dyDescent="0.3">
      <c r="A1233">
        <v>2025</v>
      </c>
      <c r="B1233">
        <v>2</v>
      </c>
      <c r="C1233" s="105" t="s">
        <v>38</v>
      </c>
      <c r="D1233" s="105" t="s">
        <v>51</v>
      </c>
      <c r="E1233">
        <v>19</v>
      </c>
      <c r="F1233">
        <v>11419</v>
      </c>
    </row>
    <row r="1234" spans="1:6" x14ac:dyDescent="0.3">
      <c r="A1234">
        <v>2025</v>
      </c>
      <c r="B1234">
        <v>2</v>
      </c>
      <c r="C1234" s="105" t="s">
        <v>38</v>
      </c>
      <c r="D1234" s="105" t="s">
        <v>32</v>
      </c>
      <c r="E1234">
        <v>86</v>
      </c>
      <c r="F1234">
        <v>70904.84</v>
      </c>
    </row>
    <row r="1235" spans="1:6" x14ac:dyDescent="0.3">
      <c r="A1235">
        <v>2025</v>
      </c>
      <c r="B1235">
        <v>2</v>
      </c>
      <c r="C1235" s="105" t="s">
        <v>38</v>
      </c>
      <c r="D1235" s="105" t="s">
        <v>52</v>
      </c>
      <c r="E1235">
        <v>38</v>
      </c>
      <c r="F1235">
        <v>31640</v>
      </c>
    </row>
    <row r="1236" spans="1:6" x14ac:dyDescent="0.3">
      <c r="A1236">
        <v>2025</v>
      </c>
      <c r="B1236">
        <v>2</v>
      </c>
      <c r="C1236" s="105" t="s">
        <v>38</v>
      </c>
      <c r="D1236" s="105" t="s">
        <v>33</v>
      </c>
      <c r="E1236">
        <v>226</v>
      </c>
      <c r="F1236">
        <v>208122.31</v>
      </c>
    </row>
    <row r="1237" spans="1:6" x14ac:dyDescent="0.3">
      <c r="A1237">
        <v>2025</v>
      </c>
      <c r="B1237">
        <v>2</v>
      </c>
      <c r="C1237" s="105" t="s">
        <v>38</v>
      </c>
      <c r="D1237" s="105" t="s">
        <v>34</v>
      </c>
      <c r="E1237">
        <v>252</v>
      </c>
      <c r="F1237">
        <v>218470.37</v>
      </c>
    </row>
    <row r="1238" spans="1:6" x14ac:dyDescent="0.3">
      <c r="A1238">
        <v>2025</v>
      </c>
      <c r="B1238">
        <v>2</v>
      </c>
      <c r="C1238" s="105" t="s">
        <v>38</v>
      </c>
      <c r="D1238" s="105" t="s">
        <v>49</v>
      </c>
      <c r="E1238">
        <v>6</v>
      </c>
      <c r="F1238">
        <v>4030</v>
      </c>
    </row>
    <row r="1239" spans="1:6" x14ac:dyDescent="0.3">
      <c r="A1239">
        <v>2025</v>
      </c>
      <c r="B1239">
        <v>2</v>
      </c>
      <c r="C1239" s="105" t="s">
        <v>38</v>
      </c>
      <c r="D1239" s="105" t="s">
        <v>53</v>
      </c>
      <c r="E1239">
        <v>22</v>
      </c>
      <c r="F1239">
        <v>17130</v>
      </c>
    </row>
    <row r="1240" spans="1:6" x14ac:dyDescent="0.3">
      <c r="A1240">
        <v>2025</v>
      </c>
      <c r="B1240">
        <v>2</v>
      </c>
      <c r="C1240" s="105" t="s">
        <v>38</v>
      </c>
      <c r="D1240" s="105" t="s">
        <v>35</v>
      </c>
      <c r="E1240">
        <v>107</v>
      </c>
      <c r="F1240">
        <v>88834.9</v>
      </c>
    </row>
    <row r="1241" spans="1:6" x14ac:dyDescent="0.3">
      <c r="A1241">
        <v>2025</v>
      </c>
      <c r="B1241">
        <v>2</v>
      </c>
      <c r="C1241" s="105" t="s">
        <v>38</v>
      </c>
      <c r="D1241" s="105" t="s">
        <v>36</v>
      </c>
      <c r="E1241">
        <v>154</v>
      </c>
      <c r="F1241">
        <v>128055</v>
      </c>
    </row>
    <row r="1242" spans="1:6" x14ac:dyDescent="0.3">
      <c r="A1242">
        <v>2025</v>
      </c>
      <c r="B1242">
        <v>2</v>
      </c>
      <c r="C1242" s="105" t="s">
        <v>38</v>
      </c>
      <c r="D1242" s="105" t="s">
        <v>37</v>
      </c>
      <c r="E1242">
        <v>155</v>
      </c>
      <c r="F1242">
        <v>129842.37</v>
      </c>
    </row>
    <row r="1243" spans="1:6" x14ac:dyDescent="0.3">
      <c r="A1243">
        <v>2025</v>
      </c>
      <c r="B1243">
        <v>3</v>
      </c>
      <c r="C1243" s="105" t="s">
        <v>39</v>
      </c>
      <c r="D1243" s="105" t="s">
        <v>7</v>
      </c>
      <c r="E1243">
        <v>152</v>
      </c>
      <c r="F1243">
        <v>133915.21</v>
      </c>
    </row>
    <row r="1244" spans="1:6" x14ac:dyDescent="0.3">
      <c r="A1244">
        <v>2025</v>
      </c>
      <c r="B1244">
        <v>3</v>
      </c>
      <c r="C1244" s="105" t="s">
        <v>39</v>
      </c>
      <c r="D1244" s="105" t="s">
        <v>8</v>
      </c>
      <c r="E1244">
        <v>182</v>
      </c>
      <c r="F1244">
        <v>168038.59</v>
      </c>
    </row>
    <row r="1245" spans="1:6" x14ac:dyDescent="0.3">
      <c r="A1245">
        <v>2025</v>
      </c>
      <c r="B1245">
        <v>3</v>
      </c>
      <c r="C1245" s="105" t="s">
        <v>39</v>
      </c>
      <c r="D1245" s="105" t="s">
        <v>9</v>
      </c>
      <c r="E1245">
        <v>39</v>
      </c>
      <c r="F1245">
        <v>28693.99</v>
      </c>
    </row>
    <row r="1246" spans="1:6" x14ac:dyDescent="0.3">
      <c r="A1246">
        <v>2025</v>
      </c>
      <c r="B1246">
        <v>3</v>
      </c>
      <c r="C1246" s="105" t="s">
        <v>39</v>
      </c>
      <c r="D1246" s="105" t="s">
        <v>10</v>
      </c>
      <c r="E1246">
        <v>143</v>
      </c>
      <c r="F1246">
        <v>141874.32</v>
      </c>
    </row>
    <row r="1247" spans="1:6" x14ac:dyDescent="0.3">
      <c r="A1247">
        <v>2025</v>
      </c>
      <c r="B1247">
        <v>3</v>
      </c>
      <c r="C1247" s="105" t="s">
        <v>39</v>
      </c>
      <c r="D1247" s="105" t="s">
        <v>11</v>
      </c>
      <c r="E1247">
        <v>143</v>
      </c>
      <c r="F1247">
        <v>118305.25</v>
      </c>
    </row>
    <row r="1248" spans="1:6" x14ac:dyDescent="0.3">
      <c r="A1248">
        <v>2025</v>
      </c>
      <c r="B1248">
        <v>3</v>
      </c>
      <c r="C1248" s="105" t="s">
        <v>39</v>
      </c>
      <c r="D1248" s="105" t="s">
        <v>12</v>
      </c>
      <c r="E1248">
        <v>102</v>
      </c>
      <c r="F1248">
        <v>73832.92</v>
      </c>
    </row>
    <row r="1249" spans="1:6" x14ac:dyDescent="0.3">
      <c r="A1249">
        <v>2025</v>
      </c>
      <c r="B1249">
        <v>3</v>
      </c>
      <c r="C1249" s="105" t="s">
        <v>39</v>
      </c>
      <c r="D1249" s="105" t="s">
        <v>13</v>
      </c>
      <c r="E1249">
        <v>138</v>
      </c>
      <c r="F1249">
        <v>112278.39999999999</v>
      </c>
    </row>
    <row r="1250" spans="1:6" x14ac:dyDescent="0.3">
      <c r="A1250">
        <v>2025</v>
      </c>
      <c r="B1250">
        <v>3</v>
      </c>
      <c r="C1250" s="105" t="s">
        <v>39</v>
      </c>
      <c r="D1250" s="105" t="s">
        <v>14</v>
      </c>
      <c r="E1250">
        <v>128</v>
      </c>
      <c r="F1250">
        <v>87577.71</v>
      </c>
    </row>
    <row r="1251" spans="1:6" x14ac:dyDescent="0.3">
      <c r="A1251">
        <v>2025</v>
      </c>
      <c r="B1251">
        <v>3</v>
      </c>
      <c r="C1251" s="105" t="s">
        <v>39</v>
      </c>
      <c r="D1251" s="105" t="s">
        <v>15</v>
      </c>
      <c r="E1251">
        <v>85</v>
      </c>
      <c r="F1251">
        <v>59445.919999999998</v>
      </c>
    </row>
    <row r="1252" spans="1:6" x14ac:dyDescent="0.3">
      <c r="A1252">
        <v>2025</v>
      </c>
      <c r="B1252">
        <v>3</v>
      </c>
      <c r="C1252" s="105" t="s">
        <v>39</v>
      </c>
      <c r="D1252" s="105" t="s">
        <v>16</v>
      </c>
      <c r="E1252">
        <v>107</v>
      </c>
      <c r="F1252">
        <v>100311.34</v>
      </c>
    </row>
    <row r="1253" spans="1:6" x14ac:dyDescent="0.3">
      <c r="A1253">
        <v>2025</v>
      </c>
      <c r="B1253">
        <v>3</v>
      </c>
      <c r="C1253" s="105" t="s">
        <v>39</v>
      </c>
      <c r="D1253" s="105" t="s">
        <v>17</v>
      </c>
      <c r="E1253">
        <v>228</v>
      </c>
      <c r="F1253">
        <v>190536.35</v>
      </c>
    </row>
    <row r="1254" spans="1:6" x14ac:dyDescent="0.3">
      <c r="A1254">
        <v>2025</v>
      </c>
      <c r="B1254">
        <v>3</v>
      </c>
      <c r="C1254" s="105" t="s">
        <v>39</v>
      </c>
      <c r="D1254" s="105" t="s">
        <v>18</v>
      </c>
      <c r="E1254">
        <v>252</v>
      </c>
      <c r="F1254">
        <v>232424.99</v>
      </c>
    </row>
    <row r="1255" spans="1:6" x14ac:dyDescent="0.3">
      <c r="A1255">
        <v>2025</v>
      </c>
      <c r="B1255">
        <v>3</v>
      </c>
      <c r="C1255" s="105" t="s">
        <v>39</v>
      </c>
      <c r="D1255" s="105" t="s">
        <v>50</v>
      </c>
      <c r="E1255">
        <v>47</v>
      </c>
      <c r="F1255">
        <v>39566.17</v>
      </c>
    </row>
    <row r="1256" spans="1:6" x14ac:dyDescent="0.3">
      <c r="A1256">
        <v>2025</v>
      </c>
      <c r="B1256">
        <v>3</v>
      </c>
      <c r="C1256" s="105" t="s">
        <v>39</v>
      </c>
      <c r="D1256" s="105" t="s">
        <v>19</v>
      </c>
      <c r="E1256">
        <v>151</v>
      </c>
      <c r="F1256">
        <v>109002.53</v>
      </c>
    </row>
    <row r="1257" spans="1:6" x14ac:dyDescent="0.3">
      <c r="A1257">
        <v>2025</v>
      </c>
      <c r="B1257">
        <v>3</v>
      </c>
      <c r="C1257" s="105" t="s">
        <v>39</v>
      </c>
      <c r="D1257" s="105" t="s">
        <v>20</v>
      </c>
      <c r="E1257">
        <v>139</v>
      </c>
      <c r="F1257">
        <v>113201.05</v>
      </c>
    </row>
    <row r="1258" spans="1:6" x14ac:dyDescent="0.3">
      <c r="A1258">
        <v>2025</v>
      </c>
      <c r="B1258">
        <v>3</v>
      </c>
      <c r="C1258" s="105" t="s">
        <v>39</v>
      </c>
      <c r="D1258" s="105" t="s">
        <v>21</v>
      </c>
      <c r="E1258">
        <v>250</v>
      </c>
      <c r="F1258">
        <v>229426.47</v>
      </c>
    </row>
    <row r="1259" spans="1:6" x14ac:dyDescent="0.3">
      <c r="A1259">
        <v>2025</v>
      </c>
      <c r="B1259">
        <v>3</v>
      </c>
      <c r="C1259" s="105" t="s">
        <v>39</v>
      </c>
      <c r="D1259" s="105" t="s">
        <v>22</v>
      </c>
      <c r="E1259">
        <v>129</v>
      </c>
      <c r="F1259">
        <v>87856.11</v>
      </c>
    </row>
    <row r="1260" spans="1:6" x14ac:dyDescent="0.3">
      <c r="A1260">
        <v>2025</v>
      </c>
      <c r="B1260">
        <v>3</v>
      </c>
      <c r="C1260" s="105" t="s">
        <v>39</v>
      </c>
      <c r="D1260" s="105" t="s">
        <v>23</v>
      </c>
      <c r="E1260">
        <v>109</v>
      </c>
      <c r="F1260">
        <v>122782.78</v>
      </c>
    </row>
    <row r="1261" spans="1:6" x14ac:dyDescent="0.3">
      <c r="A1261">
        <v>2025</v>
      </c>
      <c r="B1261">
        <v>3</v>
      </c>
      <c r="C1261" s="105" t="s">
        <v>39</v>
      </c>
      <c r="D1261" s="105" t="s">
        <v>24</v>
      </c>
      <c r="E1261">
        <v>240</v>
      </c>
      <c r="F1261">
        <v>166539.48000000001</v>
      </c>
    </row>
    <row r="1262" spans="1:6" x14ac:dyDescent="0.3">
      <c r="A1262">
        <v>2025</v>
      </c>
      <c r="B1262">
        <v>3</v>
      </c>
      <c r="C1262" s="105" t="s">
        <v>39</v>
      </c>
      <c r="D1262" s="105" t="s">
        <v>25</v>
      </c>
      <c r="E1262">
        <v>225</v>
      </c>
      <c r="F1262">
        <v>181422.14</v>
      </c>
    </row>
    <row r="1263" spans="1:6" x14ac:dyDescent="0.3">
      <c r="A1263">
        <v>2025</v>
      </c>
      <c r="B1263">
        <v>3</v>
      </c>
      <c r="C1263" s="105" t="s">
        <v>39</v>
      </c>
      <c r="D1263" s="105" t="s">
        <v>26</v>
      </c>
      <c r="E1263">
        <v>114</v>
      </c>
      <c r="F1263">
        <v>95090.47</v>
      </c>
    </row>
    <row r="1264" spans="1:6" x14ac:dyDescent="0.3">
      <c r="A1264">
        <v>2025</v>
      </c>
      <c r="B1264">
        <v>3</v>
      </c>
      <c r="C1264" s="105" t="s">
        <v>39</v>
      </c>
      <c r="D1264" s="105" t="s">
        <v>27</v>
      </c>
      <c r="E1264">
        <v>196</v>
      </c>
      <c r="F1264">
        <v>186606.03</v>
      </c>
    </row>
    <row r="1265" spans="1:6" x14ac:dyDescent="0.3">
      <c r="A1265">
        <v>2025</v>
      </c>
      <c r="B1265">
        <v>3</v>
      </c>
      <c r="C1265" s="105" t="s">
        <v>39</v>
      </c>
      <c r="D1265" s="105" t="s">
        <v>28</v>
      </c>
      <c r="E1265">
        <v>115</v>
      </c>
      <c r="F1265">
        <v>82376.14</v>
      </c>
    </row>
    <row r="1266" spans="1:6" x14ac:dyDescent="0.3">
      <c r="A1266">
        <v>2025</v>
      </c>
      <c r="B1266">
        <v>3</v>
      </c>
      <c r="C1266" s="105" t="s">
        <v>39</v>
      </c>
      <c r="D1266" s="105" t="s">
        <v>29</v>
      </c>
      <c r="E1266">
        <v>169</v>
      </c>
      <c r="F1266">
        <v>142034.18</v>
      </c>
    </row>
    <row r="1267" spans="1:6" x14ac:dyDescent="0.3">
      <c r="A1267">
        <v>2025</v>
      </c>
      <c r="B1267">
        <v>3</v>
      </c>
      <c r="C1267" s="105" t="s">
        <v>39</v>
      </c>
      <c r="D1267" s="105" t="s">
        <v>30</v>
      </c>
      <c r="E1267">
        <v>71</v>
      </c>
      <c r="F1267">
        <v>55313.52</v>
      </c>
    </row>
    <row r="1268" spans="1:6" x14ac:dyDescent="0.3">
      <c r="A1268">
        <v>2025</v>
      </c>
      <c r="B1268">
        <v>3</v>
      </c>
      <c r="C1268" s="105" t="s">
        <v>39</v>
      </c>
      <c r="D1268" s="105" t="s">
        <v>31</v>
      </c>
      <c r="E1268">
        <v>254</v>
      </c>
      <c r="F1268">
        <v>232448.04</v>
      </c>
    </row>
    <row r="1269" spans="1:6" x14ac:dyDescent="0.3">
      <c r="A1269">
        <v>2025</v>
      </c>
      <c r="B1269">
        <v>3</v>
      </c>
      <c r="C1269" s="105" t="s">
        <v>39</v>
      </c>
      <c r="D1269" s="105" t="s">
        <v>51</v>
      </c>
      <c r="E1269">
        <v>19</v>
      </c>
      <c r="F1269">
        <v>12781</v>
      </c>
    </row>
    <row r="1270" spans="1:6" x14ac:dyDescent="0.3">
      <c r="A1270">
        <v>2025</v>
      </c>
      <c r="B1270">
        <v>3</v>
      </c>
      <c r="C1270" s="105" t="s">
        <v>39</v>
      </c>
      <c r="D1270" s="105" t="s">
        <v>32</v>
      </c>
      <c r="E1270">
        <v>114</v>
      </c>
      <c r="F1270">
        <v>96155.49</v>
      </c>
    </row>
    <row r="1271" spans="1:6" x14ac:dyDescent="0.3">
      <c r="A1271">
        <v>2025</v>
      </c>
      <c r="B1271">
        <v>3</v>
      </c>
      <c r="C1271" s="105" t="s">
        <v>39</v>
      </c>
      <c r="D1271" s="105" t="s">
        <v>52</v>
      </c>
      <c r="E1271">
        <v>22</v>
      </c>
      <c r="F1271">
        <v>18548</v>
      </c>
    </row>
    <row r="1272" spans="1:6" x14ac:dyDescent="0.3">
      <c r="A1272">
        <v>2025</v>
      </c>
      <c r="B1272">
        <v>3</v>
      </c>
      <c r="C1272" s="105" t="s">
        <v>39</v>
      </c>
      <c r="D1272" s="105" t="s">
        <v>33</v>
      </c>
      <c r="E1272">
        <v>249</v>
      </c>
      <c r="F1272">
        <v>226437.61</v>
      </c>
    </row>
    <row r="1273" spans="1:6" x14ac:dyDescent="0.3">
      <c r="A1273">
        <v>2025</v>
      </c>
      <c r="B1273">
        <v>3</v>
      </c>
      <c r="C1273" s="105" t="s">
        <v>39</v>
      </c>
      <c r="D1273" s="105" t="s">
        <v>34</v>
      </c>
      <c r="E1273">
        <v>222</v>
      </c>
      <c r="F1273">
        <v>187369.37</v>
      </c>
    </row>
    <row r="1274" spans="1:6" x14ac:dyDescent="0.3">
      <c r="A1274">
        <v>2025</v>
      </c>
      <c r="B1274">
        <v>3</v>
      </c>
      <c r="C1274" s="105" t="s">
        <v>39</v>
      </c>
      <c r="D1274" s="105" t="s">
        <v>49</v>
      </c>
      <c r="E1274">
        <v>9</v>
      </c>
      <c r="F1274">
        <v>5898</v>
      </c>
    </row>
    <row r="1275" spans="1:6" x14ac:dyDescent="0.3">
      <c r="A1275">
        <v>2025</v>
      </c>
      <c r="B1275">
        <v>3</v>
      </c>
      <c r="C1275" s="105" t="s">
        <v>39</v>
      </c>
      <c r="D1275" s="105" t="s">
        <v>53</v>
      </c>
      <c r="E1275">
        <v>12</v>
      </c>
      <c r="F1275">
        <v>8354</v>
      </c>
    </row>
    <row r="1276" spans="1:6" x14ac:dyDescent="0.3">
      <c r="A1276">
        <v>2025</v>
      </c>
      <c r="B1276">
        <v>3</v>
      </c>
      <c r="C1276" s="105" t="s">
        <v>39</v>
      </c>
      <c r="D1276" s="105" t="s">
        <v>35</v>
      </c>
      <c r="E1276">
        <v>121</v>
      </c>
      <c r="F1276">
        <v>101135.33</v>
      </c>
    </row>
    <row r="1277" spans="1:6" x14ac:dyDescent="0.3">
      <c r="A1277">
        <v>2025</v>
      </c>
      <c r="B1277">
        <v>3</v>
      </c>
      <c r="C1277" s="105" t="s">
        <v>39</v>
      </c>
      <c r="D1277" s="105" t="s">
        <v>36</v>
      </c>
      <c r="E1277">
        <v>172</v>
      </c>
      <c r="F1277">
        <v>148272.22</v>
      </c>
    </row>
    <row r="1278" spans="1:6" x14ac:dyDescent="0.3">
      <c r="A1278">
        <v>2025</v>
      </c>
      <c r="B1278">
        <v>3</v>
      </c>
      <c r="C1278" s="105" t="s">
        <v>39</v>
      </c>
      <c r="D1278" s="105" t="s">
        <v>37</v>
      </c>
      <c r="E1278">
        <v>159</v>
      </c>
      <c r="F1278">
        <v>143730.71</v>
      </c>
    </row>
    <row r="1279" spans="1:6" x14ac:dyDescent="0.3">
      <c r="A1279">
        <v>2025</v>
      </c>
      <c r="B1279">
        <v>4</v>
      </c>
      <c r="C1279" s="105" t="s">
        <v>40</v>
      </c>
      <c r="D1279" s="105" t="s">
        <v>7</v>
      </c>
      <c r="E1279">
        <v>205</v>
      </c>
      <c r="F1279">
        <v>183137.94</v>
      </c>
    </row>
    <row r="1280" spans="1:6" x14ac:dyDescent="0.3">
      <c r="A1280">
        <v>2025</v>
      </c>
      <c r="B1280">
        <v>4</v>
      </c>
      <c r="C1280" s="105" t="s">
        <v>40</v>
      </c>
      <c r="D1280" s="105" t="s">
        <v>8</v>
      </c>
      <c r="E1280">
        <v>141</v>
      </c>
      <c r="F1280">
        <v>99082.92</v>
      </c>
    </row>
    <row r="1281" spans="1:6" x14ac:dyDescent="0.3">
      <c r="A1281">
        <v>2025</v>
      </c>
      <c r="B1281">
        <v>4</v>
      </c>
      <c r="C1281" s="105" t="s">
        <v>40</v>
      </c>
      <c r="D1281" s="105" t="s">
        <v>9</v>
      </c>
      <c r="E1281">
        <v>51</v>
      </c>
      <c r="F1281">
        <v>35645.269999999997</v>
      </c>
    </row>
    <row r="1282" spans="1:6" x14ac:dyDescent="0.3">
      <c r="A1282">
        <v>2025</v>
      </c>
      <c r="B1282">
        <v>4</v>
      </c>
      <c r="C1282" s="105" t="s">
        <v>40</v>
      </c>
      <c r="D1282" s="105" t="s">
        <v>10</v>
      </c>
      <c r="E1282">
        <v>207</v>
      </c>
      <c r="F1282">
        <v>193834.23</v>
      </c>
    </row>
    <row r="1283" spans="1:6" x14ac:dyDescent="0.3">
      <c r="A1283">
        <v>2025</v>
      </c>
      <c r="B1283">
        <v>4</v>
      </c>
      <c r="C1283" s="105" t="s">
        <v>40</v>
      </c>
      <c r="D1283" s="105" t="s">
        <v>11</v>
      </c>
      <c r="E1283">
        <v>138</v>
      </c>
      <c r="F1283">
        <v>111817.17</v>
      </c>
    </row>
    <row r="1284" spans="1:6" x14ac:dyDescent="0.3">
      <c r="A1284">
        <v>2025</v>
      </c>
      <c r="B1284">
        <v>4</v>
      </c>
      <c r="C1284" s="105" t="s">
        <v>40</v>
      </c>
      <c r="D1284" s="105" t="s">
        <v>12</v>
      </c>
      <c r="E1284">
        <v>131</v>
      </c>
      <c r="F1284">
        <v>185979.72</v>
      </c>
    </row>
    <row r="1285" spans="1:6" x14ac:dyDescent="0.3">
      <c r="A1285">
        <v>2025</v>
      </c>
      <c r="B1285">
        <v>4</v>
      </c>
      <c r="C1285" s="105" t="s">
        <v>40</v>
      </c>
      <c r="D1285" s="105" t="s">
        <v>13</v>
      </c>
      <c r="E1285">
        <v>146</v>
      </c>
      <c r="F1285">
        <v>139633.28</v>
      </c>
    </row>
    <row r="1286" spans="1:6" x14ac:dyDescent="0.3">
      <c r="A1286">
        <v>2025</v>
      </c>
      <c r="B1286">
        <v>4</v>
      </c>
      <c r="C1286" s="105" t="s">
        <v>40</v>
      </c>
      <c r="D1286" s="105" t="s">
        <v>14</v>
      </c>
      <c r="E1286">
        <v>163</v>
      </c>
      <c r="F1286">
        <v>114345.48</v>
      </c>
    </row>
    <row r="1287" spans="1:6" x14ac:dyDescent="0.3">
      <c r="A1287">
        <v>2025</v>
      </c>
      <c r="B1287">
        <v>4</v>
      </c>
      <c r="C1287" s="105" t="s">
        <v>40</v>
      </c>
      <c r="D1287" s="105" t="s">
        <v>15</v>
      </c>
      <c r="E1287">
        <v>64</v>
      </c>
      <c r="F1287">
        <v>47528.160000000003</v>
      </c>
    </row>
    <row r="1288" spans="1:6" x14ac:dyDescent="0.3">
      <c r="A1288">
        <v>2025</v>
      </c>
      <c r="B1288">
        <v>4</v>
      </c>
      <c r="C1288" s="105" t="s">
        <v>40</v>
      </c>
      <c r="D1288" s="105" t="s">
        <v>16</v>
      </c>
      <c r="E1288">
        <v>91</v>
      </c>
      <c r="F1288">
        <v>77137.960000000006</v>
      </c>
    </row>
    <row r="1289" spans="1:6" x14ac:dyDescent="0.3">
      <c r="A1289">
        <v>2025</v>
      </c>
      <c r="B1289">
        <v>4</v>
      </c>
      <c r="C1289" s="105" t="s">
        <v>40</v>
      </c>
      <c r="D1289" s="105" t="s">
        <v>54</v>
      </c>
      <c r="E1289">
        <v>14</v>
      </c>
      <c r="F1289">
        <v>10498</v>
      </c>
    </row>
    <row r="1290" spans="1:6" x14ac:dyDescent="0.3">
      <c r="A1290">
        <v>2025</v>
      </c>
      <c r="B1290">
        <v>4</v>
      </c>
      <c r="C1290" s="105" t="s">
        <v>40</v>
      </c>
      <c r="D1290" s="105" t="s">
        <v>17</v>
      </c>
      <c r="E1290">
        <v>302</v>
      </c>
      <c r="F1290">
        <v>252588.81</v>
      </c>
    </row>
    <row r="1291" spans="1:6" x14ac:dyDescent="0.3">
      <c r="A1291">
        <v>2025</v>
      </c>
      <c r="B1291">
        <v>4</v>
      </c>
      <c r="C1291" s="105" t="s">
        <v>40</v>
      </c>
      <c r="D1291" s="105" t="s">
        <v>18</v>
      </c>
      <c r="E1291">
        <v>321</v>
      </c>
      <c r="F1291">
        <v>277034.61</v>
      </c>
    </row>
    <row r="1292" spans="1:6" x14ac:dyDescent="0.3">
      <c r="A1292">
        <v>2025</v>
      </c>
      <c r="B1292">
        <v>4</v>
      </c>
      <c r="C1292" s="105" t="s">
        <v>40</v>
      </c>
      <c r="D1292" s="105" t="s">
        <v>50</v>
      </c>
      <c r="E1292">
        <v>70</v>
      </c>
      <c r="F1292">
        <v>57759</v>
      </c>
    </row>
    <row r="1293" spans="1:6" x14ac:dyDescent="0.3">
      <c r="A1293">
        <v>2025</v>
      </c>
      <c r="B1293">
        <v>4</v>
      </c>
      <c r="C1293" s="105" t="s">
        <v>40</v>
      </c>
      <c r="D1293" s="105" t="s">
        <v>55</v>
      </c>
      <c r="E1293">
        <v>4</v>
      </c>
      <c r="F1293">
        <v>3381</v>
      </c>
    </row>
    <row r="1294" spans="1:6" x14ac:dyDescent="0.3">
      <c r="A1294">
        <v>2025</v>
      </c>
      <c r="B1294">
        <v>4</v>
      </c>
      <c r="C1294" s="105" t="s">
        <v>40</v>
      </c>
      <c r="D1294" s="105" t="s">
        <v>19</v>
      </c>
      <c r="E1294">
        <v>124</v>
      </c>
      <c r="F1294">
        <v>110243.4</v>
      </c>
    </row>
    <row r="1295" spans="1:6" x14ac:dyDescent="0.3">
      <c r="A1295">
        <v>2025</v>
      </c>
      <c r="B1295">
        <v>4</v>
      </c>
      <c r="C1295" s="105" t="s">
        <v>40</v>
      </c>
      <c r="D1295" s="105" t="s">
        <v>20</v>
      </c>
      <c r="E1295">
        <v>112</v>
      </c>
      <c r="F1295">
        <v>87191.71</v>
      </c>
    </row>
    <row r="1296" spans="1:6" x14ac:dyDescent="0.3">
      <c r="A1296">
        <v>2025</v>
      </c>
      <c r="B1296">
        <v>4</v>
      </c>
      <c r="C1296" s="105" t="s">
        <v>40</v>
      </c>
      <c r="D1296" s="105" t="s">
        <v>21</v>
      </c>
      <c r="E1296">
        <v>211</v>
      </c>
      <c r="F1296">
        <v>193279.05</v>
      </c>
    </row>
    <row r="1297" spans="1:6" x14ac:dyDescent="0.3">
      <c r="A1297">
        <v>2025</v>
      </c>
      <c r="B1297">
        <v>4</v>
      </c>
      <c r="C1297" s="105" t="s">
        <v>40</v>
      </c>
      <c r="D1297" s="105" t="s">
        <v>22</v>
      </c>
      <c r="E1297">
        <v>139</v>
      </c>
      <c r="F1297">
        <v>90758.16</v>
      </c>
    </row>
    <row r="1298" spans="1:6" x14ac:dyDescent="0.3">
      <c r="A1298">
        <v>2025</v>
      </c>
      <c r="B1298">
        <v>4</v>
      </c>
      <c r="C1298" s="105" t="s">
        <v>40</v>
      </c>
      <c r="D1298" s="105" t="s">
        <v>23</v>
      </c>
      <c r="E1298">
        <v>149</v>
      </c>
      <c r="F1298">
        <v>144441.4</v>
      </c>
    </row>
    <row r="1299" spans="1:6" x14ac:dyDescent="0.3">
      <c r="A1299">
        <v>2025</v>
      </c>
      <c r="B1299">
        <v>4</v>
      </c>
      <c r="C1299" s="105" t="s">
        <v>40</v>
      </c>
      <c r="D1299" s="105" t="s">
        <v>24</v>
      </c>
      <c r="E1299">
        <v>220</v>
      </c>
      <c r="F1299">
        <v>149992.56</v>
      </c>
    </row>
    <row r="1300" spans="1:6" x14ac:dyDescent="0.3">
      <c r="A1300">
        <v>2025</v>
      </c>
      <c r="B1300">
        <v>4</v>
      </c>
      <c r="C1300" s="105" t="s">
        <v>40</v>
      </c>
      <c r="D1300" s="105" t="s">
        <v>25</v>
      </c>
      <c r="E1300">
        <v>337</v>
      </c>
      <c r="F1300">
        <v>260104.6</v>
      </c>
    </row>
    <row r="1301" spans="1:6" x14ac:dyDescent="0.3">
      <c r="A1301">
        <v>2025</v>
      </c>
      <c r="B1301">
        <v>4</v>
      </c>
      <c r="C1301" s="105" t="s">
        <v>40</v>
      </c>
      <c r="D1301" s="105" t="s">
        <v>26</v>
      </c>
      <c r="E1301">
        <v>149</v>
      </c>
      <c r="F1301">
        <v>131871.20000000001</v>
      </c>
    </row>
    <row r="1302" spans="1:6" x14ac:dyDescent="0.3">
      <c r="A1302">
        <v>2025</v>
      </c>
      <c r="B1302">
        <v>4</v>
      </c>
      <c r="C1302" s="105" t="s">
        <v>40</v>
      </c>
      <c r="D1302" s="105" t="s">
        <v>27</v>
      </c>
      <c r="E1302">
        <v>187</v>
      </c>
      <c r="F1302">
        <v>157499.29999999999</v>
      </c>
    </row>
    <row r="1303" spans="1:6" x14ac:dyDescent="0.3">
      <c r="A1303">
        <v>2025</v>
      </c>
      <c r="B1303">
        <v>4</v>
      </c>
      <c r="C1303" s="105" t="s">
        <v>40</v>
      </c>
      <c r="D1303" s="105" t="s">
        <v>28</v>
      </c>
      <c r="E1303">
        <v>87</v>
      </c>
      <c r="F1303">
        <v>61786.87</v>
      </c>
    </row>
    <row r="1304" spans="1:6" x14ac:dyDescent="0.3">
      <c r="A1304">
        <v>2025</v>
      </c>
      <c r="B1304">
        <v>4</v>
      </c>
      <c r="C1304" s="105" t="s">
        <v>40</v>
      </c>
      <c r="D1304" s="105" t="s">
        <v>29</v>
      </c>
      <c r="E1304">
        <v>209</v>
      </c>
      <c r="F1304">
        <v>174301.08</v>
      </c>
    </row>
    <row r="1305" spans="1:6" x14ac:dyDescent="0.3">
      <c r="A1305">
        <v>2025</v>
      </c>
      <c r="B1305">
        <v>4</v>
      </c>
      <c r="C1305" s="105" t="s">
        <v>40</v>
      </c>
      <c r="D1305" s="105" t="s">
        <v>30</v>
      </c>
      <c r="E1305">
        <v>59</v>
      </c>
      <c r="F1305">
        <v>44455.79</v>
      </c>
    </row>
    <row r="1306" spans="1:6" x14ac:dyDescent="0.3">
      <c r="A1306">
        <v>2025</v>
      </c>
      <c r="B1306">
        <v>4</v>
      </c>
      <c r="C1306" s="105" t="s">
        <v>40</v>
      </c>
      <c r="D1306" s="105" t="s">
        <v>31</v>
      </c>
      <c r="E1306">
        <v>387</v>
      </c>
      <c r="F1306">
        <v>335759.35999999999</v>
      </c>
    </row>
    <row r="1307" spans="1:6" x14ac:dyDescent="0.3">
      <c r="A1307">
        <v>2025</v>
      </c>
      <c r="B1307">
        <v>4</v>
      </c>
      <c r="C1307" s="105" t="s">
        <v>40</v>
      </c>
      <c r="D1307" s="105" t="s">
        <v>51</v>
      </c>
      <c r="E1307">
        <v>55</v>
      </c>
      <c r="F1307">
        <v>36406</v>
      </c>
    </row>
    <row r="1308" spans="1:6" x14ac:dyDescent="0.3">
      <c r="A1308">
        <v>2025</v>
      </c>
      <c r="B1308">
        <v>4</v>
      </c>
      <c r="C1308" s="105" t="s">
        <v>40</v>
      </c>
      <c r="D1308" s="105" t="s">
        <v>32</v>
      </c>
      <c r="E1308">
        <v>153</v>
      </c>
      <c r="F1308">
        <v>123823.56</v>
      </c>
    </row>
    <row r="1309" spans="1:6" x14ac:dyDescent="0.3">
      <c r="A1309">
        <v>2025</v>
      </c>
      <c r="B1309">
        <v>4</v>
      </c>
      <c r="C1309" s="105" t="s">
        <v>40</v>
      </c>
      <c r="D1309" s="105" t="s">
        <v>52</v>
      </c>
      <c r="E1309">
        <v>24</v>
      </c>
      <c r="F1309">
        <v>20489.62</v>
      </c>
    </row>
    <row r="1310" spans="1:6" x14ac:dyDescent="0.3">
      <c r="A1310">
        <v>2025</v>
      </c>
      <c r="B1310">
        <v>4</v>
      </c>
      <c r="C1310" s="105" t="s">
        <v>40</v>
      </c>
      <c r="D1310" s="105" t="s">
        <v>33</v>
      </c>
      <c r="E1310">
        <v>288</v>
      </c>
      <c r="F1310">
        <v>243278.26</v>
      </c>
    </row>
    <row r="1311" spans="1:6" x14ac:dyDescent="0.3">
      <c r="A1311">
        <v>2025</v>
      </c>
      <c r="B1311">
        <v>4</v>
      </c>
      <c r="C1311" s="105" t="s">
        <v>40</v>
      </c>
      <c r="D1311" s="105" t="s">
        <v>34</v>
      </c>
      <c r="E1311">
        <v>233</v>
      </c>
      <c r="F1311">
        <v>192698.87</v>
      </c>
    </row>
    <row r="1312" spans="1:6" x14ac:dyDescent="0.3">
      <c r="A1312">
        <v>2025</v>
      </c>
      <c r="B1312">
        <v>4</v>
      </c>
      <c r="C1312" s="105" t="s">
        <v>40</v>
      </c>
      <c r="D1312" s="105" t="s">
        <v>56</v>
      </c>
      <c r="E1312">
        <v>1</v>
      </c>
      <c r="F1312">
        <v>950</v>
      </c>
    </row>
    <row r="1313" spans="1:6" x14ac:dyDescent="0.3">
      <c r="A1313">
        <v>2025</v>
      </c>
      <c r="B1313">
        <v>4</v>
      </c>
      <c r="C1313" s="105" t="s">
        <v>40</v>
      </c>
      <c r="D1313" s="105" t="s">
        <v>57</v>
      </c>
      <c r="E1313">
        <v>2</v>
      </c>
      <c r="F1313">
        <v>1607.8</v>
      </c>
    </row>
    <row r="1314" spans="1:6" x14ac:dyDescent="0.3">
      <c r="A1314">
        <v>2025</v>
      </c>
      <c r="B1314">
        <v>4</v>
      </c>
      <c r="C1314" s="105" t="s">
        <v>40</v>
      </c>
      <c r="D1314" s="105" t="s">
        <v>49</v>
      </c>
      <c r="E1314">
        <v>43</v>
      </c>
      <c r="F1314">
        <v>28881</v>
      </c>
    </row>
    <row r="1315" spans="1:6" x14ac:dyDescent="0.3">
      <c r="A1315">
        <v>2025</v>
      </c>
      <c r="B1315">
        <v>4</v>
      </c>
      <c r="C1315" s="105" t="s">
        <v>40</v>
      </c>
      <c r="D1315" s="105" t="s">
        <v>53</v>
      </c>
      <c r="E1315">
        <v>29</v>
      </c>
      <c r="F1315">
        <v>20593</v>
      </c>
    </row>
    <row r="1316" spans="1:6" x14ac:dyDescent="0.3">
      <c r="A1316">
        <v>2025</v>
      </c>
      <c r="B1316">
        <v>4</v>
      </c>
      <c r="C1316" s="105" t="s">
        <v>40</v>
      </c>
      <c r="D1316" s="105" t="s">
        <v>35</v>
      </c>
      <c r="E1316">
        <v>130</v>
      </c>
      <c r="F1316">
        <v>114136.56</v>
      </c>
    </row>
    <row r="1317" spans="1:6" x14ac:dyDescent="0.3">
      <c r="A1317">
        <v>2025</v>
      </c>
      <c r="B1317">
        <v>4</v>
      </c>
      <c r="C1317" s="105" t="s">
        <v>40</v>
      </c>
      <c r="D1317" s="105" t="s">
        <v>36</v>
      </c>
      <c r="E1317">
        <v>212</v>
      </c>
      <c r="F1317">
        <v>171329.05</v>
      </c>
    </row>
    <row r="1318" spans="1:6" x14ac:dyDescent="0.3">
      <c r="A1318">
        <v>2025</v>
      </c>
      <c r="B1318">
        <v>4</v>
      </c>
      <c r="C1318" s="105" t="s">
        <v>40</v>
      </c>
      <c r="D1318" s="105" t="s">
        <v>37</v>
      </c>
      <c r="E1318">
        <v>152</v>
      </c>
      <c r="F1318">
        <v>138745.74</v>
      </c>
    </row>
    <row r="1319" spans="1:6" x14ac:dyDescent="0.3">
      <c r="A1319">
        <v>2025</v>
      </c>
      <c r="B1319">
        <v>5</v>
      </c>
      <c r="C1319" s="105" t="s">
        <v>41</v>
      </c>
      <c r="D1319" s="105" t="s">
        <v>7</v>
      </c>
      <c r="E1319">
        <v>241</v>
      </c>
      <c r="F1319">
        <v>215543.01</v>
      </c>
    </row>
    <row r="1320" spans="1:6" x14ac:dyDescent="0.3">
      <c r="A1320">
        <v>2025</v>
      </c>
      <c r="B1320">
        <v>5</v>
      </c>
      <c r="C1320" s="105" t="s">
        <v>41</v>
      </c>
      <c r="D1320" s="105" t="s">
        <v>8</v>
      </c>
      <c r="E1320">
        <v>222</v>
      </c>
      <c r="F1320">
        <v>217614.59</v>
      </c>
    </row>
    <row r="1321" spans="1:6" x14ac:dyDescent="0.3">
      <c r="A1321">
        <v>2025</v>
      </c>
      <c r="B1321">
        <v>5</v>
      </c>
      <c r="C1321" s="105" t="s">
        <v>41</v>
      </c>
      <c r="D1321" s="105" t="s">
        <v>9</v>
      </c>
      <c r="E1321">
        <v>57</v>
      </c>
      <c r="F1321">
        <v>41875.129999999997</v>
      </c>
    </row>
    <row r="1322" spans="1:6" x14ac:dyDescent="0.3">
      <c r="A1322">
        <v>2025</v>
      </c>
      <c r="B1322">
        <v>5</v>
      </c>
      <c r="C1322" s="105" t="s">
        <v>41</v>
      </c>
      <c r="D1322" s="105" t="s">
        <v>10</v>
      </c>
      <c r="E1322">
        <v>321</v>
      </c>
      <c r="F1322">
        <v>273506.15000000002</v>
      </c>
    </row>
    <row r="1323" spans="1:6" x14ac:dyDescent="0.3">
      <c r="A1323">
        <v>2025</v>
      </c>
      <c r="B1323">
        <v>5</v>
      </c>
      <c r="C1323" s="105" t="s">
        <v>41</v>
      </c>
      <c r="D1323" s="105" t="s">
        <v>11</v>
      </c>
      <c r="E1323">
        <v>265</v>
      </c>
      <c r="F1323">
        <v>214049.83</v>
      </c>
    </row>
    <row r="1324" spans="1:6" x14ac:dyDescent="0.3">
      <c r="A1324">
        <v>2025</v>
      </c>
      <c r="B1324">
        <v>5</v>
      </c>
      <c r="C1324" s="105" t="s">
        <v>41</v>
      </c>
      <c r="D1324" s="105" t="s">
        <v>12</v>
      </c>
      <c r="E1324">
        <v>155</v>
      </c>
      <c r="F1324">
        <v>161184.06</v>
      </c>
    </row>
    <row r="1325" spans="1:6" x14ac:dyDescent="0.3">
      <c r="A1325">
        <v>2025</v>
      </c>
      <c r="B1325">
        <v>5</v>
      </c>
      <c r="C1325" s="105" t="s">
        <v>41</v>
      </c>
      <c r="D1325" s="105" t="s">
        <v>13</v>
      </c>
      <c r="E1325">
        <v>157</v>
      </c>
      <c r="F1325">
        <v>119711.2</v>
      </c>
    </row>
    <row r="1326" spans="1:6" x14ac:dyDescent="0.3">
      <c r="A1326">
        <v>2025</v>
      </c>
      <c r="B1326">
        <v>5</v>
      </c>
      <c r="C1326" s="105" t="s">
        <v>41</v>
      </c>
      <c r="D1326" s="105" t="s">
        <v>14</v>
      </c>
      <c r="E1326">
        <v>171</v>
      </c>
      <c r="F1326">
        <v>117767.12</v>
      </c>
    </row>
    <row r="1327" spans="1:6" x14ac:dyDescent="0.3">
      <c r="A1327">
        <v>2025</v>
      </c>
      <c r="B1327">
        <v>5</v>
      </c>
      <c r="C1327" s="105" t="s">
        <v>41</v>
      </c>
      <c r="D1327" s="105" t="s">
        <v>15</v>
      </c>
      <c r="E1327">
        <v>79</v>
      </c>
      <c r="F1327">
        <v>55336.94</v>
      </c>
    </row>
    <row r="1328" spans="1:6" x14ac:dyDescent="0.3">
      <c r="A1328">
        <v>2025</v>
      </c>
      <c r="B1328">
        <v>5</v>
      </c>
      <c r="C1328" s="105" t="s">
        <v>41</v>
      </c>
      <c r="D1328" s="105" t="s">
        <v>16</v>
      </c>
      <c r="E1328">
        <v>122</v>
      </c>
      <c r="F1328">
        <v>116093.7</v>
      </c>
    </row>
    <row r="1329" spans="1:6" x14ac:dyDescent="0.3">
      <c r="A1329">
        <v>2025</v>
      </c>
      <c r="B1329">
        <v>5</v>
      </c>
      <c r="C1329" s="105" t="s">
        <v>41</v>
      </c>
      <c r="D1329" s="105" t="s">
        <v>54</v>
      </c>
      <c r="E1329">
        <v>25</v>
      </c>
      <c r="F1329">
        <v>18693.099999999999</v>
      </c>
    </row>
    <row r="1330" spans="1:6" x14ac:dyDescent="0.3">
      <c r="A1330">
        <v>2025</v>
      </c>
      <c r="B1330">
        <v>5</v>
      </c>
      <c r="C1330" s="105" t="s">
        <v>41</v>
      </c>
      <c r="D1330" s="105" t="s">
        <v>17</v>
      </c>
      <c r="E1330">
        <v>390</v>
      </c>
      <c r="F1330">
        <v>348986.96</v>
      </c>
    </row>
    <row r="1331" spans="1:6" x14ac:dyDescent="0.3">
      <c r="A1331">
        <v>2025</v>
      </c>
      <c r="B1331">
        <v>5</v>
      </c>
      <c r="C1331" s="105" t="s">
        <v>41</v>
      </c>
      <c r="D1331" s="105" t="s">
        <v>18</v>
      </c>
      <c r="E1331">
        <v>383</v>
      </c>
      <c r="F1331">
        <v>344491.35</v>
      </c>
    </row>
    <row r="1332" spans="1:6" x14ac:dyDescent="0.3">
      <c r="A1332">
        <v>2025</v>
      </c>
      <c r="B1332">
        <v>5</v>
      </c>
      <c r="C1332" s="105" t="s">
        <v>41</v>
      </c>
      <c r="D1332" s="105" t="s">
        <v>50</v>
      </c>
      <c r="E1332">
        <v>87</v>
      </c>
      <c r="F1332">
        <v>74086.570000000007</v>
      </c>
    </row>
    <row r="1333" spans="1:6" x14ac:dyDescent="0.3">
      <c r="A1333">
        <v>2025</v>
      </c>
      <c r="B1333">
        <v>5</v>
      </c>
      <c r="C1333" s="105" t="s">
        <v>41</v>
      </c>
      <c r="D1333" s="105" t="s">
        <v>55</v>
      </c>
      <c r="E1333">
        <v>44</v>
      </c>
      <c r="F1333">
        <v>31352</v>
      </c>
    </row>
    <row r="1334" spans="1:6" x14ac:dyDescent="0.3">
      <c r="A1334">
        <v>2025</v>
      </c>
      <c r="B1334">
        <v>5</v>
      </c>
      <c r="C1334" s="105" t="s">
        <v>41</v>
      </c>
      <c r="D1334" s="105" t="s">
        <v>19</v>
      </c>
      <c r="E1334">
        <v>125</v>
      </c>
      <c r="F1334">
        <v>86180.65</v>
      </c>
    </row>
    <row r="1335" spans="1:6" x14ac:dyDescent="0.3">
      <c r="A1335">
        <v>2025</v>
      </c>
      <c r="B1335">
        <v>5</v>
      </c>
      <c r="C1335" s="105" t="s">
        <v>41</v>
      </c>
      <c r="D1335" s="105" t="s">
        <v>20</v>
      </c>
      <c r="E1335">
        <v>177</v>
      </c>
      <c r="F1335">
        <v>133263.57999999999</v>
      </c>
    </row>
    <row r="1336" spans="1:6" x14ac:dyDescent="0.3">
      <c r="A1336">
        <v>2025</v>
      </c>
      <c r="B1336">
        <v>5</v>
      </c>
      <c r="C1336" s="105" t="s">
        <v>41</v>
      </c>
      <c r="D1336" s="105" t="s">
        <v>21</v>
      </c>
      <c r="E1336">
        <v>355</v>
      </c>
      <c r="F1336">
        <v>309312.25</v>
      </c>
    </row>
    <row r="1337" spans="1:6" x14ac:dyDescent="0.3">
      <c r="A1337">
        <v>2025</v>
      </c>
      <c r="B1337">
        <v>5</v>
      </c>
      <c r="C1337" s="105" t="s">
        <v>41</v>
      </c>
      <c r="D1337" s="105" t="s">
        <v>22</v>
      </c>
      <c r="E1337">
        <v>153</v>
      </c>
      <c r="F1337">
        <v>104502.5</v>
      </c>
    </row>
    <row r="1338" spans="1:6" x14ac:dyDescent="0.3">
      <c r="A1338">
        <v>2025</v>
      </c>
      <c r="B1338">
        <v>5</v>
      </c>
      <c r="C1338" s="105" t="s">
        <v>41</v>
      </c>
      <c r="D1338" s="105" t="s">
        <v>23</v>
      </c>
      <c r="E1338">
        <v>229</v>
      </c>
      <c r="F1338">
        <v>211829.03</v>
      </c>
    </row>
    <row r="1339" spans="1:6" x14ac:dyDescent="0.3">
      <c r="A1339">
        <v>2025</v>
      </c>
      <c r="B1339">
        <v>5</v>
      </c>
      <c r="C1339" s="105" t="s">
        <v>41</v>
      </c>
      <c r="D1339" s="105" t="s">
        <v>24</v>
      </c>
      <c r="E1339">
        <v>203</v>
      </c>
      <c r="F1339">
        <v>147627.69</v>
      </c>
    </row>
    <row r="1340" spans="1:6" x14ac:dyDescent="0.3">
      <c r="A1340">
        <v>2025</v>
      </c>
      <c r="B1340">
        <v>5</v>
      </c>
      <c r="C1340" s="105" t="s">
        <v>41</v>
      </c>
      <c r="D1340" s="105" t="s">
        <v>25</v>
      </c>
      <c r="E1340">
        <v>310</v>
      </c>
      <c r="F1340">
        <v>238708.02</v>
      </c>
    </row>
    <row r="1341" spans="1:6" x14ac:dyDescent="0.3">
      <c r="A1341">
        <v>2025</v>
      </c>
      <c r="B1341">
        <v>5</v>
      </c>
      <c r="C1341" s="105" t="s">
        <v>41</v>
      </c>
      <c r="D1341" s="105" t="s">
        <v>26</v>
      </c>
      <c r="E1341">
        <v>166</v>
      </c>
      <c r="F1341">
        <v>141818.44</v>
      </c>
    </row>
    <row r="1342" spans="1:6" x14ac:dyDescent="0.3">
      <c r="A1342">
        <v>2025</v>
      </c>
      <c r="B1342">
        <v>5</v>
      </c>
      <c r="C1342" s="105" t="s">
        <v>41</v>
      </c>
      <c r="D1342" s="105" t="s">
        <v>27</v>
      </c>
      <c r="E1342">
        <v>242</v>
      </c>
      <c r="F1342">
        <v>203936.68</v>
      </c>
    </row>
    <row r="1343" spans="1:6" x14ac:dyDescent="0.3">
      <c r="A1343">
        <v>2025</v>
      </c>
      <c r="B1343">
        <v>5</v>
      </c>
      <c r="C1343" s="105" t="s">
        <v>41</v>
      </c>
      <c r="D1343" s="105" t="s">
        <v>28</v>
      </c>
      <c r="E1343">
        <v>68</v>
      </c>
      <c r="F1343">
        <v>45927.11</v>
      </c>
    </row>
    <row r="1344" spans="1:6" x14ac:dyDescent="0.3">
      <c r="A1344">
        <v>2025</v>
      </c>
      <c r="B1344">
        <v>5</v>
      </c>
      <c r="C1344" s="105" t="s">
        <v>41</v>
      </c>
      <c r="D1344" s="105" t="s">
        <v>29</v>
      </c>
      <c r="E1344">
        <v>261</v>
      </c>
      <c r="F1344">
        <v>213667.03</v>
      </c>
    </row>
    <row r="1345" spans="1:6" x14ac:dyDescent="0.3">
      <c r="A1345">
        <v>2025</v>
      </c>
      <c r="B1345">
        <v>5</v>
      </c>
      <c r="C1345" s="105" t="s">
        <v>41</v>
      </c>
      <c r="D1345" s="105" t="s">
        <v>30</v>
      </c>
      <c r="E1345">
        <v>71</v>
      </c>
      <c r="F1345">
        <v>49812.71</v>
      </c>
    </row>
    <row r="1346" spans="1:6" x14ac:dyDescent="0.3">
      <c r="A1346">
        <v>2025</v>
      </c>
      <c r="B1346">
        <v>5</v>
      </c>
      <c r="C1346" s="105" t="s">
        <v>41</v>
      </c>
      <c r="D1346" s="105" t="s">
        <v>31</v>
      </c>
      <c r="E1346">
        <v>397</v>
      </c>
      <c r="F1346">
        <v>358088.26</v>
      </c>
    </row>
    <row r="1347" spans="1:6" x14ac:dyDescent="0.3">
      <c r="A1347">
        <v>2025</v>
      </c>
      <c r="B1347">
        <v>5</v>
      </c>
      <c r="C1347" s="105" t="s">
        <v>41</v>
      </c>
      <c r="D1347" s="105" t="s">
        <v>51</v>
      </c>
      <c r="E1347">
        <v>72</v>
      </c>
      <c r="F1347">
        <v>49361</v>
      </c>
    </row>
    <row r="1348" spans="1:6" x14ac:dyDescent="0.3">
      <c r="A1348">
        <v>2025</v>
      </c>
      <c r="B1348">
        <v>5</v>
      </c>
      <c r="C1348" s="105" t="s">
        <v>41</v>
      </c>
      <c r="D1348" s="105" t="s">
        <v>32</v>
      </c>
      <c r="E1348">
        <v>357</v>
      </c>
      <c r="F1348">
        <v>251606.78</v>
      </c>
    </row>
    <row r="1349" spans="1:6" x14ac:dyDescent="0.3">
      <c r="A1349">
        <v>2025</v>
      </c>
      <c r="B1349">
        <v>5</v>
      </c>
      <c r="C1349" s="105" t="s">
        <v>41</v>
      </c>
      <c r="D1349" s="105" t="s">
        <v>52</v>
      </c>
      <c r="E1349">
        <v>87</v>
      </c>
      <c r="F1349">
        <v>75628</v>
      </c>
    </row>
    <row r="1350" spans="1:6" x14ac:dyDescent="0.3">
      <c r="A1350">
        <v>2025</v>
      </c>
      <c r="B1350">
        <v>5</v>
      </c>
      <c r="C1350" s="105" t="s">
        <v>41</v>
      </c>
      <c r="D1350" s="105" t="s">
        <v>33</v>
      </c>
      <c r="E1350">
        <v>337</v>
      </c>
      <c r="F1350">
        <v>286074.17</v>
      </c>
    </row>
    <row r="1351" spans="1:6" x14ac:dyDescent="0.3">
      <c r="A1351">
        <v>2025</v>
      </c>
      <c r="B1351">
        <v>5</v>
      </c>
      <c r="C1351" s="105" t="s">
        <v>41</v>
      </c>
      <c r="D1351" s="105" t="s">
        <v>58</v>
      </c>
      <c r="E1351">
        <v>11</v>
      </c>
      <c r="F1351">
        <v>8914</v>
      </c>
    </row>
    <row r="1352" spans="1:6" x14ac:dyDescent="0.3">
      <c r="A1352">
        <v>2025</v>
      </c>
      <c r="B1352">
        <v>5</v>
      </c>
      <c r="C1352" s="105" t="s">
        <v>41</v>
      </c>
      <c r="D1352" s="105" t="s">
        <v>34</v>
      </c>
      <c r="E1352">
        <v>367</v>
      </c>
      <c r="F1352">
        <v>304641.18</v>
      </c>
    </row>
    <row r="1353" spans="1:6" x14ac:dyDescent="0.3">
      <c r="A1353">
        <v>2025</v>
      </c>
      <c r="B1353">
        <v>5</v>
      </c>
      <c r="C1353" s="105" t="s">
        <v>41</v>
      </c>
      <c r="D1353" s="105" t="s">
        <v>56</v>
      </c>
      <c r="E1353">
        <v>18</v>
      </c>
      <c r="F1353">
        <v>15184</v>
      </c>
    </row>
    <row r="1354" spans="1:6" x14ac:dyDescent="0.3">
      <c r="A1354">
        <v>2025</v>
      </c>
      <c r="B1354">
        <v>5</v>
      </c>
      <c r="C1354" s="105" t="s">
        <v>41</v>
      </c>
      <c r="D1354" s="105" t="s">
        <v>57</v>
      </c>
      <c r="E1354">
        <v>26</v>
      </c>
      <c r="F1354">
        <v>21030</v>
      </c>
    </row>
    <row r="1355" spans="1:6" x14ac:dyDescent="0.3">
      <c r="A1355">
        <v>2025</v>
      </c>
      <c r="B1355">
        <v>5</v>
      </c>
      <c r="C1355" s="105" t="s">
        <v>41</v>
      </c>
      <c r="D1355" s="105" t="s">
        <v>49</v>
      </c>
      <c r="E1355">
        <v>53</v>
      </c>
      <c r="F1355">
        <v>38322.620000000003</v>
      </c>
    </row>
    <row r="1356" spans="1:6" x14ac:dyDescent="0.3">
      <c r="A1356">
        <v>2025</v>
      </c>
      <c r="B1356">
        <v>5</v>
      </c>
      <c r="C1356" s="105" t="s">
        <v>41</v>
      </c>
      <c r="D1356" s="105" t="s">
        <v>53</v>
      </c>
      <c r="E1356">
        <v>69</v>
      </c>
      <c r="F1356">
        <v>52738.89</v>
      </c>
    </row>
    <row r="1357" spans="1:6" x14ac:dyDescent="0.3">
      <c r="A1357">
        <v>2025</v>
      </c>
      <c r="B1357">
        <v>5</v>
      </c>
      <c r="C1357" s="105" t="s">
        <v>41</v>
      </c>
      <c r="D1357" s="105" t="s">
        <v>35</v>
      </c>
      <c r="E1357">
        <v>197</v>
      </c>
      <c r="F1357">
        <v>165149.49</v>
      </c>
    </row>
    <row r="1358" spans="1:6" x14ac:dyDescent="0.3">
      <c r="A1358">
        <v>2025</v>
      </c>
      <c r="B1358">
        <v>5</v>
      </c>
      <c r="C1358" s="105" t="s">
        <v>41</v>
      </c>
      <c r="D1358" s="105" t="s">
        <v>36</v>
      </c>
      <c r="E1358">
        <v>250</v>
      </c>
      <c r="F1358">
        <v>200014.44</v>
      </c>
    </row>
    <row r="1359" spans="1:6" x14ac:dyDescent="0.3">
      <c r="A1359">
        <v>2025</v>
      </c>
      <c r="B1359">
        <v>5</v>
      </c>
      <c r="C1359" s="105" t="s">
        <v>41</v>
      </c>
      <c r="D1359" s="105" t="s">
        <v>37</v>
      </c>
      <c r="E1359">
        <v>223</v>
      </c>
      <c r="F1359">
        <v>180874.74</v>
      </c>
    </row>
    <row r="1360" spans="1:6" x14ac:dyDescent="0.3">
      <c r="A1360">
        <v>2025</v>
      </c>
      <c r="B1360">
        <v>6</v>
      </c>
      <c r="C1360" s="105" t="s">
        <v>42</v>
      </c>
      <c r="D1360" s="105" t="s">
        <v>7</v>
      </c>
      <c r="E1360">
        <v>362</v>
      </c>
      <c r="F1360">
        <v>316042.46000000002</v>
      </c>
    </row>
    <row r="1361" spans="1:6" x14ac:dyDescent="0.3">
      <c r="A1361">
        <v>2025</v>
      </c>
      <c r="B1361">
        <v>6</v>
      </c>
      <c r="C1361" s="105" t="s">
        <v>42</v>
      </c>
      <c r="D1361" s="105" t="s">
        <v>8</v>
      </c>
      <c r="E1361">
        <v>196</v>
      </c>
      <c r="F1361">
        <v>167727.07</v>
      </c>
    </row>
    <row r="1362" spans="1:6" x14ac:dyDescent="0.3">
      <c r="A1362">
        <v>2025</v>
      </c>
      <c r="B1362">
        <v>6</v>
      </c>
      <c r="C1362" s="105" t="s">
        <v>42</v>
      </c>
      <c r="D1362" s="105" t="s">
        <v>9</v>
      </c>
      <c r="E1362">
        <v>69</v>
      </c>
      <c r="F1362">
        <v>51273.58</v>
      </c>
    </row>
    <row r="1363" spans="1:6" x14ac:dyDescent="0.3">
      <c r="A1363">
        <v>2025</v>
      </c>
      <c r="B1363">
        <v>6</v>
      </c>
      <c r="C1363" s="105" t="s">
        <v>42</v>
      </c>
      <c r="D1363" s="105" t="s">
        <v>10</v>
      </c>
      <c r="E1363">
        <v>335</v>
      </c>
      <c r="F1363">
        <v>291865.88</v>
      </c>
    </row>
    <row r="1364" spans="1:6" x14ac:dyDescent="0.3">
      <c r="A1364">
        <v>2025</v>
      </c>
      <c r="B1364">
        <v>6</v>
      </c>
      <c r="C1364" s="105" t="s">
        <v>42</v>
      </c>
      <c r="D1364" s="105" t="s">
        <v>11</v>
      </c>
      <c r="E1364">
        <v>299</v>
      </c>
      <c r="F1364">
        <v>232637.99</v>
      </c>
    </row>
    <row r="1365" spans="1:6" x14ac:dyDescent="0.3">
      <c r="A1365">
        <v>2025</v>
      </c>
      <c r="B1365">
        <v>6</v>
      </c>
      <c r="C1365" s="105" t="s">
        <v>42</v>
      </c>
      <c r="D1365" s="105" t="s">
        <v>59</v>
      </c>
      <c r="E1365">
        <v>15</v>
      </c>
      <c r="F1365">
        <v>12976</v>
      </c>
    </row>
    <row r="1366" spans="1:6" x14ac:dyDescent="0.3">
      <c r="A1366">
        <v>2025</v>
      </c>
      <c r="B1366">
        <v>6</v>
      </c>
      <c r="C1366" s="105" t="s">
        <v>42</v>
      </c>
      <c r="D1366" s="105" t="s">
        <v>12</v>
      </c>
      <c r="E1366">
        <v>145</v>
      </c>
      <c r="F1366">
        <v>177956.65</v>
      </c>
    </row>
    <row r="1367" spans="1:6" x14ac:dyDescent="0.3">
      <c r="A1367">
        <v>2025</v>
      </c>
      <c r="B1367">
        <v>6</v>
      </c>
      <c r="C1367" s="105" t="s">
        <v>42</v>
      </c>
      <c r="D1367" s="105" t="s">
        <v>13</v>
      </c>
      <c r="E1367">
        <v>144</v>
      </c>
      <c r="F1367">
        <v>116583.28</v>
      </c>
    </row>
    <row r="1368" spans="1:6" x14ac:dyDescent="0.3">
      <c r="A1368">
        <v>2025</v>
      </c>
      <c r="B1368">
        <v>6</v>
      </c>
      <c r="C1368" s="105" t="s">
        <v>42</v>
      </c>
      <c r="D1368" s="105" t="s">
        <v>14</v>
      </c>
      <c r="E1368">
        <v>190</v>
      </c>
      <c r="F1368">
        <v>126766.2</v>
      </c>
    </row>
    <row r="1369" spans="1:6" x14ac:dyDescent="0.3">
      <c r="A1369">
        <v>2025</v>
      </c>
      <c r="B1369">
        <v>6</v>
      </c>
      <c r="C1369" s="105" t="s">
        <v>42</v>
      </c>
      <c r="D1369" s="105" t="s">
        <v>15</v>
      </c>
      <c r="E1369">
        <v>60</v>
      </c>
      <c r="F1369">
        <v>48694.01</v>
      </c>
    </row>
    <row r="1370" spans="1:6" x14ac:dyDescent="0.3">
      <c r="A1370">
        <v>2025</v>
      </c>
      <c r="B1370">
        <v>6</v>
      </c>
      <c r="C1370" s="105" t="s">
        <v>42</v>
      </c>
      <c r="D1370" s="105" t="s">
        <v>16</v>
      </c>
      <c r="E1370">
        <v>138</v>
      </c>
      <c r="F1370">
        <v>118312.2</v>
      </c>
    </row>
    <row r="1371" spans="1:6" x14ac:dyDescent="0.3">
      <c r="A1371">
        <v>2025</v>
      </c>
      <c r="B1371">
        <v>6</v>
      </c>
      <c r="C1371" s="105" t="s">
        <v>42</v>
      </c>
      <c r="D1371" s="105" t="s">
        <v>54</v>
      </c>
      <c r="E1371">
        <v>65</v>
      </c>
      <c r="F1371">
        <v>53820</v>
      </c>
    </row>
    <row r="1372" spans="1:6" x14ac:dyDescent="0.3">
      <c r="A1372">
        <v>2025</v>
      </c>
      <c r="B1372">
        <v>6</v>
      </c>
      <c r="C1372" s="105" t="s">
        <v>42</v>
      </c>
      <c r="D1372" s="105" t="s">
        <v>17</v>
      </c>
      <c r="E1372">
        <v>493</v>
      </c>
      <c r="F1372">
        <v>412156.4</v>
      </c>
    </row>
    <row r="1373" spans="1:6" x14ac:dyDescent="0.3">
      <c r="A1373">
        <v>2025</v>
      </c>
      <c r="B1373">
        <v>6</v>
      </c>
      <c r="C1373" s="105" t="s">
        <v>42</v>
      </c>
      <c r="D1373" s="105" t="s">
        <v>18</v>
      </c>
      <c r="E1373">
        <v>436</v>
      </c>
      <c r="F1373">
        <v>376461.46</v>
      </c>
    </row>
    <row r="1374" spans="1:6" x14ac:dyDescent="0.3">
      <c r="A1374">
        <v>2025</v>
      </c>
      <c r="B1374">
        <v>6</v>
      </c>
      <c r="C1374" s="105" t="s">
        <v>42</v>
      </c>
      <c r="D1374" s="105" t="s">
        <v>50</v>
      </c>
      <c r="E1374">
        <v>208</v>
      </c>
      <c r="F1374">
        <v>174278.37</v>
      </c>
    </row>
    <row r="1375" spans="1:6" x14ac:dyDescent="0.3">
      <c r="A1375">
        <v>2025</v>
      </c>
      <c r="B1375">
        <v>6</v>
      </c>
      <c r="C1375" s="105" t="s">
        <v>42</v>
      </c>
      <c r="D1375" s="105" t="s">
        <v>55</v>
      </c>
      <c r="E1375">
        <v>49</v>
      </c>
      <c r="F1375">
        <v>35456.639999999999</v>
      </c>
    </row>
    <row r="1376" spans="1:6" x14ac:dyDescent="0.3">
      <c r="A1376">
        <v>2025</v>
      </c>
      <c r="B1376">
        <v>6</v>
      </c>
      <c r="C1376" s="105" t="s">
        <v>42</v>
      </c>
      <c r="D1376" s="105" t="s">
        <v>19</v>
      </c>
      <c r="E1376">
        <v>156</v>
      </c>
      <c r="F1376">
        <v>109454.27</v>
      </c>
    </row>
    <row r="1377" spans="1:6" x14ac:dyDescent="0.3">
      <c r="A1377">
        <v>2025</v>
      </c>
      <c r="B1377">
        <v>6</v>
      </c>
      <c r="C1377" s="105" t="s">
        <v>42</v>
      </c>
      <c r="D1377" s="105" t="s">
        <v>20</v>
      </c>
      <c r="E1377">
        <v>198</v>
      </c>
      <c r="F1377">
        <v>143403.69</v>
      </c>
    </row>
    <row r="1378" spans="1:6" x14ac:dyDescent="0.3">
      <c r="A1378">
        <v>2025</v>
      </c>
      <c r="B1378">
        <v>6</v>
      </c>
      <c r="C1378" s="105" t="s">
        <v>42</v>
      </c>
      <c r="D1378" s="105" t="s">
        <v>21</v>
      </c>
      <c r="E1378">
        <v>322</v>
      </c>
      <c r="F1378">
        <v>277466.19</v>
      </c>
    </row>
    <row r="1379" spans="1:6" x14ac:dyDescent="0.3">
      <c r="A1379">
        <v>2025</v>
      </c>
      <c r="B1379">
        <v>6</v>
      </c>
      <c r="C1379" s="105" t="s">
        <v>42</v>
      </c>
      <c r="D1379" s="105" t="s">
        <v>22</v>
      </c>
      <c r="E1379">
        <v>134</v>
      </c>
      <c r="F1379">
        <v>90904.34</v>
      </c>
    </row>
    <row r="1380" spans="1:6" x14ac:dyDescent="0.3">
      <c r="A1380">
        <v>2025</v>
      </c>
      <c r="B1380">
        <v>6</v>
      </c>
      <c r="C1380" s="105" t="s">
        <v>42</v>
      </c>
      <c r="D1380" s="105" t="s">
        <v>23</v>
      </c>
      <c r="E1380">
        <v>265</v>
      </c>
      <c r="F1380">
        <v>248095.87</v>
      </c>
    </row>
    <row r="1381" spans="1:6" x14ac:dyDescent="0.3">
      <c r="A1381">
        <v>2025</v>
      </c>
      <c r="B1381">
        <v>6</v>
      </c>
      <c r="C1381" s="105" t="s">
        <v>42</v>
      </c>
      <c r="D1381" s="105" t="s">
        <v>24</v>
      </c>
      <c r="E1381">
        <v>200</v>
      </c>
      <c r="F1381">
        <v>140268.71</v>
      </c>
    </row>
    <row r="1382" spans="1:6" x14ac:dyDescent="0.3">
      <c r="A1382">
        <v>2025</v>
      </c>
      <c r="B1382">
        <v>6</v>
      </c>
      <c r="C1382" s="105" t="s">
        <v>42</v>
      </c>
      <c r="D1382" s="105" t="s">
        <v>25</v>
      </c>
      <c r="E1382">
        <v>312</v>
      </c>
      <c r="F1382">
        <v>237492.95</v>
      </c>
    </row>
    <row r="1383" spans="1:6" x14ac:dyDescent="0.3">
      <c r="A1383">
        <v>2025</v>
      </c>
      <c r="B1383">
        <v>6</v>
      </c>
      <c r="C1383" s="105" t="s">
        <v>42</v>
      </c>
      <c r="D1383" s="105" t="s">
        <v>26</v>
      </c>
      <c r="E1383">
        <v>228</v>
      </c>
      <c r="F1383">
        <v>192088.22</v>
      </c>
    </row>
    <row r="1384" spans="1:6" x14ac:dyDescent="0.3">
      <c r="A1384">
        <v>2025</v>
      </c>
      <c r="B1384">
        <v>6</v>
      </c>
      <c r="C1384" s="105" t="s">
        <v>42</v>
      </c>
      <c r="D1384" s="105" t="s">
        <v>27</v>
      </c>
      <c r="E1384">
        <v>255</v>
      </c>
      <c r="F1384">
        <v>215200.94</v>
      </c>
    </row>
    <row r="1385" spans="1:6" x14ac:dyDescent="0.3">
      <c r="A1385">
        <v>2025</v>
      </c>
      <c r="B1385">
        <v>6</v>
      </c>
      <c r="C1385" s="105" t="s">
        <v>42</v>
      </c>
      <c r="D1385" s="105" t="s">
        <v>28</v>
      </c>
      <c r="E1385">
        <v>98</v>
      </c>
      <c r="F1385">
        <v>69641.789999999994</v>
      </c>
    </row>
    <row r="1386" spans="1:6" x14ac:dyDescent="0.3">
      <c r="A1386">
        <v>2025</v>
      </c>
      <c r="B1386">
        <v>6</v>
      </c>
      <c r="C1386" s="105" t="s">
        <v>42</v>
      </c>
      <c r="D1386" s="105" t="s">
        <v>29</v>
      </c>
      <c r="E1386">
        <v>294</v>
      </c>
      <c r="F1386">
        <v>235949.55</v>
      </c>
    </row>
    <row r="1387" spans="1:6" x14ac:dyDescent="0.3">
      <c r="A1387">
        <v>2025</v>
      </c>
      <c r="B1387">
        <v>6</v>
      </c>
      <c r="C1387" s="105" t="s">
        <v>42</v>
      </c>
      <c r="D1387" s="105" t="s">
        <v>30</v>
      </c>
      <c r="E1387">
        <v>88</v>
      </c>
      <c r="F1387">
        <v>73782.59</v>
      </c>
    </row>
    <row r="1388" spans="1:6" x14ac:dyDescent="0.3">
      <c r="A1388">
        <v>2025</v>
      </c>
      <c r="B1388">
        <v>6</v>
      </c>
      <c r="C1388" s="105" t="s">
        <v>42</v>
      </c>
      <c r="D1388" s="105" t="s">
        <v>31</v>
      </c>
      <c r="E1388">
        <v>501</v>
      </c>
      <c r="F1388">
        <v>441457.16</v>
      </c>
    </row>
    <row r="1389" spans="1:6" x14ac:dyDescent="0.3">
      <c r="A1389">
        <v>2025</v>
      </c>
      <c r="B1389">
        <v>6</v>
      </c>
      <c r="C1389" s="105" t="s">
        <v>42</v>
      </c>
      <c r="D1389" s="105" t="s">
        <v>51</v>
      </c>
      <c r="E1389">
        <v>131</v>
      </c>
      <c r="F1389">
        <v>84709.5</v>
      </c>
    </row>
    <row r="1390" spans="1:6" x14ac:dyDescent="0.3">
      <c r="A1390">
        <v>2025</v>
      </c>
      <c r="B1390">
        <v>6</v>
      </c>
      <c r="C1390" s="105" t="s">
        <v>42</v>
      </c>
      <c r="D1390" s="105" t="s">
        <v>32</v>
      </c>
      <c r="E1390">
        <v>291</v>
      </c>
      <c r="F1390">
        <v>233411.26</v>
      </c>
    </row>
    <row r="1391" spans="1:6" x14ac:dyDescent="0.3">
      <c r="A1391">
        <v>2025</v>
      </c>
      <c r="B1391">
        <v>6</v>
      </c>
      <c r="C1391" s="105" t="s">
        <v>42</v>
      </c>
      <c r="D1391" s="105" t="s">
        <v>52</v>
      </c>
      <c r="E1391">
        <v>114</v>
      </c>
      <c r="F1391">
        <v>98453.89</v>
      </c>
    </row>
    <row r="1392" spans="1:6" x14ac:dyDescent="0.3">
      <c r="A1392">
        <v>2025</v>
      </c>
      <c r="B1392">
        <v>6</v>
      </c>
      <c r="C1392" s="105" t="s">
        <v>42</v>
      </c>
      <c r="D1392" s="105" t="s">
        <v>33</v>
      </c>
      <c r="E1392">
        <v>401</v>
      </c>
      <c r="F1392">
        <v>339269.78</v>
      </c>
    </row>
    <row r="1393" spans="1:6" x14ac:dyDescent="0.3">
      <c r="A1393">
        <v>2025</v>
      </c>
      <c r="B1393">
        <v>6</v>
      </c>
      <c r="C1393" s="105" t="s">
        <v>42</v>
      </c>
      <c r="D1393" s="105" t="s">
        <v>58</v>
      </c>
      <c r="E1393">
        <v>29</v>
      </c>
      <c r="F1393">
        <v>21026</v>
      </c>
    </row>
    <row r="1394" spans="1:6" x14ac:dyDescent="0.3">
      <c r="A1394">
        <v>2025</v>
      </c>
      <c r="B1394">
        <v>6</v>
      </c>
      <c r="C1394" s="105" t="s">
        <v>42</v>
      </c>
      <c r="D1394" s="105" t="s">
        <v>34</v>
      </c>
      <c r="E1394">
        <v>477</v>
      </c>
      <c r="F1394">
        <v>387012.68</v>
      </c>
    </row>
    <row r="1395" spans="1:6" x14ac:dyDescent="0.3">
      <c r="A1395">
        <v>2025</v>
      </c>
      <c r="B1395">
        <v>6</v>
      </c>
      <c r="C1395" s="105" t="s">
        <v>42</v>
      </c>
      <c r="D1395" s="105" t="s">
        <v>56</v>
      </c>
      <c r="E1395">
        <v>56</v>
      </c>
      <c r="F1395">
        <v>47212</v>
      </c>
    </row>
    <row r="1396" spans="1:6" x14ac:dyDescent="0.3">
      <c r="A1396">
        <v>2025</v>
      </c>
      <c r="B1396">
        <v>6</v>
      </c>
      <c r="C1396" s="105" t="s">
        <v>42</v>
      </c>
      <c r="D1396" s="105" t="s">
        <v>57</v>
      </c>
      <c r="E1396">
        <v>39</v>
      </c>
      <c r="F1396">
        <v>33617.370000000003</v>
      </c>
    </row>
    <row r="1397" spans="1:6" x14ac:dyDescent="0.3">
      <c r="A1397">
        <v>2025</v>
      </c>
      <c r="B1397">
        <v>6</v>
      </c>
      <c r="C1397" s="105" t="s">
        <v>42</v>
      </c>
      <c r="D1397" s="105" t="s">
        <v>49</v>
      </c>
      <c r="E1397">
        <v>56</v>
      </c>
      <c r="F1397">
        <v>39826</v>
      </c>
    </row>
    <row r="1398" spans="1:6" x14ac:dyDescent="0.3">
      <c r="A1398">
        <v>2025</v>
      </c>
      <c r="B1398">
        <v>6</v>
      </c>
      <c r="C1398" s="105" t="s">
        <v>42</v>
      </c>
      <c r="D1398" s="105" t="s">
        <v>53</v>
      </c>
      <c r="E1398">
        <v>159</v>
      </c>
      <c r="F1398">
        <v>116905.67</v>
      </c>
    </row>
    <row r="1399" spans="1:6" x14ac:dyDescent="0.3">
      <c r="A1399">
        <v>2025</v>
      </c>
      <c r="B1399">
        <v>6</v>
      </c>
      <c r="C1399" s="105" t="s">
        <v>42</v>
      </c>
      <c r="D1399" s="105" t="s">
        <v>35</v>
      </c>
      <c r="E1399">
        <v>254</v>
      </c>
      <c r="F1399">
        <v>204637.43</v>
      </c>
    </row>
    <row r="1400" spans="1:6" x14ac:dyDescent="0.3">
      <c r="A1400">
        <v>2025</v>
      </c>
      <c r="B1400">
        <v>6</v>
      </c>
      <c r="C1400" s="105" t="s">
        <v>42</v>
      </c>
      <c r="D1400" s="105" t="s">
        <v>36</v>
      </c>
      <c r="E1400">
        <v>230</v>
      </c>
      <c r="F1400">
        <v>181654.81</v>
      </c>
    </row>
    <row r="1401" spans="1:6" x14ac:dyDescent="0.3">
      <c r="A1401">
        <v>2025</v>
      </c>
      <c r="B1401">
        <v>6</v>
      </c>
      <c r="C1401" s="105" t="s">
        <v>42</v>
      </c>
      <c r="D1401" s="105" t="s">
        <v>37</v>
      </c>
      <c r="E1401">
        <v>245</v>
      </c>
      <c r="F1401">
        <v>198135.57</v>
      </c>
    </row>
    <row r="1402" spans="1:6" x14ac:dyDescent="0.3">
      <c r="A1402">
        <v>2025</v>
      </c>
      <c r="B1402">
        <v>7</v>
      </c>
      <c r="C1402" s="105" t="s">
        <v>43</v>
      </c>
      <c r="D1402" s="105" t="s">
        <v>7</v>
      </c>
      <c r="E1402">
        <v>460</v>
      </c>
      <c r="F1402">
        <v>393441.95</v>
      </c>
    </row>
    <row r="1403" spans="1:6" x14ac:dyDescent="0.3">
      <c r="A1403">
        <v>2025</v>
      </c>
      <c r="B1403">
        <v>7</v>
      </c>
      <c r="C1403" s="105" t="s">
        <v>43</v>
      </c>
      <c r="D1403" s="105" t="s">
        <v>8</v>
      </c>
      <c r="E1403">
        <v>239</v>
      </c>
      <c r="F1403">
        <v>165368.42000000001</v>
      </c>
    </row>
    <row r="1404" spans="1:6" x14ac:dyDescent="0.3">
      <c r="A1404">
        <v>2025</v>
      </c>
      <c r="B1404">
        <v>7</v>
      </c>
      <c r="C1404" s="105" t="s">
        <v>43</v>
      </c>
      <c r="D1404" s="105" t="s">
        <v>9</v>
      </c>
      <c r="E1404">
        <v>99</v>
      </c>
      <c r="F1404">
        <v>69503.320000000007</v>
      </c>
    </row>
    <row r="1405" spans="1:6" x14ac:dyDescent="0.3">
      <c r="A1405">
        <v>2025</v>
      </c>
      <c r="B1405">
        <v>7</v>
      </c>
      <c r="C1405" s="105" t="s">
        <v>43</v>
      </c>
      <c r="D1405" s="105" t="s">
        <v>10</v>
      </c>
      <c r="E1405">
        <v>336</v>
      </c>
      <c r="F1405">
        <v>304791.51</v>
      </c>
    </row>
    <row r="1406" spans="1:6" x14ac:dyDescent="0.3">
      <c r="A1406">
        <v>2025</v>
      </c>
      <c r="B1406">
        <v>7</v>
      </c>
      <c r="C1406" s="105" t="s">
        <v>43</v>
      </c>
      <c r="D1406" s="105" t="s">
        <v>11</v>
      </c>
      <c r="E1406">
        <v>302</v>
      </c>
      <c r="F1406">
        <v>241942.38</v>
      </c>
    </row>
    <row r="1407" spans="1:6" x14ac:dyDescent="0.3">
      <c r="A1407">
        <v>2025</v>
      </c>
      <c r="B1407">
        <v>7</v>
      </c>
      <c r="C1407" s="105" t="s">
        <v>43</v>
      </c>
      <c r="D1407" s="105" t="s">
        <v>59</v>
      </c>
      <c r="E1407">
        <v>36</v>
      </c>
      <c r="F1407">
        <v>31893</v>
      </c>
    </row>
    <row r="1408" spans="1:6" x14ac:dyDescent="0.3">
      <c r="A1408">
        <v>2025</v>
      </c>
      <c r="B1408">
        <v>7</v>
      </c>
      <c r="C1408" s="105" t="s">
        <v>43</v>
      </c>
      <c r="D1408" s="105" t="s">
        <v>12</v>
      </c>
      <c r="E1408">
        <v>122</v>
      </c>
      <c r="F1408">
        <v>150472.45000000001</v>
      </c>
    </row>
    <row r="1409" spans="1:6" x14ac:dyDescent="0.3">
      <c r="A1409">
        <v>2025</v>
      </c>
      <c r="B1409">
        <v>7</v>
      </c>
      <c r="C1409" s="105" t="s">
        <v>43</v>
      </c>
      <c r="D1409" s="105" t="s">
        <v>13</v>
      </c>
      <c r="E1409">
        <v>195</v>
      </c>
      <c r="F1409">
        <v>200174.47</v>
      </c>
    </row>
    <row r="1410" spans="1:6" x14ac:dyDescent="0.3">
      <c r="A1410">
        <v>2025</v>
      </c>
      <c r="B1410">
        <v>7</v>
      </c>
      <c r="C1410" s="105" t="s">
        <v>43</v>
      </c>
      <c r="D1410" s="105" t="s">
        <v>14</v>
      </c>
      <c r="E1410">
        <v>262</v>
      </c>
      <c r="F1410">
        <v>182701.67</v>
      </c>
    </row>
    <row r="1411" spans="1:6" x14ac:dyDescent="0.3">
      <c r="A1411">
        <v>2025</v>
      </c>
      <c r="B1411">
        <v>7</v>
      </c>
      <c r="C1411" s="105" t="s">
        <v>43</v>
      </c>
      <c r="D1411" s="105" t="s">
        <v>15</v>
      </c>
      <c r="E1411">
        <v>66</v>
      </c>
      <c r="F1411">
        <v>43156.23</v>
      </c>
    </row>
    <row r="1412" spans="1:6" x14ac:dyDescent="0.3">
      <c r="A1412">
        <v>2025</v>
      </c>
      <c r="B1412">
        <v>7</v>
      </c>
      <c r="C1412" s="105" t="s">
        <v>43</v>
      </c>
      <c r="D1412" s="105" t="s">
        <v>16</v>
      </c>
      <c r="E1412">
        <v>117</v>
      </c>
      <c r="F1412">
        <v>106249.39</v>
      </c>
    </row>
    <row r="1413" spans="1:6" x14ac:dyDescent="0.3">
      <c r="A1413">
        <v>2025</v>
      </c>
      <c r="B1413">
        <v>7</v>
      </c>
      <c r="C1413" s="105" t="s">
        <v>43</v>
      </c>
      <c r="D1413" s="105" t="s">
        <v>54</v>
      </c>
      <c r="E1413">
        <v>120</v>
      </c>
      <c r="F1413">
        <v>99062.399999999994</v>
      </c>
    </row>
    <row r="1414" spans="1:6" x14ac:dyDescent="0.3">
      <c r="A1414">
        <v>2025</v>
      </c>
      <c r="B1414">
        <v>7</v>
      </c>
      <c r="C1414" s="105" t="s">
        <v>43</v>
      </c>
      <c r="D1414" s="105" t="s">
        <v>17</v>
      </c>
      <c r="E1414">
        <v>611</v>
      </c>
      <c r="F1414">
        <v>498953.98</v>
      </c>
    </row>
    <row r="1415" spans="1:6" x14ac:dyDescent="0.3">
      <c r="A1415">
        <v>2025</v>
      </c>
      <c r="B1415">
        <v>7</v>
      </c>
      <c r="C1415" s="105" t="s">
        <v>43</v>
      </c>
      <c r="D1415" s="105" t="s">
        <v>18</v>
      </c>
      <c r="E1415">
        <v>496</v>
      </c>
      <c r="F1415">
        <v>411642.6</v>
      </c>
    </row>
    <row r="1416" spans="1:6" x14ac:dyDescent="0.3">
      <c r="A1416">
        <v>2025</v>
      </c>
      <c r="B1416">
        <v>7</v>
      </c>
      <c r="C1416" s="105" t="s">
        <v>43</v>
      </c>
      <c r="D1416" s="105" t="s">
        <v>50</v>
      </c>
      <c r="E1416">
        <v>257</v>
      </c>
      <c r="F1416">
        <v>206461.93</v>
      </c>
    </row>
    <row r="1417" spans="1:6" x14ac:dyDescent="0.3">
      <c r="A1417">
        <v>2025</v>
      </c>
      <c r="B1417">
        <v>7</v>
      </c>
      <c r="C1417" s="105" t="s">
        <v>43</v>
      </c>
      <c r="D1417" s="105" t="s">
        <v>55</v>
      </c>
      <c r="E1417">
        <v>103</v>
      </c>
      <c r="F1417">
        <v>75260.84</v>
      </c>
    </row>
    <row r="1418" spans="1:6" x14ac:dyDescent="0.3">
      <c r="A1418">
        <v>2025</v>
      </c>
      <c r="B1418">
        <v>7</v>
      </c>
      <c r="C1418" s="105" t="s">
        <v>43</v>
      </c>
      <c r="D1418" s="105" t="s">
        <v>19</v>
      </c>
      <c r="E1418">
        <v>154</v>
      </c>
      <c r="F1418">
        <v>108686.36</v>
      </c>
    </row>
    <row r="1419" spans="1:6" x14ac:dyDescent="0.3">
      <c r="A1419">
        <v>2025</v>
      </c>
      <c r="B1419">
        <v>7</v>
      </c>
      <c r="C1419" s="105" t="s">
        <v>43</v>
      </c>
      <c r="D1419" s="105" t="s">
        <v>20</v>
      </c>
      <c r="E1419">
        <v>231</v>
      </c>
      <c r="F1419">
        <v>174095.08</v>
      </c>
    </row>
    <row r="1420" spans="1:6" x14ac:dyDescent="0.3">
      <c r="A1420">
        <v>2025</v>
      </c>
      <c r="B1420">
        <v>7</v>
      </c>
      <c r="C1420" s="105" t="s">
        <v>43</v>
      </c>
      <c r="D1420" s="105" t="s">
        <v>21</v>
      </c>
      <c r="E1420">
        <v>386</v>
      </c>
      <c r="F1420">
        <v>324660.87</v>
      </c>
    </row>
    <row r="1421" spans="1:6" x14ac:dyDescent="0.3">
      <c r="A1421">
        <v>2025</v>
      </c>
      <c r="B1421">
        <v>7</v>
      </c>
      <c r="C1421" s="105" t="s">
        <v>43</v>
      </c>
      <c r="D1421" s="105" t="s">
        <v>22</v>
      </c>
      <c r="E1421">
        <v>128</v>
      </c>
      <c r="F1421">
        <v>87240.75</v>
      </c>
    </row>
    <row r="1422" spans="1:6" x14ac:dyDescent="0.3">
      <c r="A1422">
        <v>2025</v>
      </c>
      <c r="B1422">
        <v>7</v>
      </c>
      <c r="C1422" s="105" t="s">
        <v>43</v>
      </c>
      <c r="D1422" s="105" t="s">
        <v>23</v>
      </c>
      <c r="E1422">
        <v>294</v>
      </c>
      <c r="F1422">
        <v>263278.46000000002</v>
      </c>
    </row>
    <row r="1423" spans="1:6" x14ac:dyDescent="0.3">
      <c r="A1423">
        <v>2025</v>
      </c>
      <c r="B1423">
        <v>7</v>
      </c>
      <c r="C1423" s="105" t="s">
        <v>43</v>
      </c>
      <c r="D1423" s="105" t="s">
        <v>24</v>
      </c>
      <c r="E1423">
        <v>244</v>
      </c>
      <c r="F1423">
        <v>168605.25</v>
      </c>
    </row>
    <row r="1424" spans="1:6" x14ac:dyDescent="0.3">
      <c r="A1424">
        <v>2025</v>
      </c>
      <c r="B1424">
        <v>7</v>
      </c>
      <c r="C1424" s="105" t="s">
        <v>43</v>
      </c>
      <c r="D1424" s="105" t="s">
        <v>25</v>
      </c>
      <c r="E1424">
        <v>343</v>
      </c>
      <c r="F1424">
        <v>254837.46</v>
      </c>
    </row>
    <row r="1425" spans="1:6" x14ac:dyDescent="0.3">
      <c r="A1425">
        <v>2025</v>
      </c>
      <c r="B1425">
        <v>7</v>
      </c>
      <c r="C1425" s="105" t="s">
        <v>43</v>
      </c>
      <c r="D1425" s="105" t="s">
        <v>26</v>
      </c>
      <c r="E1425">
        <v>246</v>
      </c>
      <c r="F1425">
        <v>196417.1</v>
      </c>
    </row>
    <row r="1426" spans="1:6" x14ac:dyDescent="0.3">
      <c r="A1426">
        <v>2025</v>
      </c>
      <c r="B1426">
        <v>7</v>
      </c>
      <c r="C1426" s="105" t="s">
        <v>43</v>
      </c>
      <c r="D1426" s="105" t="s">
        <v>27</v>
      </c>
      <c r="E1426">
        <v>262</v>
      </c>
      <c r="F1426">
        <v>218636.1</v>
      </c>
    </row>
    <row r="1427" spans="1:6" x14ac:dyDescent="0.3">
      <c r="A1427">
        <v>2025</v>
      </c>
      <c r="B1427">
        <v>7</v>
      </c>
      <c r="C1427" s="105" t="s">
        <v>43</v>
      </c>
      <c r="D1427" s="105" t="s">
        <v>28</v>
      </c>
      <c r="E1427">
        <v>112</v>
      </c>
      <c r="F1427">
        <v>78131.98</v>
      </c>
    </row>
    <row r="1428" spans="1:6" x14ac:dyDescent="0.3">
      <c r="A1428">
        <v>2025</v>
      </c>
      <c r="B1428">
        <v>7</v>
      </c>
      <c r="C1428" s="105" t="s">
        <v>43</v>
      </c>
      <c r="D1428" s="105" t="s">
        <v>29</v>
      </c>
      <c r="E1428">
        <v>357</v>
      </c>
      <c r="F1428">
        <v>283473.49</v>
      </c>
    </row>
    <row r="1429" spans="1:6" x14ac:dyDescent="0.3">
      <c r="A1429">
        <v>2025</v>
      </c>
      <c r="B1429">
        <v>7</v>
      </c>
      <c r="C1429" s="105" t="s">
        <v>43</v>
      </c>
      <c r="D1429" s="105" t="s">
        <v>30</v>
      </c>
      <c r="E1429">
        <v>76</v>
      </c>
      <c r="F1429">
        <v>57635.7</v>
      </c>
    </row>
    <row r="1430" spans="1:6" x14ac:dyDescent="0.3">
      <c r="A1430">
        <v>2025</v>
      </c>
      <c r="B1430">
        <v>7</v>
      </c>
      <c r="C1430" s="105" t="s">
        <v>43</v>
      </c>
      <c r="D1430" s="105" t="s">
        <v>31</v>
      </c>
      <c r="E1430">
        <v>544</v>
      </c>
      <c r="F1430">
        <v>472159.06</v>
      </c>
    </row>
    <row r="1431" spans="1:6" x14ac:dyDescent="0.3">
      <c r="A1431">
        <v>2025</v>
      </c>
      <c r="B1431">
        <v>7</v>
      </c>
      <c r="C1431" s="105" t="s">
        <v>43</v>
      </c>
      <c r="D1431" s="105" t="s">
        <v>51</v>
      </c>
      <c r="E1431">
        <v>161</v>
      </c>
      <c r="F1431">
        <v>115932.25</v>
      </c>
    </row>
    <row r="1432" spans="1:6" x14ac:dyDescent="0.3">
      <c r="A1432">
        <v>2025</v>
      </c>
      <c r="B1432">
        <v>7</v>
      </c>
      <c r="C1432" s="105" t="s">
        <v>43</v>
      </c>
      <c r="D1432" s="105" t="s">
        <v>32</v>
      </c>
      <c r="E1432">
        <v>213</v>
      </c>
      <c r="F1432">
        <v>173608.69</v>
      </c>
    </row>
    <row r="1433" spans="1:6" x14ac:dyDescent="0.3">
      <c r="A1433">
        <v>2025</v>
      </c>
      <c r="B1433">
        <v>7</v>
      </c>
      <c r="C1433" s="105" t="s">
        <v>43</v>
      </c>
      <c r="D1433" s="105" t="s">
        <v>52</v>
      </c>
      <c r="E1433">
        <v>146</v>
      </c>
      <c r="F1433">
        <v>122918.67</v>
      </c>
    </row>
    <row r="1434" spans="1:6" x14ac:dyDescent="0.3">
      <c r="A1434">
        <v>2025</v>
      </c>
      <c r="B1434">
        <v>7</v>
      </c>
      <c r="C1434" s="105" t="s">
        <v>43</v>
      </c>
      <c r="D1434" s="105" t="s">
        <v>33</v>
      </c>
      <c r="E1434">
        <v>522</v>
      </c>
      <c r="F1434">
        <v>436936.23</v>
      </c>
    </row>
    <row r="1435" spans="1:6" x14ac:dyDescent="0.3">
      <c r="A1435">
        <v>2025</v>
      </c>
      <c r="B1435">
        <v>7</v>
      </c>
      <c r="C1435" s="105" t="s">
        <v>43</v>
      </c>
      <c r="D1435" s="105" t="s">
        <v>58</v>
      </c>
      <c r="E1435">
        <v>30</v>
      </c>
      <c r="F1435">
        <v>22469</v>
      </c>
    </row>
    <row r="1436" spans="1:6" x14ac:dyDescent="0.3">
      <c r="A1436">
        <v>2025</v>
      </c>
      <c r="B1436">
        <v>7</v>
      </c>
      <c r="C1436" s="105" t="s">
        <v>43</v>
      </c>
      <c r="D1436" s="105" t="s">
        <v>34</v>
      </c>
      <c r="E1436">
        <v>600</v>
      </c>
      <c r="F1436">
        <v>479762.71</v>
      </c>
    </row>
    <row r="1437" spans="1:6" x14ac:dyDescent="0.3">
      <c r="A1437">
        <v>2025</v>
      </c>
      <c r="B1437">
        <v>7</v>
      </c>
      <c r="C1437" s="105" t="s">
        <v>43</v>
      </c>
      <c r="D1437" s="105" t="s">
        <v>56</v>
      </c>
      <c r="E1437">
        <v>87</v>
      </c>
      <c r="F1437">
        <v>71503.08</v>
      </c>
    </row>
    <row r="1438" spans="1:6" x14ac:dyDescent="0.3">
      <c r="A1438">
        <v>2025</v>
      </c>
      <c r="B1438">
        <v>7</v>
      </c>
      <c r="C1438" s="105" t="s">
        <v>43</v>
      </c>
      <c r="D1438" s="105" t="s">
        <v>57</v>
      </c>
      <c r="E1438">
        <v>59</v>
      </c>
      <c r="F1438">
        <v>49536</v>
      </c>
    </row>
    <row r="1439" spans="1:6" x14ac:dyDescent="0.3">
      <c r="A1439">
        <v>2025</v>
      </c>
      <c r="B1439">
        <v>7</v>
      </c>
      <c r="C1439" s="105" t="s">
        <v>43</v>
      </c>
      <c r="D1439" s="105" t="s">
        <v>49</v>
      </c>
      <c r="E1439">
        <v>199</v>
      </c>
      <c r="F1439">
        <v>129775.55</v>
      </c>
    </row>
    <row r="1440" spans="1:6" x14ac:dyDescent="0.3">
      <c r="A1440">
        <v>2025</v>
      </c>
      <c r="B1440">
        <v>7</v>
      </c>
      <c r="C1440" s="105" t="s">
        <v>43</v>
      </c>
      <c r="D1440" s="105" t="s">
        <v>53</v>
      </c>
      <c r="E1440">
        <v>209</v>
      </c>
      <c r="F1440">
        <v>147216.92000000001</v>
      </c>
    </row>
    <row r="1441" spans="1:6" x14ac:dyDescent="0.3">
      <c r="A1441">
        <v>2025</v>
      </c>
      <c r="B1441">
        <v>7</v>
      </c>
      <c r="C1441" s="105" t="s">
        <v>43</v>
      </c>
      <c r="D1441" s="105" t="s">
        <v>35</v>
      </c>
      <c r="E1441">
        <v>295</v>
      </c>
      <c r="F1441">
        <v>240400.8</v>
      </c>
    </row>
    <row r="1442" spans="1:6" x14ac:dyDescent="0.3">
      <c r="A1442">
        <v>2025</v>
      </c>
      <c r="B1442">
        <v>7</v>
      </c>
      <c r="C1442" s="105" t="s">
        <v>43</v>
      </c>
      <c r="D1442" s="105" t="s">
        <v>36</v>
      </c>
      <c r="E1442">
        <v>192</v>
      </c>
      <c r="F1442">
        <v>145912</v>
      </c>
    </row>
    <row r="1443" spans="1:6" x14ac:dyDescent="0.3">
      <c r="A1443">
        <v>2025</v>
      </c>
      <c r="B1443">
        <v>7</v>
      </c>
      <c r="C1443" s="105" t="s">
        <v>43</v>
      </c>
      <c r="D1443" s="105" t="s">
        <v>37</v>
      </c>
      <c r="E1443">
        <v>341</v>
      </c>
      <c r="F1443">
        <v>282265.82</v>
      </c>
    </row>
    <row r="1444" spans="1:6" x14ac:dyDescent="0.3">
      <c r="A1444">
        <v>2025</v>
      </c>
      <c r="B1444">
        <v>8</v>
      </c>
      <c r="C1444" s="105" t="s">
        <v>44</v>
      </c>
      <c r="D1444" s="105" t="s">
        <v>7</v>
      </c>
      <c r="E1444">
        <v>318</v>
      </c>
      <c r="F1444">
        <v>264109.01</v>
      </c>
    </row>
    <row r="1445" spans="1:6" x14ac:dyDescent="0.3">
      <c r="A1445">
        <v>2025</v>
      </c>
      <c r="B1445">
        <v>8</v>
      </c>
      <c r="C1445" s="105" t="s">
        <v>44</v>
      </c>
      <c r="D1445" s="105" t="s">
        <v>8</v>
      </c>
      <c r="E1445">
        <v>218</v>
      </c>
      <c r="F1445">
        <v>152503.01</v>
      </c>
    </row>
    <row r="1446" spans="1:6" x14ac:dyDescent="0.3">
      <c r="A1446">
        <v>2025</v>
      </c>
      <c r="B1446">
        <v>8</v>
      </c>
      <c r="C1446" s="105" t="s">
        <v>44</v>
      </c>
      <c r="D1446" s="105" t="s">
        <v>9</v>
      </c>
      <c r="E1446">
        <v>72</v>
      </c>
      <c r="F1446">
        <v>51325.279999999999</v>
      </c>
    </row>
    <row r="1447" spans="1:6" x14ac:dyDescent="0.3">
      <c r="A1447">
        <v>2025</v>
      </c>
      <c r="B1447">
        <v>8</v>
      </c>
      <c r="C1447" s="105" t="s">
        <v>44</v>
      </c>
      <c r="D1447" s="105" t="s">
        <v>10</v>
      </c>
      <c r="E1447">
        <v>364</v>
      </c>
      <c r="F1447">
        <v>297124.90000000002</v>
      </c>
    </row>
    <row r="1448" spans="1:6" x14ac:dyDescent="0.3">
      <c r="A1448">
        <v>2025</v>
      </c>
      <c r="B1448">
        <v>8</v>
      </c>
      <c r="C1448" s="105" t="s">
        <v>44</v>
      </c>
      <c r="D1448" s="105" t="s">
        <v>11</v>
      </c>
      <c r="E1448">
        <v>301</v>
      </c>
      <c r="F1448">
        <v>235091.4</v>
      </c>
    </row>
    <row r="1449" spans="1:6" x14ac:dyDescent="0.3">
      <c r="A1449">
        <v>2025</v>
      </c>
      <c r="B1449">
        <v>8</v>
      </c>
      <c r="C1449" s="105" t="s">
        <v>44</v>
      </c>
      <c r="D1449" s="105" t="s">
        <v>59</v>
      </c>
      <c r="E1449">
        <v>30</v>
      </c>
      <c r="F1449">
        <v>22969</v>
      </c>
    </row>
    <row r="1450" spans="1:6" x14ac:dyDescent="0.3">
      <c r="A1450">
        <v>2025</v>
      </c>
      <c r="B1450">
        <v>8</v>
      </c>
      <c r="C1450" s="105" t="s">
        <v>44</v>
      </c>
      <c r="D1450" s="105" t="s">
        <v>12</v>
      </c>
      <c r="E1450">
        <v>206</v>
      </c>
      <c r="F1450">
        <v>212338.95</v>
      </c>
    </row>
    <row r="1451" spans="1:6" x14ac:dyDescent="0.3">
      <c r="A1451">
        <v>2025</v>
      </c>
      <c r="B1451">
        <v>8</v>
      </c>
      <c r="C1451" s="105" t="s">
        <v>44</v>
      </c>
      <c r="D1451" s="105" t="s">
        <v>13</v>
      </c>
      <c r="E1451">
        <v>160</v>
      </c>
      <c r="F1451">
        <v>140256.34</v>
      </c>
    </row>
    <row r="1452" spans="1:6" x14ac:dyDescent="0.3">
      <c r="A1452">
        <v>2025</v>
      </c>
      <c r="B1452">
        <v>8</v>
      </c>
      <c r="C1452" s="105" t="s">
        <v>44</v>
      </c>
      <c r="D1452" s="105" t="s">
        <v>14</v>
      </c>
      <c r="E1452">
        <v>238</v>
      </c>
      <c r="F1452">
        <v>160563.45000000001</v>
      </c>
    </row>
    <row r="1453" spans="1:6" x14ac:dyDescent="0.3">
      <c r="A1453">
        <v>2025</v>
      </c>
      <c r="B1453">
        <v>8</v>
      </c>
      <c r="C1453" s="105" t="s">
        <v>44</v>
      </c>
      <c r="D1453" s="105" t="s">
        <v>15</v>
      </c>
      <c r="E1453">
        <v>51</v>
      </c>
      <c r="F1453">
        <v>34077.839999999997</v>
      </c>
    </row>
    <row r="1454" spans="1:6" x14ac:dyDescent="0.3">
      <c r="A1454">
        <v>2025</v>
      </c>
      <c r="B1454">
        <v>8</v>
      </c>
      <c r="C1454" s="105" t="s">
        <v>44</v>
      </c>
      <c r="D1454" s="105" t="s">
        <v>16</v>
      </c>
      <c r="E1454">
        <v>132</v>
      </c>
      <c r="F1454">
        <v>111621.77</v>
      </c>
    </row>
    <row r="1455" spans="1:6" x14ac:dyDescent="0.3">
      <c r="A1455">
        <v>2025</v>
      </c>
      <c r="B1455">
        <v>8</v>
      </c>
      <c r="C1455" s="105" t="s">
        <v>44</v>
      </c>
      <c r="D1455" s="105" t="s">
        <v>54</v>
      </c>
      <c r="E1455">
        <v>120</v>
      </c>
      <c r="F1455">
        <v>100330</v>
      </c>
    </row>
    <row r="1456" spans="1:6" x14ac:dyDescent="0.3">
      <c r="A1456">
        <v>2025</v>
      </c>
      <c r="B1456">
        <v>8</v>
      </c>
      <c r="C1456" s="105" t="s">
        <v>44</v>
      </c>
      <c r="D1456" s="105" t="s">
        <v>17</v>
      </c>
      <c r="E1456">
        <v>651</v>
      </c>
      <c r="F1456">
        <v>513763.39</v>
      </c>
    </row>
    <row r="1457" spans="1:6" x14ac:dyDescent="0.3">
      <c r="A1457">
        <v>2025</v>
      </c>
      <c r="B1457">
        <v>8</v>
      </c>
      <c r="C1457" s="105" t="s">
        <v>44</v>
      </c>
      <c r="D1457" s="105" t="s">
        <v>18</v>
      </c>
      <c r="E1457">
        <v>522</v>
      </c>
      <c r="F1457">
        <v>418013.35</v>
      </c>
    </row>
    <row r="1458" spans="1:6" x14ac:dyDescent="0.3">
      <c r="A1458">
        <v>2025</v>
      </c>
      <c r="B1458">
        <v>8</v>
      </c>
      <c r="C1458" s="105" t="s">
        <v>44</v>
      </c>
      <c r="D1458" s="105" t="s">
        <v>50</v>
      </c>
      <c r="E1458">
        <v>203</v>
      </c>
      <c r="F1458">
        <v>168539</v>
      </c>
    </row>
    <row r="1459" spans="1:6" x14ac:dyDescent="0.3">
      <c r="A1459">
        <v>2025</v>
      </c>
      <c r="B1459">
        <v>8</v>
      </c>
      <c r="C1459" s="105" t="s">
        <v>44</v>
      </c>
      <c r="D1459" s="105" t="s">
        <v>55</v>
      </c>
      <c r="E1459">
        <v>80</v>
      </c>
      <c r="F1459">
        <v>58496.74</v>
      </c>
    </row>
    <row r="1460" spans="1:6" x14ac:dyDescent="0.3">
      <c r="A1460">
        <v>2025</v>
      </c>
      <c r="B1460">
        <v>8</v>
      </c>
      <c r="C1460" s="105" t="s">
        <v>44</v>
      </c>
      <c r="D1460" s="105" t="s">
        <v>19</v>
      </c>
      <c r="E1460">
        <v>165</v>
      </c>
      <c r="F1460">
        <v>113761.8</v>
      </c>
    </row>
    <row r="1461" spans="1:6" x14ac:dyDescent="0.3">
      <c r="A1461">
        <v>2025</v>
      </c>
      <c r="B1461">
        <v>8</v>
      </c>
      <c r="C1461" s="105" t="s">
        <v>44</v>
      </c>
      <c r="D1461" s="105" t="s">
        <v>20</v>
      </c>
      <c r="E1461">
        <v>268</v>
      </c>
      <c r="F1461">
        <v>231717.14</v>
      </c>
    </row>
    <row r="1462" spans="1:6" x14ac:dyDescent="0.3">
      <c r="A1462">
        <v>2025</v>
      </c>
      <c r="B1462">
        <v>8</v>
      </c>
      <c r="C1462" s="105" t="s">
        <v>44</v>
      </c>
      <c r="D1462" s="105" t="s">
        <v>21</v>
      </c>
      <c r="E1462">
        <v>403</v>
      </c>
      <c r="F1462">
        <v>324698.26</v>
      </c>
    </row>
    <row r="1463" spans="1:6" x14ac:dyDescent="0.3">
      <c r="A1463">
        <v>2025</v>
      </c>
      <c r="B1463">
        <v>8</v>
      </c>
      <c r="C1463" s="105" t="s">
        <v>44</v>
      </c>
      <c r="D1463" s="105" t="s">
        <v>22</v>
      </c>
      <c r="E1463">
        <v>181</v>
      </c>
      <c r="F1463">
        <v>124414.88</v>
      </c>
    </row>
    <row r="1464" spans="1:6" x14ac:dyDescent="0.3">
      <c r="A1464">
        <v>2025</v>
      </c>
      <c r="B1464">
        <v>8</v>
      </c>
      <c r="C1464" s="105" t="s">
        <v>44</v>
      </c>
      <c r="D1464" s="105" t="s">
        <v>23</v>
      </c>
      <c r="E1464">
        <v>307</v>
      </c>
      <c r="F1464">
        <v>270685.78999999998</v>
      </c>
    </row>
    <row r="1465" spans="1:6" x14ac:dyDescent="0.3">
      <c r="A1465">
        <v>2025</v>
      </c>
      <c r="B1465">
        <v>8</v>
      </c>
      <c r="C1465" s="105" t="s">
        <v>44</v>
      </c>
      <c r="D1465" s="105" t="s">
        <v>24</v>
      </c>
      <c r="E1465">
        <v>214</v>
      </c>
      <c r="F1465">
        <v>146509.07999999999</v>
      </c>
    </row>
    <row r="1466" spans="1:6" x14ac:dyDescent="0.3">
      <c r="A1466">
        <v>2025</v>
      </c>
      <c r="B1466">
        <v>8</v>
      </c>
      <c r="C1466" s="105" t="s">
        <v>44</v>
      </c>
      <c r="D1466" s="105" t="s">
        <v>25</v>
      </c>
      <c r="E1466">
        <v>307</v>
      </c>
      <c r="F1466">
        <v>237357.78</v>
      </c>
    </row>
    <row r="1467" spans="1:6" x14ac:dyDescent="0.3">
      <c r="A1467">
        <v>2025</v>
      </c>
      <c r="B1467">
        <v>8</v>
      </c>
      <c r="C1467" s="105" t="s">
        <v>44</v>
      </c>
      <c r="D1467" s="105" t="s">
        <v>26</v>
      </c>
      <c r="E1467">
        <v>265</v>
      </c>
      <c r="F1467">
        <v>219432.33</v>
      </c>
    </row>
    <row r="1468" spans="1:6" x14ac:dyDescent="0.3">
      <c r="A1468">
        <v>2025</v>
      </c>
      <c r="B1468">
        <v>8</v>
      </c>
      <c r="C1468" s="105" t="s">
        <v>44</v>
      </c>
      <c r="D1468" s="105" t="s">
        <v>27</v>
      </c>
      <c r="E1468">
        <v>201</v>
      </c>
      <c r="F1468">
        <v>167161.24</v>
      </c>
    </row>
    <row r="1469" spans="1:6" x14ac:dyDescent="0.3">
      <c r="A1469">
        <v>2025</v>
      </c>
      <c r="B1469">
        <v>8</v>
      </c>
      <c r="C1469" s="105" t="s">
        <v>44</v>
      </c>
      <c r="D1469" s="105" t="s">
        <v>28</v>
      </c>
      <c r="E1469">
        <v>98</v>
      </c>
      <c r="F1469">
        <v>66737.25</v>
      </c>
    </row>
    <row r="1470" spans="1:6" x14ac:dyDescent="0.3">
      <c r="A1470">
        <v>2025</v>
      </c>
      <c r="B1470">
        <v>8</v>
      </c>
      <c r="C1470" s="105" t="s">
        <v>44</v>
      </c>
      <c r="D1470" s="105" t="s">
        <v>29</v>
      </c>
      <c r="E1470">
        <v>383</v>
      </c>
      <c r="F1470">
        <v>300578.78999999998</v>
      </c>
    </row>
    <row r="1471" spans="1:6" x14ac:dyDescent="0.3">
      <c r="A1471">
        <v>2025</v>
      </c>
      <c r="B1471">
        <v>8</v>
      </c>
      <c r="C1471" s="105" t="s">
        <v>44</v>
      </c>
      <c r="D1471" s="105" t="s">
        <v>30</v>
      </c>
      <c r="E1471">
        <v>50</v>
      </c>
      <c r="F1471">
        <v>31205.58</v>
      </c>
    </row>
    <row r="1472" spans="1:6" x14ac:dyDescent="0.3">
      <c r="A1472">
        <v>2025</v>
      </c>
      <c r="B1472">
        <v>8</v>
      </c>
      <c r="C1472" s="105" t="s">
        <v>44</v>
      </c>
      <c r="D1472" s="105" t="s">
        <v>31</v>
      </c>
      <c r="E1472">
        <v>547</v>
      </c>
      <c r="F1472">
        <v>486382.9</v>
      </c>
    </row>
    <row r="1473" spans="1:6" x14ac:dyDescent="0.3">
      <c r="A1473">
        <v>2025</v>
      </c>
      <c r="B1473">
        <v>8</v>
      </c>
      <c r="C1473" s="105" t="s">
        <v>44</v>
      </c>
      <c r="D1473" s="105" t="s">
        <v>51</v>
      </c>
      <c r="E1473">
        <v>125</v>
      </c>
      <c r="F1473">
        <v>78418.5</v>
      </c>
    </row>
    <row r="1474" spans="1:6" x14ac:dyDescent="0.3">
      <c r="A1474">
        <v>2025</v>
      </c>
      <c r="B1474">
        <v>8</v>
      </c>
      <c r="C1474" s="105" t="s">
        <v>44</v>
      </c>
      <c r="D1474" s="105" t="s">
        <v>32</v>
      </c>
      <c r="E1474">
        <v>242</v>
      </c>
      <c r="F1474">
        <v>180677.94</v>
      </c>
    </row>
    <row r="1475" spans="1:6" x14ac:dyDescent="0.3">
      <c r="A1475">
        <v>2025</v>
      </c>
      <c r="B1475">
        <v>8</v>
      </c>
      <c r="C1475" s="105" t="s">
        <v>44</v>
      </c>
      <c r="D1475" s="105" t="s">
        <v>52</v>
      </c>
      <c r="E1475">
        <v>145</v>
      </c>
      <c r="F1475">
        <v>120705.33</v>
      </c>
    </row>
    <row r="1476" spans="1:6" x14ac:dyDescent="0.3">
      <c r="A1476">
        <v>2025</v>
      </c>
      <c r="B1476">
        <v>8</v>
      </c>
      <c r="C1476" s="105" t="s">
        <v>44</v>
      </c>
      <c r="D1476" s="105" t="s">
        <v>33</v>
      </c>
      <c r="E1476">
        <v>500</v>
      </c>
      <c r="F1476">
        <v>428916.63</v>
      </c>
    </row>
    <row r="1477" spans="1:6" x14ac:dyDescent="0.3">
      <c r="A1477">
        <v>2025</v>
      </c>
      <c r="B1477">
        <v>8</v>
      </c>
      <c r="C1477" s="105" t="s">
        <v>44</v>
      </c>
      <c r="D1477" s="105" t="s">
        <v>58</v>
      </c>
      <c r="E1477">
        <v>94</v>
      </c>
      <c r="F1477">
        <v>72541.990000000005</v>
      </c>
    </row>
    <row r="1478" spans="1:6" x14ac:dyDescent="0.3">
      <c r="A1478">
        <v>2025</v>
      </c>
      <c r="B1478">
        <v>8</v>
      </c>
      <c r="C1478" s="105" t="s">
        <v>44</v>
      </c>
      <c r="D1478" s="105" t="s">
        <v>34</v>
      </c>
      <c r="E1478">
        <v>484</v>
      </c>
      <c r="F1478">
        <v>426154.14</v>
      </c>
    </row>
    <row r="1479" spans="1:6" x14ac:dyDescent="0.3">
      <c r="A1479">
        <v>2025</v>
      </c>
      <c r="B1479">
        <v>8</v>
      </c>
      <c r="C1479" s="105" t="s">
        <v>44</v>
      </c>
      <c r="D1479" s="105" t="s">
        <v>56</v>
      </c>
      <c r="E1479">
        <v>72</v>
      </c>
      <c r="F1479">
        <v>60479</v>
      </c>
    </row>
    <row r="1480" spans="1:6" x14ac:dyDescent="0.3">
      <c r="A1480">
        <v>2025</v>
      </c>
      <c r="B1480">
        <v>8</v>
      </c>
      <c r="C1480" s="105" t="s">
        <v>44</v>
      </c>
      <c r="D1480" s="105" t="s">
        <v>57</v>
      </c>
      <c r="E1480">
        <v>76</v>
      </c>
      <c r="F1480">
        <v>57620</v>
      </c>
    </row>
    <row r="1481" spans="1:6" x14ac:dyDescent="0.3">
      <c r="A1481">
        <v>2025</v>
      </c>
      <c r="B1481">
        <v>8</v>
      </c>
      <c r="C1481" s="105" t="s">
        <v>44</v>
      </c>
      <c r="D1481" s="105" t="s">
        <v>49</v>
      </c>
      <c r="E1481">
        <v>134</v>
      </c>
      <c r="F1481">
        <v>97818</v>
      </c>
    </row>
    <row r="1482" spans="1:6" x14ac:dyDescent="0.3">
      <c r="A1482">
        <v>2025</v>
      </c>
      <c r="B1482">
        <v>8</v>
      </c>
      <c r="C1482" s="105" t="s">
        <v>44</v>
      </c>
      <c r="D1482" s="105" t="s">
        <v>53</v>
      </c>
      <c r="E1482">
        <v>95</v>
      </c>
      <c r="F1482">
        <v>72325.279999999999</v>
      </c>
    </row>
    <row r="1483" spans="1:6" x14ac:dyDescent="0.3">
      <c r="A1483">
        <v>2025</v>
      </c>
      <c r="B1483">
        <v>8</v>
      </c>
      <c r="C1483" s="105" t="s">
        <v>44</v>
      </c>
      <c r="D1483" s="105" t="s">
        <v>35</v>
      </c>
      <c r="E1483">
        <v>257</v>
      </c>
      <c r="F1483">
        <v>210433.87</v>
      </c>
    </row>
    <row r="1484" spans="1:6" x14ac:dyDescent="0.3">
      <c r="A1484">
        <v>2025</v>
      </c>
      <c r="B1484">
        <v>8</v>
      </c>
      <c r="C1484" s="105" t="s">
        <v>44</v>
      </c>
      <c r="D1484" s="105" t="s">
        <v>36</v>
      </c>
      <c r="E1484">
        <v>172</v>
      </c>
      <c r="F1484">
        <v>132681.44</v>
      </c>
    </row>
    <row r="1485" spans="1:6" x14ac:dyDescent="0.3">
      <c r="A1485">
        <v>2025</v>
      </c>
      <c r="B1485">
        <v>8</v>
      </c>
      <c r="C1485" s="105" t="s">
        <v>44</v>
      </c>
      <c r="D1485" s="105" t="s">
        <v>37</v>
      </c>
      <c r="E1485">
        <v>330</v>
      </c>
      <c r="F1485">
        <v>255446.95</v>
      </c>
    </row>
    <row r="1486" spans="1:6" x14ac:dyDescent="0.3">
      <c r="A1486">
        <v>2025</v>
      </c>
      <c r="B1486">
        <v>9</v>
      </c>
      <c r="C1486" s="105" t="s">
        <v>45</v>
      </c>
      <c r="D1486" s="105" t="s">
        <v>7</v>
      </c>
      <c r="E1486">
        <v>416</v>
      </c>
      <c r="F1486">
        <v>352894.56</v>
      </c>
    </row>
    <row r="1487" spans="1:6" x14ac:dyDescent="0.3">
      <c r="A1487">
        <v>2025</v>
      </c>
      <c r="B1487">
        <v>9</v>
      </c>
      <c r="C1487" s="105" t="s">
        <v>45</v>
      </c>
      <c r="D1487" s="105" t="s">
        <v>8</v>
      </c>
      <c r="E1487">
        <v>244</v>
      </c>
      <c r="F1487">
        <v>168410.72</v>
      </c>
    </row>
    <row r="1488" spans="1:6" x14ac:dyDescent="0.3">
      <c r="A1488">
        <v>2025</v>
      </c>
      <c r="B1488">
        <v>9</v>
      </c>
      <c r="C1488" s="105" t="s">
        <v>45</v>
      </c>
      <c r="D1488" s="105" t="s">
        <v>9</v>
      </c>
      <c r="E1488">
        <v>69</v>
      </c>
      <c r="F1488">
        <v>49623.65</v>
      </c>
    </row>
    <row r="1489" spans="1:6" x14ac:dyDescent="0.3">
      <c r="A1489">
        <v>2025</v>
      </c>
      <c r="B1489">
        <v>9</v>
      </c>
      <c r="C1489" s="105" t="s">
        <v>45</v>
      </c>
      <c r="D1489" s="105" t="s">
        <v>10</v>
      </c>
      <c r="E1489">
        <v>304</v>
      </c>
      <c r="F1489">
        <v>265665.65999999997</v>
      </c>
    </row>
    <row r="1490" spans="1:6" x14ac:dyDescent="0.3">
      <c r="A1490">
        <v>2025</v>
      </c>
      <c r="B1490">
        <v>9</v>
      </c>
      <c r="C1490" s="105" t="s">
        <v>45</v>
      </c>
      <c r="D1490" s="105" t="s">
        <v>11</v>
      </c>
      <c r="E1490">
        <v>317</v>
      </c>
      <c r="F1490">
        <v>234979.52</v>
      </c>
    </row>
    <row r="1491" spans="1:6" x14ac:dyDescent="0.3">
      <c r="A1491">
        <v>2025</v>
      </c>
      <c r="B1491">
        <v>9</v>
      </c>
      <c r="C1491" s="105" t="s">
        <v>45</v>
      </c>
      <c r="D1491" s="105" t="s">
        <v>59</v>
      </c>
      <c r="E1491">
        <v>27</v>
      </c>
      <c r="F1491">
        <v>22656</v>
      </c>
    </row>
    <row r="1492" spans="1:6" x14ac:dyDescent="0.3">
      <c r="A1492">
        <v>2025</v>
      </c>
      <c r="B1492">
        <v>9</v>
      </c>
      <c r="C1492" s="105" t="s">
        <v>45</v>
      </c>
      <c r="D1492" s="105" t="s">
        <v>12</v>
      </c>
      <c r="E1492">
        <v>214</v>
      </c>
      <c r="F1492">
        <v>238109.71</v>
      </c>
    </row>
    <row r="1493" spans="1:6" x14ac:dyDescent="0.3">
      <c r="A1493">
        <v>2025</v>
      </c>
      <c r="B1493">
        <v>9</v>
      </c>
      <c r="C1493" s="105" t="s">
        <v>45</v>
      </c>
      <c r="D1493" s="105" t="s">
        <v>13</v>
      </c>
      <c r="E1493">
        <v>174</v>
      </c>
      <c r="F1493">
        <v>115322.61</v>
      </c>
    </row>
    <row r="1494" spans="1:6" x14ac:dyDescent="0.3">
      <c r="A1494">
        <v>2025</v>
      </c>
      <c r="B1494">
        <v>9</v>
      </c>
      <c r="C1494" s="105" t="s">
        <v>45</v>
      </c>
      <c r="D1494" s="105" t="s">
        <v>14</v>
      </c>
      <c r="E1494">
        <v>259</v>
      </c>
      <c r="F1494">
        <v>182252.28</v>
      </c>
    </row>
    <row r="1495" spans="1:6" x14ac:dyDescent="0.3">
      <c r="A1495">
        <v>2025</v>
      </c>
      <c r="B1495">
        <v>9</v>
      </c>
      <c r="C1495" s="105" t="s">
        <v>45</v>
      </c>
      <c r="D1495" s="105" t="s">
        <v>15</v>
      </c>
      <c r="E1495">
        <v>63</v>
      </c>
      <c r="F1495">
        <v>46378.84</v>
      </c>
    </row>
    <row r="1496" spans="1:6" x14ac:dyDescent="0.3">
      <c r="A1496">
        <v>2025</v>
      </c>
      <c r="B1496">
        <v>9</v>
      </c>
      <c r="C1496" s="105" t="s">
        <v>45</v>
      </c>
      <c r="D1496" s="105" t="s">
        <v>16</v>
      </c>
      <c r="E1496">
        <v>111</v>
      </c>
      <c r="F1496">
        <v>92137.35</v>
      </c>
    </row>
    <row r="1497" spans="1:6" x14ac:dyDescent="0.3">
      <c r="A1497">
        <v>2025</v>
      </c>
      <c r="B1497">
        <v>9</v>
      </c>
      <c r="C1497" s="105" t="s">
        <v>45</v>
      </c>
      <c r="D1497" s="105" t="s">
        <v>54</v>
      </c>
      <c r="E1497">
        <v>100</v>
      </c>
      <c r="F1497">
        <v>82832.259999999995</v>
      </c>
    </row>
    <row r="1498" spans="1:6" x14ac:dyDescent="0.3">
      <c r="A1498">
        <v>2025</v>
      </c>
      <c r="B1498">
        <v>9</v>
      </c>
      <c r="C1498" s="105" t="s">
        <v>45</v>
      </c>
      <c r="D1498" s="105" t="s">
        <v>17</v>
      </c>
      <c r="E1498">
        <v>570</v>
      </c>
      <c r="F1498">
        <v>454791.78</v>
      </c>
    </row>
    <row r="1499" spans="1:6" x14ac:dyDescent="0.3">
      <c r="A1499">
        <v>2025</v>
      </c>
      <c r="B1499">
        <v>9</v>
      </c>
      <c r="C1499" s="105" t="s">
        <v>45</v>
      </c>
      <c r="D1499" s="105" t="s">
        <v>18</v>
      </c>
      <c r="E1499">
        <v>462</v>
      </c>
      <c r="F1499">
        <v>347055.91</v>
      </c>
    </row>
    <row r="1500" spans="1:6" x14ac:dyDescent="0.3">
      <c r="A1500">
        <v>2025</v>
      </c>
      <c r="B1500">
        <v>9</v>
      </c>
      <c r="C1500" s="105" t="s">
        <v>45</v>
      </c>
      <c r="D1500" s="105" t="s">
        <v>50</v>
      </c>
      <c r="E1500">
        <v>186</v>
      </c>
      <c r="F1500">
        <v>152678.26</v>
      </c>
    </row>
    <row r="1501" spans="1:6" x14ac:dyDescent="0.3">
      <c r="A1501">
        <v>2025</v>
      </c>
      <c r="B1501">
        <v>9</v>
      </c>
      <c r="C1501" s="105" t="s">
        <v>45</v>
      </c>
      <c r="D1501" s="105" t="s">
        <v>55</v>
      </c>
      <c r="E1501">
        <v>64</v>
      </c>
      <c r="F1501">
        <v>46935.87</v>
      </c>
    </row>
    <row r="1502" spans="1:6" x14ac:dyDescent="0.3">
      <c r="A1502">
        <v>2025</v>
      </c>
      <c r="B1502">
        <v>9</v>
      </c>
      <c r="C1502" s="105" t="s">
        <v>45</v>
      </c>
      <c r="D1502" s="105" t="s">
        <v>19</v>
      </c>
      <c r="E1502">
        <v>133</v>
      </c>
      <c r="F1502">
        <v>88869.39</v>
      </c>
    </row>
    <row r="1503" spans="1:6" x14ac:dyDescent="0.3">
      <c r="A1503">
        <v>2025</v>
      </c>
      <c r="B1503">
        <v>9</v>
      </c>
      <c r="C1503" s="105" t="s">
        <v>45</v>
      </c>
      <c r="D1503" s="105" t="s">
        <v>20</v>
      </c>
      <c r="E1503">
        <v>231</v>
      </c>
      <c r="F1503">
        <v>221583.87</v>
      </c>
    </row>
    <row r="1504" spans="1:6" x14ac:dyDescent="0.3">
      <c r="A1504">
        <v>2025</v>
      </c>
      <c r="B1504">
        <v>9</v>
      </c>
      <c r="C1504" s="105" t="s">
        <v>45</v>
      </c>
      <c r="D1504" s="105" t="s">
        <v>21</v>
      </c>
      <c r="E1504">
        <v>407</v>
      </c>
      <c r="F1504">
        <v>315916.01</v>
      </c>
    </row>
    <row r="1505" spans="1:6" x14ac:dyDescent="0.3">
      <c r="A1505">
        <v>2025</v>
      </c>
      <c r="B1505">
        <v>9</v>
      </c>
      <c r="C1505" s="105" t="s">
        <v>45</v>
      </c>
      <c r="D1505" s="105" t="s">
        <v>22</v>
      </c>
      <c r="E1505">
        <v>204</v>
      </c>
      <c r="F1505">
        <v>132747.32999999999</v>
      </c>
    </row>
    <row r="1506" spans="1:6" x14ac:dyDescent="0.3">
      <c r="A1506">
        <v>2025</v>
      </c>
      <c r="B1506">
        <v>9</v>
      </c>
      <c r="C1506" s="105" t="s">
        <v>45</v>
      </c>
      <c r="D1506" s="105" t="s">
        <v>23</v>
      </c>
      <c r="E1506">
        <v>307</v>
      </c>
      <c r="F1506">
        <v>259395.52</v>
      </c>
    </row>
    <row r="1507" spans="1:6" x14ac:dyDescent="0.3">
      <c r="A1507">
        <v>2025</v>
      </c>
      <c r="B1507">
        <v>9</v>
      </c>
      <c r="C1507" s="105" t="s">
        <v>45</v>
      </c>
      <c r="D1507" s="105" t="s">
        <v>24</v>
      </c>
      <c r="E1507">
        <v>185</v>
      </c>
      <c r="F1507">
        <v>130173.91</v>
      </c>
    </row>
    <row r="1508" spans="1:6" x14ac:dyDescent="0.3">
      <c r="A1508">
        <v>2025</v>
      </c>
      <c r="B1508">
        <v>9</v>
      </c>
      <c r="C1508" s="105" t="s">
        <v>45</v>
      </c>
      <c r="D1508" s="105" t="s">
        <v>25</v>
      </c>
      <c r="E1508">
        <v>309</v>
      </c>
      <c r="F1508">
        <v>245475.81</v>
      </c>
    </row>
    <row r="1509" spans="1:6" x14ac:dyDescent="0.3">
      <c r="A1509">
        <v>2025</v>
      </c>
      <c r="B1509">
        <v>9</v>
      </c>
      <c r="C1509" s="105" t="s">
        <v>45</v>
      </c>
      <c r="D1509" s="105" t="s">
        <v>26</v>
      </c>
      <c r="E1509">
        <v>225</v>
      </c>
      <c r="F1509">
        <v>177335.93</v>
      </c>
    </row>
    <row r="1510" spans="1:6" x14ac:dyDescent="0.3">
      <c r="A1510">
        <v>2025</v>
      </c>
      <c r="B1510">
        <v>9</v>
      </c>
      <c r="C1510" s="105" t="s">
        <v>45</v>
      </c>
      <c r="D1510" s="105" t="s">
        <v>27</v>
      </c>
      <c r="E1510">
        <v>210</v>
      </c>
      <c r="F1510">
        <v>180336.21</v>
      </c>
    </row>
    <row r="1511" spans="1:6" x14ac:dyDescent="0.3">
      <c r="A1511">
        <v>2025</v>
      </c>
      <c r="B1511">
        <v>9</v>
      </c>
      <c r="C1511" s="105" t="s">
        <v>45</v>
      </c>
      <c r="D1511" s="105" t="s">
        <v>28</v>
      </c>
      <c r="E1511">
        <v>110</v>
      </c>
      <c r="F1511">
        <v>119352.66</v>
      </c>
    </row>
    <row r="1512" spans="1:6" x14ac:dyDescent="0.3">
      <c r="A1512">
        <v>2025</v>
      </c>
      <c r="B1512">
        <v>9</v>
      </c>
      <c r="C1512" s="105" t="s">
        <v>45</v>
      </c>
      <c r="D1512" s="105" t="s">
        <v>29</v>
      </c>
      <c r="E1512">
        <v>350</v>
      </c>
      <c r="F1512">
        <v>263248.24</v>
      </c>
    </row>
    <row r="1513" spans="1:6" x14ac:dyDescent="0.3">
      <c r="A1513">
        <v>2025</v>
      </c>
      <c r="B1513">
        <v>9</v>
      </c>
      <c r="C1513" s="105" t="s">
        <v>45</v>
      </c>
      <c r="D1513" s="105" t="s">
        <v>30</v>
      </c>
      <c r="E1513">
        <v>70</v>
      </c>
      <c r="F1513">
        <v>55700.09</v>
      </c>
    </row>
    <row r="1514" spans="1:6" x14ac:dyDescent="0.3">
      <c r="A1514">
        <v>2025</v>
      </c>
      <c r="B1514">
        <v>9</v>
      </c>
      <c r="C1514" s="105" t="s">
        <v>45</v>
      </c>
      <c r="D1514" s="105" t="s">
        <v>31</v>
      </c>
      <c r="E1514">
        <v>586</v>
      </c>
      <c r="F1514">
        <v>467137.99</v>
      </c>
    </row>
    <row r="1515" spans="1:6" x14ac:dyDescent="0.3">
      <c r="A1515">
        <v>2025</v>
      </c>
      <c r="B1515">
        <v>9</v>
      </c>
      <c r="C1515" s="105" t="s">
        <v>45</v>
      </c>
      <c r="D1515" s="105" t="s">
        <v>51</v>
      </c>
      <c r="E1515">
        <v>100</v>
      </c>
      <c r="F1515">
        <v>64946.5</v>
      </c>
    </row>
    <row r="1516" spans="1:6" x14ac:dyDescent="0.3">
      <c r="A1516">
        <v>2025</v>
      </c>
      <c r="B1516">
        <v>9</v>
      </c>
      <c r="C1516" s="105" t="s">
        <v>45</v>
      </c>
      <c r="D1516" s="105" t="s">
        <v>32</v>
      </c>
      <c r="E1516">
        <v>189</v>
      </c>
      <c r="F1516">
        <v>140860.62</v>
      </c>
    </row>
    <row r="1517" spans="1:6" x14ac:dyDescent="0.3">
      <c r="A1517">
        <v>2025</v>
      </c>
      <c r="B1517">
        <v>9</v>
      </c>
      <c r="C1517" s="105" t="s">
        <v>45</v>
      </c>
      <c r="D1517" s="105" t="s">
        <v>52</v>
      </c>
      <c r="E1517">
        <v>133</v>
      </c>
      <c r="F1517">
        <v>106894</v>
      </c>
    </row>
    <row r="1518" spans="1:6" x14ac:dyDescent="0.3">
      <c r="A1518">
        <v>2025</v>
      </c>
      <c r="B1518">
        <v>9</v>
      </c>
      <c r="C1518" s="105" t="s">
        <v>45</v>
      </c>
      <c r="D1518" s="105" t="s">
        <v>33</v>
      </c>
      <c r="E1518">
        <v>528</v>
      </c>
      <c r="F1518">
        <v>432998.62</v>
      </c>
    </row>
    <row r="1519" spans="1:6" x14ac:dyDescent="0.3">
      <c r="A1519">
        <v>2025</v>
      </c>
      <c r="B1519">
        <v>9</v>
      </c>
      <c r="C1519" s="105" t="s">
        <v>45</v>
      </c>
      <c r="D1519" s="105" t="s">
        <v>58</v>
      </c>
      <c r="E1519">
        <v>198</v>
      </c>
      <c r="F1519">
        <v>158285.44</v>
      </c>
    </row>
    <row r="1520" spans="1:6" x14ac:dyDescent="0.3">
      <c r="A1520">
        <v>2025</v>
      </c>
      <c r="B1520">
        <v>9</v>
      </c>
      <c r="C1520" s="105" t="s">
        <v>45</v>
      </c>
      <c r="D1520" s="105" t="s">
        <v>34</v>
      </c>
      <c r="E1520">
        <v>447</v>
      </c>
      <c r="F1520">
        <v>364139.17</v>
      </c>
    </row>
    <row r="1521" spans="1:6" x14ac:dyDescent="0.3">
      <c r="A1521">
        <v>2025</v>
      </c>
      <c r="B1521">
        <v>9</v>
      </c>
      <c r="C1521" s="105" t="s">
        <v>45</v>
      </c>
      <c r="D1521" s="105" t="s">
        <v>56</v>
      </c>
      <c r="E1521">
        <v>56</v>
      </c>
      <c r="F1521">
        <v>46868.86</v>
      </c>
    </row>
    <row r="1522" spans="1:6" x14ac:dyDescent="0.3">
      <c r="A1522">
        <v>2025</v>
      </c>
      <c r="B1522">
        <v>9</v>
      </c>
      <c r="C1522" s="105" t="s">
        <v>45</v>
      </c>
      <c r="D1522" s="105" t="s">
        <v>57</v>
      </c>
      <c r="E1522">
        <v>64</v>
      </c>
      <c r="F1522">
        <v>50207.89</v>
      </c>
    </row>
    <row r="1523" spans="1:6" x14ac:dyDescent="0.3">
      <c r="A1523">
        <v>2025</v>
      </c>
      <c r="B1523">
        <v>9</v>
      </c>
      <c r="C1523" s="105" t="s">
        <v>45</v>
      </c>
      <c r="D1523" s="105" t="s">
        <v>49</v>
      </c>
      <c r="E1523">
        <v>91</v>
      </c>
      <c r="F1523">
        <v>68310</v>
      </c>
    </row>
    <row r="1524" spans="1:6" x14ac:dyDescent="0.3">
      <c r="A1524">
        <v>2025</v>
      </c>
      <c r="B1524">
        <v>9</v>
      </c>
      <c r="C1524" s="105" t="s">
        <v>45</v>
      </c>
      <c r="D1524" s="105" t="s">
        <v>53</v>
      </c>
      <c r="E1524">
        <v>73</v>
      </c>
      <c r="F1524">
        <v>52600.99</v>
      </c>
    </row>
    <row r="1525" spans="1:6" x14ac:dyDescent="0.3">
      <c r="A1525">
        <v>2025</v>
      </c>
      <c r="B1525">
        <v>9</v>
      </c>
      <c r="C1525" s="105" t="s">
        <v>45</v>
      </c>
      <c r="D1525" s="105" t="s">
        <v>35</v>
      </c>
      <c r="E1525">
        <v>258</v>
      </c>
      <c r="F1525">
        <v>223704.11</v>
      </c>
    </row>
    <row r="1526" spans="1:6" x14ac:dyDescent="0.3">
      <c r="A1526">
        <v>2025</v>
      </c>
      <c r="B1526">
        <v>9</v>
      </c>
      <c r="C1526" s="105" t="s">
        <v>45</v>
      </c>
      <c r="D1526" s="105" t="s">
        <v>36</v>
      </c>
      <c r="E1526">
        <v>173</v>
      </c>
      <c r="F1526">
        <v>129935.1</v>
      </c>
    </row>
    <row r="1527" spans="1:6" x14ac:dyDescent="0.3">
      <c r="A1527">
        <v>2025</v>
      </c>
      <c r="B1527">
        <v>9</v>
      </c>
      <c r="C1527" s="105" t="s">
        <v>45</v>
      </c>
      <c r="D1527" s="105" t="s">
        <v>37</v>
      </c>
      <c r="E1527">
        <v>431</v>
      </c>
      <c r="F1527">
        <v>332663.90000000002</v>
      </c>
    </row>
    <row r="1528" spans="1:6" x14ac:dyDescent="0.3">
      <c r="A1528">
        <v>2025</v>
      </c>
      <c r="B1528">
        <v>10</v>
      </c>
      <c r="C1528" s="105" t="s">
        <v>46</v>
      </c>
      <c r="D1528" s="105" t="s">
        <v>7</v>
      </c>
      <c r="E1528">
        <v>329</v>
      </c>
      <c r="F1528">
        <v>287362.64</v>
      </c>
    </row>
    <row r="1529" spans="1:6" x14ac:dyDescent="0.3">
      <c r="A1529">
        <v>2025</v>
      </c>
      <c r="B1529">
        <v>10</v>
      </c>
      <c r="C1529" s="105" t="s">
        <v>46</v>
      </c>
      <c r="D1529" s="105" t="s">
        <v>8</v>
      </c>
      <c r="E1529">
        <v>256</v>
      </c>
      <c r="F1529">
        <v>224777.71</v>
      </c>
    </row>
    <row r="1530" spans="1:6" x14ac:dyDescent="0.3">
      <c r="A1530">
        <v>2025</v>
      </c>
      <c r="B1530">
        <v>10</v>
      </c>
      <c r="C1530" s="105" t="s">
        <v>46</v>
      </c>
      <c r="D1530" s="105" t="s">
        <v>9</v>
      </c>
      <c r="E1530">
        <v>73</v>
      </c>
      <c r="F1530">
        <v>72370.490000000005</v>
      </c>
    </row>
    <row r="1531" spans="1:6" x14ac:dyDescent="0.3">
      <c r="A1531">
        <v>2025</v>
      </c>
      <c r="B1531">
        <v>10</v>
      </c>
      <c r="C1531" s="105" t="s">
        <v>46</v>
      </c>
      <c r="D1531" s="105" t="s">
        <v>10</v>
      </c>
      <c r="E1531">
        <v>293</v>
      </c>
      <c r="F1531">
        <v>274418.24</v>
      </c>
    </row>
    <row r="1532" spans="1:6" x14ac:dyDescent="0.3">
      <c r="A1532">
        <v>2025</v>
      </c>
      <c r="B1532">
        <v>10</v>
      </c>
      <c r="C1532" s="105" t="s">
        <v>46</v>
      </c>
      <c r="D1532" s="105" t="s">
        <v>11</v>
      </c>
      <c r="E1532">
        <v>239</v>
      </c>
      <c r="F1532">
        <v>181336.2</v>
      </c>
    </row>
    <row r="1533" spans="1:6" x14ac:dyDescent="0.3">
      <c r="A1533">
        <v>2025</v>
      </c>
      <c r="B1533">
        <v>10</v>
      </c>
      <c r="C1533" s="105" t="s">
        <v>46</v>
      </c>
      <c r="D1533" s="105" t="s">
        <v>59</v>
      </c>
      <c r="E1533">
        <v>24</v>
      </c>
      <c r="F1533">
        <v>19631</v>
      </c>
    </row>
    <row r="1534" spans="1:6" x14ac:dyDescent="0.3">
      <c r="A1534">
        <v>2025</v>
      </c>
      <c r="B1534">
        <v>10</v>
      </c>
      <c r="C1534" s="105" t="s">
        <v>46</v>
      </c>
      <c r="D1534" s="105" t="s">
        <v>12</v>
      </c>
      <c r="E1534">
        <v>168</v>
      </c>
      <c r="F1534">
        <v>128723.26</v>
      </c>
    </row>
    <row r="1535" spans="1:6" x14ac:dyDescent="0.3">
      <c r="A1535">
        <v>2025</v>
      </c>
      <c r="B1535">
        <v>10</v>
      </c>
      <c r="C1535" s="105" t="s">
        <v>46</v>
      </c>
      <c r="D1535" s="105" t="s">
        <v>13</v>
      </c>
      <c r="E1535">
        <v>146</v>
      </c>
      <c r="F1535">
        <v>139340.53</v>
      </c>
    </row>
    <row r="1536" spans="1:6" x14ac:dyDescent="0.3">
      <c r="A1536">
        <v>2025</v>
      </c>
      <c r="B1536">
        <v>10</v>
      </c>
      <c r="C1536" s="105" t="s">
        <v>46</v>
      </c>
      <c r="D1536" s="105" t="s">
        <v>14</v>
      </c>
      <c r="E1536">
        <v>225</v>
      </c>
      <c r="F1536">
        <v>175314.11</v>
      </c>
    </row>
    <row r="1537" spans="1:6" x14ac:dyDescent="0.3">
      <c r="A1537">
        <v>2025</v>
      </c>
      <c r="B1537">
        <v>10</v>
      </c>
      <c r="C1537" s="105" t="s">
        <v>46</v>
      </c>
      <c r="D1537" s="105" t="s">
        <v>15</v>
      </c>
      <c r="E1537">
        <v>67</v>
      </c>
      <c r="F1537">
        <v>50883.23</v>
      </c>
    </row>
    <row r="1538" spans="1:6" x14ac:dyDescent="0.3">
      <c r="A1538">
        <v>2025</v>
      </c>
      <c r="B1538">
        <v>10</v>
      </c>
      <c r="C1538" s="105" t="s">
        <v>46</v>
      </c>
      <c r="D1538" s="105" t="s">
        <v>16</v>
      </c>
      <c r="E1538">
        <v>87</v>
      </c>
      <c r="F1538">
        <v>75310.05</v>
      </c>
    </row>
    <row r="1539" spans="1:6" x14ac:dyDescent="0.3">
      <c r="A1539">
        <v>2025</v>
      </c>
      <c r="B1539">
        <v>10</v>
      </c>
      <c r="C1539" s="105" t="s">
        <v>46</v>
      </c>
      <c r="D1539" s="105" t="s">
        <v>54</v>
      </c>
      <c r="E1539">
        <v>172</v>
      </c>
      <c r="F1539">
        <v>140046</v>
      </c>
    </row>
    <row r="1540" spans="1:6" x14ac:dyDescent="0.3">
      <c r="A1540">
        <v>2025</v>
      </c>
      <c r="B1540">
        <v>10</v>
      </c>
      <c r="C1540" s="105" t="s">
        <v>46</v>
      </c>
      <c r="D1540" s="105" t="s">
        <v>17</v>
      </c>
      <c r="E1540">
        <v>554</v>
      </c>
      <c r="F1540">
        <v>450137.73</v>
      </c>
    </row>
    <row r="1541" spans="1:6" x14ac:dyDescent="0.3">
      <c r="A1541">
        <v>2025</v>
      </c>
      <c r="B1541">
        <v>10</v>
      </c>
      <c r="C1541" s="105" t="s">
        <v>46</v>
      </c>
      <c r="D1541" s="105" t="s">
        <v>18</v>
      </c>
      <c r="E1541">
        <v>357</v>
      </c>
      <c r="F1541">
        <v>302667.2</v>
      </c>
    </row>
    <row r="1542" spans="1:6" x14ac:dyDescent="0.3">
      <c r="A1542">
        <v>2025</v>
      </c>
      <c r="B1542">
        <v>10</v>
      </c>
      <c r="C1542" s="105" t="s">
        <v>46</v>
      </c>
      <c r="D1542" s="105" t="s">
        <v>50</v>
      </c>
      <c r="E1542">
        <v>174</v>
      </c>
      <c r="F1542">
        <v>138283</v>
      </c>
    </row>
    <row r="1543" spans="1:6" x14ac:dyDescent="0.3">
      <c r="A1543">
        <v>2025</v>
      </c>
      <c r="B1543">
        <v>10</v>
      </c>
      <c r="C1543" s="105" t="s">
        <v>46</v>
      </c>
      <c r="D1543" s="105" t="s">
        <v>55</v>
      </c>
      <c r="E1543">
        <v>71</v>
      </c>
      <c r="F1543">
        <v>54160.75</v>
      </c>
    </row>
    <row r="1544" spans="1:6" x14ac:dyDescent="0.3">
      <c r="A1544">
        <v>2025</v>
      </c>
      <c r="B1544">
        <v>10</v>
      </c>
      <c r="C1544" s="105" t="s">
        <v>46</v>
      </c>
      <c r="D1544" s="105" t="s">
        <v>19</v>
      </c>
      <c r="E1544">
        <v>160</v>
      </c>
      <c r="F1544">
        <v>113222.56</v>
      </c>
    </row>
    <row r="1545" spans="1:6" x14ac:dyDescent="0.3">
      <c r="A1545">
        <v>2025</v>
      </c>
      <c r="B1545">
        <v>10</v>
      </c>
      <c r="C1545" s="105" t="s">
        <v>46</v>
      </c>
      <c r="D1545" s="105" t="s">
        <v>20</v>
      </c>
      <c r="E1545">
        <v>214</v>
      </c>
      <c r="F1545">
        <v>171983.18</v>
      </c>
    </row>
    <row r="1546" spans="1:6" x14ac:dyDescent="0.3">
      <c r="A1546">
        <v>2025</v>
      </c>
      <c r="B1546">
        <v>10</v>
      </c>
      <c r="C1546" s="105" t="s">
        <v>46</v>
      </c>
      <c r="D1546" s="105" t="s">
        <v>21</v>
      </c>
      <c r="E1546">
        <v>342</v>
      </c>
      <c r="F1546">
        <v>283611.49</v>
      </c>
    </row>
    <row r="1547" spans="1:6" x14ac:dyDescent="0.3">
      <c r="A1547">
        <v>2025</v>
      </c>
      <c r="B1547">
        <v>10</v>
      </c>
      <c r="C1547" s="105" t="s">
        <v>46</v>
      </c>
      <c r="D1547" s="105" t="s">
        <v>22</v>
      </c>
      <c r="E1547">
        <v>121</v>
      </c>
      <c r="F1547">
        <v>79233.39</v>
      </c>
    </row>
    <row r="1548" spans="1:6" x14ac:dyDescent="0.3">
      <c r="A1548">
        <v>2025</v>
      </c>
      <c r="B1548">
        <v>10</v>
      </c>
      <c r="C1548" s="105" t="s">
        <v>46</v>
      </c>
      <c r="D1548" s="105" t="s">
        <v>23</v>
      </c>
      <c r="E1548">
        <v>226</v>
      </c>
      <c r="F1548">
        <v>210390.22</v>
      </c>
    </row>
    <row r="1549" spans="1:6" x14ac:dyDescent="0.3">
      <c r="A1549">
        <v>2025</v>
      </c>
      <c r="B1549">
        <v>10</v>
      </c>
      <c r="C1549" s="105" t="s">
        <v>46</v>
      </c>
      <c r="D1549" s="105" t="s">
        <v>24</v>
      </c>
      <c r="E1549">
        <v>252</v>
      </c>
      <c r="F1549">
        <v>173141.79</v>
      </c>
    </row>
    <row r="1550" spans="1:6" x14ac:dyDescent="0.3">
      <c r="A1550">
        <v>2025</v>
      </c>
      <c r="B1550">
        <v>10</v>
      </c>
      <c r="C1550" s="105" t="s">
        <v>46</v>
      </c>
      <c r="D1550" s="105" t="s">
        <v>25</v>
      </c>
      <c r="E1550">
        <v>309</v>
      </c>
      <c r="F1550">
        <v>239162.72</v>
      </c>
    </row>
    <row r="1551" spans="1:6" x14ac:dyDescent="0.3">
      <c r="A1551">
        <v>2025</v>
      </c>
      <c r="B1551">
        <v>10</v>
      </c>
      <c r="C1551" s="105" t="s">
        <v>46</v>
      </c>
      <c r="D1551" s="105" t="s">
        <v>26</v>
      </c>
      <c r="E1551">
        <v>224</v>
      </c>
      <c r="F1551">
        <v>175664.7</v>
      </c>
    </row>
    <row r="1552" spans="1:6" x14ac:dyDescent="0.3">
      <c r="A1552">
        <v>2025</v>
      </c>
      <c r="B1552">
        <v>10</v>
      </c>
      <c r="C1552" s="105" t="s">
        <v>46</v>
      </c>
      <c r="D1552" s="105" t="s">
        <v>27</v>
      </c>
      <c r="E1552">
        <v>151</v>
      </c>
      <c r="F1552">
        <v>126481.63</v>
      </c>
    </row>
    <row r="1553" spans="1:6" x14ac:dyDescent="0.3">
      <c r="A1553">
        <v>2025</v>
      </c>
      <c r="B1553">
        <v>10</v>
      </c>
      <c r="C1553" s="105" t="s">
        <v>46</v>
      </c>
      <c r="D1553" s="105" t="s">
        <v>28</v>
      </c>
      <c r="E1553">
        <v>119</v>
      </c>
      <c r="F1553">
        <v>101120.09</v>
      </c>
    </row>
    <row r="1554" spans="1:6" x14ac:dyDescent="0.3">
      <c r="A1554">
        <v>2025</v>
      </c>
      <c r="B1554">
        <v>10</v>
      </c>
      <c r="C1554" s="105" t="s">
        <v>46</v>
      </c>
      <c r="D1554" s="105" t="s">
        <v>29</v>
      </c>
      <c r="E1554">
        <v>307</v>
      </c>
      <c r="F1554">
        <v>241195.37</v>
      </c>
    </row>
    <row r="1555" spans="1:6" x14ac:dyDescent="0.3">
      <c r="A1555">
        <v>2025</v>
      </c>
      <c r="B1555">
        <v>10</v>
      </c>
      <c r="C1555" s="105" t="s">
        <v>46</v>
      </c>
      <c r="D1555" s="105" t="s">
        <v>30</v>
      </c>
      <c r="E1555">
        <v>71</v>
      </c>
      <c r="F1555">
        <v>49061.65</v>
      </c>
    </row>
    <row r="1556" spans="1:6" x14ac:dyDescent="0.3">
      <c r="A1556">
        <v>2025</v>
      </c>
      <c r="B1556">
        <v>10</v>
      </c>
      <c r="C1556" s="105" t="s">
        <v>46</v>
      </c>
      <c r="D1556" s="105" t="s">
        <v>31</v>
      </c>
      <c r="E1556">
        <v>508</v>
      </c>
      <c r="F1556">
        <v>416299.87</v>
      </c>
    </row>
    <row r="1557" spans="1:6" x14ac:dyDescent="0.3">
      <c r="A1557">
        <v>2025</v>
      </c>
      <c r="B1557">
        <v>10</v>
      </c>
      <c r="C1557" s="105" t="s">
        <v>46</v>
      </c>
      <c r="D1557" s="105" t="s">
        <v>51</v>
      </c>
      <c r="E1557">
        <v>91</v>
      </c>
      <c r="F1557">
        <v>61105.69</v>
      </c>
    </row>
    <row r="1558" spans="1:6" x14ac:dyDescent="0.3">
      <c r="A1558">
        <v>2025</v>
      </c>
      <c r="B1558">
        <v>10</v>
      </c>
      <c r="C1558" s="105" t="s">
        <v>46</v>
      </c>
      <c r="D1558" s="105" t="s">
        <v>32</v>
      </c>
      <c r="E1558">
        <v>198</v>
      </c>
      <c r="F1558">
        <v>171652.14</v>
      </c>
    </row>
    <row r="1559" spans="1:6" x14ac:dyDescent="0.3">
      <c r="A1559">
        <v>2025</v>
      </c>
      <c r="B1559">
        <v>10</v>
      </c>
      <c r="C1559" s="105" t="s">
        <v>46</v>
      </c>
      <c r="D1559" s="105" t="s">
        <v>52</v>
      </c>
      <c r="E1559">
        <v>99</v>
      </c>
      <c r="F1559">
        <v>89431.89</v>
      </c>
    </row>
    <row r="1560" spans="1:6" x14ac:dyDescent="0.3">
      <c r="A1560">
        <v>2025</v>
      </c>
      <c r="B1560">
        <v>10</v>
      </c>
      <c r="C1560" s="105" t="s">
        <v>46</v>
      </c>
      <c r="D1560" s="105" t="s">
        <v>33</v>
      </c>
      <c r="E1560">
        <v>475</v>
      </c>
      <c r="F1560">
        <v>433097.76</v>
      </c>
    </row>
    <row r="1561" spans="1:6" x14ac:dyDescent="0.3">
      <c r="A1561">
        <v>2025</v>
      </c>
      <c r="B1561">
        <v>10</v>
      </c>
      <c r="C1561" s="105" t="s">
        <v>46</v>
      </c>
      <c r="D1561" s="105" t="s">
        <v>58</v>
      </c>
      <c r="E1561">
        <v>168</v>
      </c>
      <c r="F1561">
        <v>136420.35999999999</v>
      </c>
    </row>
    <row r="1562" spans="1:6" x14ac:dyDescent="0.3">
      <c r="A1562">
        <v>2025</v>
      </c>
      <c r="B1562">
        <v>10</v>
      </c>
      <c r="C1562" s="105" t="s">
        <v>46</v>
      </c>
      <c r="D1562" s="105" t="s">
        <v>34</v>
      </c>
      <c r="E1562">
        <v>296</v>
      </c>
      <c r="F1562">
        <v>245619.59</v>
      </c>
    </row>
    <row r="1563" spans="1:6" x14ac:dyDescent="0.3">
      <c r="A1563">
        <v>2025</v>
      </c>
      <c r="B1563">
        <v>10</v>
      </c>
      <c r="C1563" s="105" t="s">
        <v>46</v>
      </c>
      <c r="D1563" s="105" t="s">
        <v>56</v>
      </c>
      <c r="E1563">
        <v>56</v>
      </c>
      <c r="F1563">
        <v>46904.99</v>
      </c>
    </row>
    <row r="1564" spans="1:6" x14ac:dyDescent="0.3">
      <c r="A1564">
        <v>2025</v>
      </c>
      <c r="B1564">
        <v>10</v>
      </c>
      <c r="C1564" s="105" t="s">
        <v>46</v>
      </c>
      <c r="D1564" s="105" t="s">
        <v>57</v>
      </c>
      <c r="E1564">
        <v>50</v>
      </c>
      <c r="F1564">
        <v>40534</v>
      </c>
    </row>
    <row r="1565" spans="1:6" x14ac:dyDescent="0.3">
      <c r="A1565">
        <v>2025</v>
      </c>
      <c r="B1565">
        <v>10</v>
      </c>
      <c r="C1565" s="105" t="s">
        <v>46</v>
      </c>
      <c r="D1565" s="105" t="s">
        <v>49</v>
      </c>
      <c r="E1565">
        <v>74</v>
      </c>
      <c r="F1565">
        <v>52082</v>
      </c>
    </row>
    <row r="1566" spans="1:6" x14ac:dyDescent="0.3">
      <c r="A1566">
        <v>2025</v>
      </c>
      <c r="B1566">
        <v>10</v>
      </c>
      <c r="C1566" s="105" t="s">
        <v>46</v>
      </c>
      <c r="D1566" s="105" t="s">
        <v>53</v>
      </c>
      <c r="E1566">
        <v>82</v>
      </c>
      <c r="F1566">
        <v>56957.93</v>
      </c>
    </row>
    <row r="1567" spans="1:6" x14ac:dyDescent="0.3">
      <c r="A1567">
        <v>2025</v>
      </c>
      <c r="B1567">
        <v>10</v>
      </c>
      <c r="C1567" s="105" t="s">
        <v>46</v>
      </c>
      <c r="D1567" s="105" t="s">
        <v>35</v>
      </c>
      <c r="E1567">
        <v>203</v>
      </c>
      <c r="F1567">
        <v>181917.9</v>
      </c>
    </row>
    <row r="1568" spans="1:6" x14ac:dyDescent="0.3">
      <c r="A1568">
        <v>2025</v>
      </c>
      <c r="B1568">
        <v>10</v>
      </c>
      <c r="C1568" s="105" t="s">
        <v>46</v>
      </c>
      <c r="D1568" s="105" t="s">
        <v>36</v>
      </c>
      <c r="E1568">
        <v>172</v>
      </c>
      <c r="F1568">
        <v>129250.89</v>
      </c>
    </row>
    <row r="1569" spans="1:6" x14ac:dyDescent="0.3">
      <c r="A1569">
        <v>2025</v>
      </c>
      <c r="B1569">
        <v>10</v>
      </c>
      <c r="C1569" s="105" t="s">
        <v>46</v>
      </c>
      <c r="D1569" s="105" t="s">
        <v>37</v>
      </c>
      <c r="E1569">
        <v>356</v>
      </c>
      <c r="F1569">
        <v>280499.67</v>
      </c>
    </row>
    <row r="1570" spans="1:6" x14ac:dyDescent="0.3">
      <c r="A1570">
        <v>2025</v>
      </c>
      <c r="B1570">
        <v>11</v>
      </c>
      <c r="C1570" s="105" t="s">
        <v>47</v>
      </c>
      <c r="D1570" s="105" t="s">
        <v>7</v>
      </c>
      <c r="E1570">
        <v>263</v>
      </c>
      <c r="F1570">
        <v>245568.88</v>
      </c>
    </row>
    <row r="1571" spans="1:6" x14ac:dyDescent="0.3">
      <c r="A1571">
        <v>2025</v>
      </c>
      <c r="B1571">
        <v>11</v>
      </c>
      <c r="C1571" s="105" t="s">
        <v>47</v>
      </c>
      <c r="D1571" s="105" t="s">
        <v>8</v>
      </c>
      <c r="E1571">
        <v>265</v>
      </c>
      <c r="F1571">
        <v>206226.93</v>
      </c>
    </row>
    <row r="1572" spans="1:6" x14ac:dyDescent="0.3">
      <c r="A1572">
        <v>2025</v>
      </c>
      <c r="B1572">
        <v>11</v>
      </c>
      <c r="C1572" s="105" t="s">
        <v>47</v>
      </c>
      <c r="D1572" s="105" t="s">
        <v>9</v>
      </c>
      <c r="E1572">
        <v>64</v>
      </c>
      <c r="F1572">
        <v>58420.59</v>
      </c>
    </row>
    <row r="1573" spans="1:6" x14ac:dyDescent="0.3">
      <c r="A1573">
        <v>2025</v>
      </c>
      <c r="B1573">
        <v>11</v>
      </c>
      <c r="C1573" s="105" t="s">
        <v>47</v>
      </c>
      <c r="D1573" s="105" t="s">
        <v>10</v>
      </c>
      <c r="E1573">
        <v>209</v>
      </c>
      <c r="F1573">
        <v>193996.38</v>
      </c>
    </row>
    <row r="1574" spans="1:6" x14ac:dyDescent="0.3">
      <c r="A1574">
        <v>2025</v>
      </c>
      <c r="B1574">
        <v>11</v>
      </c>
      <c r="C1574" s="105" t="s">
        <v>47</v>
      </c>
      <c r="D1574" s="105" t="s">
        <v>11</v>
      </c>
      <c r="E1574">
        <v>179</v>
      </c>
      <c r="F1574">
        <v>140684.44</v>
      </c>
    </row>
    <row r="1575" spans="1:6" x14ac:dyDescent="0.3">
      <c r="A1575">
        <v>2025</v>
      </c>
      <c r="B1575">
        <v>11</v>
      </c>
      <c r="C1575" s="105" t="s">
        <v>47</v>
      </c>
      <c r="D1575" s="105" t="s">
        <v>59</v>
      </c>
      <c r="E1575">
        <v>32</v>
      </c>
      <c r="F1575">
        <v>27476</v>
      </c>
    </row>
    <row r="1576" spans="1:6" x14ac:dyDescent="0.3">
      <c r="A1576">
        <v>2025</v>
      </c>
      <c r="B1576">
        <v>11</v>
      </c>
      <c r="C1576" s="105" t="s">
        <v>47</v>
      </c>
      <c r="D1576" s="105" t="s">
        <v>12</v>
      </c>
      <c r="E1576">
        <v>194</v>
      </c>
      <c r="F1576">
        <v>147644.94</v>
      </c>
    </row>
    <row r="1577" spans="1:6" x14ac:dyDescent="0.3">
      <c r="A1577">
        <v>2025</v>
      </c>
      <c r="B1577">
        <v>11</v>
      </c>
      <c r="C1577" s="105" t="s">
        <v>47</v>
      </c>
      <c r="D1577" s="105" t="s">
        <v>13</v>
      </c>
      <c r="E1577">
        <v>123</v>
      </c>
      <c r="F1577">
        <v>107873.25</v>
      </c>
    </row>
    <row r="1578" spans="1:6" x14ac:dyDescent="0.3">
      <c r="A1578">
        <v>2025</v>
      </c>
      <c r="B1578">
        <v>11</v>
      </c>
      <c r="C1578" s="105" t="s">
        <v>47</v>
      </c>
      <c r="D1578" s="105" t="s">
        <v>14</v>
      </c>
      <c r="E1578">
        <v>175</v>
      </c>
      <c r="F1578">
        <v>142997.63</v>
      </c>
    </row>
    <row r="1579" spans="1:6" x14ac:dyDescent="0.3">
      <c r="A1579">
        <v>2025</v>
      </c>
      <c r="B1579">
        <v>11</v>
      </c>
      <c r="C1579" s="105" t="s">
        <v>47</v>
      </c>
      <c r="D1579" s="105" t="s">
        <v>15</v>
      </c>
      <c r="E1579">
        <v>62</v>
      </c>
      <c r="F1579">
        <v>47030.55</v>
      </c>
    </row>
    <row r="1580" spans="1:6" x14ac:dyDescent="0.3">
      <c r="A1580">
        <v>2025</v>
      </c>
      <c r="B1580">
        <v>11</v>
      </c>
      <c r="C1580" s="105" t="s">
        <v>47</v>
      </c>
      <c r="D1580" s="105" t="s">
        <v>16</v>
      </c>
      <c r="E1580">
        <v>58</v>
      </c>
      <c r="F1580">
        <v>51585.84</v>
      </c>
    </row>
    <row r="1581" spans="1:6" x14ac:dyDescent="0.3">
      <c r="A1581">
        <v>2025</v>
      </c>
      <c r="B1581">
        <v>11</v>
      </c>
      <c r="C1581" s="105" t="s">
        <v>47</v>
      </c>
      <c r="D1581" s="105" t="s">
        <v>54</v>
      </c>
      <c r="E1581">
        <v>153</v>
      </c>
      <c r="F1581">
        <v>123269.37</v>
      </c>
    </row>
    <row r="1582" spans="1:6" x14ac:dyDescent="0.3">
      <c r="A1582">
        <v>2025</v>
      </c>
      <c r="B1582">
        <v>11</v>
      </c>
      <c r="C1582" s="105" t="s">
        <v>47</v>
      </c>
      <c r="D1582" s="105" t="s">
        <v>17</v>
      </c>
      <c r="E1582">
        <v>403</v>
      </c>
      <c r="F1582">
        <v>340879.9</v>
      </c>
    </row>
    <row r="1583" spans="1:6" x14ac:dyDescent="0.3">
      <c r="A1583">
        <v>2025</v>
      </c>
      <c r="B1583">
        <v>11</v>
      </c>
      <c r="C1583" s="105" t="s">
        <v>47</v>
      </c>
      <c r="D1583" s="105" t="s">
        <v>18</v>
      </c>
      <c r="E1583">
        <v>328</v>
      </c>
      <c r="F1583">
        <v>274786.06</v>
      </c>
    </row>
    <row r="1584" spans="1:6" x14ac:dyDescent="0.3">
      <c r="A1584">
        <v>2025</v>
      </c>
      <c r="B1584">
        <v>11</v>
      </c>
      <c r="C1584" s="105" t="s">
        <v>47</v>
      </c>
      <c r="D1584" s="105" t="s">
        <v>50</v>
      </c>
      <c r="E1584">
        <v>180</v>
      </c>
      <c r="F1584">
        <v>150623.28</v>
      </c>
    </row>
    <row r="1585" spans="1:6" x14ac:dyDescent="0.3">
      <c r="A1585">
        <v>2025</v>
      </c>
      <c r="B1585">
        <v>11</v>
      </c>
      <c r="C1585" s="105" t="s">
        <v>47</v>
      </c>
      <c r="D1585" s="105" t="s">
        <v>55</v>
      </c>
      <c r="E1585">
        <v>112</v>
      </c>
      <c r="F1585">
        <v>82136.63</v>
      </c>
    </row>
    <row r="1586" spans="1:6" x14ac:dyDescent="0.3">
      <c r="A1586">
        <v>2025</v>
      </c>
      <c r="B1586">
        <v>11</v>
      </c>
      <c r="C1586" s="105" t="s">
        <v>47</v>
      </c>
      <c r="D1586" s="105" t="s">
        <v>19</v>
      </c>
      <c r="E1586">
        <v>133</v>
      </c>
      <c r="F1586">
        <v>114646.46</v>
      </c>
    </row>
    <row r="1587" spans="1:6" x14ac:dyDescent="0.3">
      <c r="A1587">
        <v>2025</v>
      </c>
      <c r="B1587">
        <v>11</v>
      </c>
      <c r="C1587" s="105" t="s">
        <v>47</v>
      </c>
      <c r="D1587" s="105" t="s">
        <v>20</v>
      </c>
      <c r="E1587">
        <v>161</v>
      </c>
      <c r="F1587">
        <v>152260.54</v>
      </c>
    </row>
    <row r="1588" spans="1:6" x14ac:dyDescent="0.3">
      <c r="A1588">
        <v>2025</v>
      </c>
      <c r="B1588">
        <v>11</v>
      </c>
      <c r="C1588" s="105" t="s">
        <v>47</v>
      </c>
      <c r="D1588" s="105" t="s">
        <v>21</v>
      </c>
      <c r="E1588">
        <v>298</v>
      </c>
      <c r="F1588">
        <v>274162.43</v>
      </c>
    </row>
    <row r="1589" spans="1:6" x14ac:dyDescent="0.3">
      <c r="A1589">
        <v>2025</v>
      </c>
      <c r="B1589">
        <v>11</v>
      </c>
      <c r="C1589" s="105" t="s">
        <v>47</v>
      </c>
      <c r="D1589" s="105" t="s">
        <v>22</v>
      </c>
      <c r="E1589">
        <v>120</v>
      </c>
      <c r="F1589">
        <v>84938.1</v>
      </c>
    </row>
    <row r="1590" spans="1:6" x14ac:dyDescent="0.3">
      <c r="A1590">
        <v>2025</v>
      </c>
      <c r="B1590">
        <v>11</v>
      </c>
      <c r="C1590" s="105" t="s">
        <v>47</v>
      </c>
      <c r="D1590" s="105" t="s">
        <v>23</v>
      </c>
      <c r="E1590">
        <v>193</v>
      </c>
      <c r="F1590">
        <v>181434.99</v>
      </c>
    </row>
    <row r="1591" spans="1:6" x14ac:dyDescent="0.3">
      <c r="A1591">
        <v>2025</v>
      </c>
      <c r="B1591">
        <v>11</v>
      </c>
      <c r="C1591" s="105" t="s">
        <v>47</v>
      </c>
      <c r="D1591" s="105" t="s">
        <v>24</v>
      </c>
      <c r="E1591">
        <v>199</v>
      </c>
      <c r="F1591">
        <v>145107.69</v>
      </c>
    </row>
    <row r="1592" spans="1:6" x14ac:dyDescent="0.3">
      <c r="A1592">
        <v>2025</v>
      </c>
      <c r="B1592">
        <v>11</v>
      </c>
      <c r="C1592" s="105" t="s">
        <v>47</v>
      </c>
      <c r="D1592" s="105" t="s">
        <v>25</v>
      </c>
      <c r="E1592">
        <v>291</v>
      </c>
      <c r="F1592">
        <v>255517.71</v>
      </c>
    </row>
    <row r="1593" spans="1:6" x14ac:dyDescent="0.3">
      <c r="A1593">
        <v>2025</v>
      </c>
      <c r="B1593">
        <v>11</v>
      </c>
      <c r="C1593" s="105" t="s">
        <v>47</v>
      </c>
      <c r="D1593" s="105" t="s">
        <v>26</v>
      </c>
      <c r="E1593">
        <v>193</v>
      </c>
      <c r="F1593">
        <v>168966.09</v>
      </c>
    </row>
    <row r="1594" spans="1:6" x14ac:dyDescent="0.3">
      <c r="A1594">
        <v>2025</v>
      </c>
      <c r="B1594">
        <v>11</v>
      </c>
      <c r="C1594" s="105" t="s">
        <v>47</v>
      </c>
      <c r="D1594" s="105" t="s">
        <v>27</v>
      </c>
      <c r="E1594">
        <v>170</v>
      </c>
      <c r="F1594">
        <v>146113.35</v>
      </c>
    </row>
    <row r="1595" spans="1:6" x14ac:dyDescent="0.3">
      <c r="A1595">
        <v>2025</v>
      </c>
      <c r="B1595">
        <v>11</v>
      </c>
      <c r="C1595" s="105" t="s">
        <v>47</v>
      </c>
      <c r="D1595" s="105" t="s">
        <v>28</v>
      </c>
      <c r="E1595">
        <v>99</v>
      </c>
      <c r="F1595">
        <v>99952.99</v>
      </c>
    </row>
    <row r="1596" spans="1:6" x14ac:dyDescent="0.3">
      <c r="A1596">
        <v>2025</v>
      </c>
      <c r="B1596">
        <v>11</v>
      </c>
      <c r="C1596" s="105" t="s">
        <v>47</v>
      </c>
      <c r="D1596" s="105" t="s">
        <v>29</v>
      </c>
      <c r="E1596">
        <v>221</v>
      </c>
      <c r="F1596">
        <v>177802.9</v>
      </c>
    </row>
    <row r="1597" spans="1:6" x14ac:dyDescent="0.3">
      <c r="A1597">
        <v>2025</v>
      </c>
      <c r="B1597">
        <v>11</v>
      </c>
      <c r="C1597" s="105" t="s">
        <v>47</v>
      </c>
      <c r="D1597" s="105" t="s">
        <v>30</v>
      </c>
      <c r="E1597">
        <v>55</v>
      </c>
      <c r="F1597">
        <v>37399.06</v>
      </c>
    </row>
    <row r="1598" spans="1:6" x14ac:dyDescent="0.3">
      <c r="A1598">
        <v>2025</v>
      </c>
      <c r="B1598">
        <v>11</v>
      </c>
      <c r="C1598" s="105" t="s">
        <v>47</v>
      </c>
      <c r="D1598" s="105" t="s">
        <v>31</v>
      </c>
      <c r="E1598">
        <v>408</v>
      </c>
      <c r="F1598">
        <v>345896.13</v>
      </c>
    </row>
    <row r="1599" spans="1:6" x14ac:dyDescent="0.3">
      <c r="A1599">
        <v>2025</v>
      </c>
      <c r="B1599">
        <v>11</v>
      </c>
      <c r="C1599" s="105" t="s">
        <v>47</v>
      </c>
      <c r="D1599" s="105" t="s">
        <v>51</v>
      </c>
      <c r="E1599">
        <v>145</v>
      </c>
      <c r="F1599">
        <v>98853</v>
      </c>
    </row>
    <row r="1600" spans="1:6" x14ac:dyDescent="0.3">
      <c r="A1600">
        <v>2025</v>
      </c>
      <c r="B1600">
        <v>11</v>
      </c>
      <c r="C1600" s="105" t="s">
        <v>47</v>
      </c>
      <c r="D1600" s="105" t="s">
        <v>32</v>
      </c>
      <c r="E1600">
        <v>111</v>
      </c>
      <c r="F1600">
        <v>100954.32</v>
      </c>
    </row>
    <row r="1601" spans="1:6" x14ac:dyDescent="0.3">
      <c r="A1601">
        <v>2025</v>
      </c>
      <c r="B1601">
        <v>11</v>
      </c>
      <c r="C1601" s="105" t="s">
        <v>47</v>
      </c>
      <c r="D1601" s="105" t="s">
        <v>52</v>
      </c>
      <c r="E1601">
        <v>88</v>
      </c>
      <c r="F1601">
        <v>75143</v>
      </c>
    </row>
    <row r="1602" spans="1:6" x14ac:dyDescent="0.3">
      <c r="A1602">
        <v>2025</v>
      </c>
      <c r="B1602">
        <v>11</v>
      </c>
      <c r="C1602" s="105" t="s">
        <v>47</v>
      </c>
      <c r="D1602" s="105" t="s">
        <v>33</v>
      </c>
      <c r="E1602">
        <v>344</v>
      </c>
      <c r="F1602">
        <v>315669.89</v>
      </c>
    </row>
    <row r="1603" spans="1:6" x14ac:dyDescent="0.3">
      <c r="A1603">
        <v>2025</v>
      </c>
      <c r="B1603">
        <v>11</v>
      </c>
      <c r="C1603" s="105" t="s">
        <v>47</v>
      </c>
      <c r="D1603" s="105" t="s">
        <v>58</v>
      </c>
      <c r="E1603">
        <v>120</v>
      </c>
      <c r="F1603">
        <v>100167.13</v>
      </c>
    </row>
    <row r="1604" spans="1:6" x14ac:dyDescent="0.3">
      <c r="A1604">
        <v>2025</v>
      </c>
      <c r="B1604">
        <v>11</v>
      </c>
      <c r="C1604" s="105" t="s">
        <v>47</v>
      </c>
      <c r="D1604" s="105" t="s">
        <v>34</v>
      </c>
      <c r="E1604">
        <v>295</v>
      </c>
      <c r="F1604">
        <v>240250.41</v>
      </c>
    </row>
    <row r="1605" spans="1:6" x14ac:dyDescent="0.3">
      <c r="A1605">
        <v>2025</v>
      </c>
      <c r="B1605">
        <v>11</v>
      </c>
      <c r="C1605" s="105" t="s">
        <v>47</v>
      </c>
      <c r="D1605" s="105" t="s">
        <v>56</v>
      </c>
      <c r="E1605">
        <v>61</v>
      </c>
      <c r="F1605">
        <v>51140.98</v>
      </c>
    </row>
    <row r="1606" spans="1:6" x14ac:dyDescent="0.3">
      <c r="A1606">
        <v>2025</v>
      </c>
      <c r="B1606">
        <v>11</v>
      </c>
      <c r="C1606" s="105" t="s">
        <v>47</v>
      </c>
      <c r="D1606" s="105" t="s">
        <v>57</v>
      </c>
      <c r="E1606">
        <v>54</v>
      </c>
      <c r="F1606">
        <v>41642</v>
      </c>
    </row>
    <row r="1607" spans="1:6" x14ac:dyDescent="0.3">
      <c r="A1607">
        <v>2025</v>
      </c>
      <c r="B1607">
        <v>11</v>
      </c>
      <c r="C1607" s="105" t="s">
        <v>47</v>
      </c>
      <c r="D1607" s="105" t="s">
        <v>49</v>
      </c>
      <c r="E1607">
        <v>82</v>
      </c>
      <c r="F1607">
        <v>54697.3</v>
      </c>
    </row>
    <row r="1608" spans="1:6" x14ac:dyDescent="0.3">
      <c r="A1608">
        <v>2025</v>
      </c>
      <c r="B1608">
        <v>11</v>
      </c>
      <c r="C1608" s="105" t="s">
        <v>47</v>
      </c>
      <c r="D1608" s="105" t="s">
        <v>53</v>
      </c>
      <c r="E1608">
        <v>62</v>
      </c>
      <c r="F1608">
        <v>45384</v>
      </c>
    </row>
    <row r="1609" spans="1:6" x14ac:dyDescent="0.3">
      <c r="A1609">
        <v>2025</v>
      </c>
      <c r="B1609">
        <v>11</v>
      </c>
      <c r="C1609" s="105" t="s">
        <v>47</v>
      </c>
      <c r="D1609" s="105" t="s">
        <v>35</v>
      </c>
      <c r="E1609">
        <v>183</v>
      </c>
      <c r="F1609">
        <v>170635.59</v>
      </c>
    </row>
    <row r="1610" spans="1:6" x14ac:dyDescent="0.3">
      <c r="A1610">
        <v>2025</v>
      </c>
      <c r="B1610">
        <v>11</v>
      </c>
      <c r="C1610" s="105" t="s">
        <v>47</v>
      </c>
      <c r="D1610" s="105" t="s">
        <v>36</v>
      </c>
      <c r="E1610">
        <v>197</v>
      </c>
      <c r="F1610">
        <v>196377.56</v>
      </c>
    </row>
    <row r="1611" spans="1:6" x14ac:dyDescent="0.3">
      <c r="A1611">
        <v>2025</v>
      </c>
      <c r="B1611">
        <v>11</v>
      </c>
      <c r="C1611" s="105" t="s">
        <v>47</v>
      </c>
      <c r="D1611" s="105" t="s">
        <v>37</v>
      </c>
      <c r="E1611">
        <v>243</v>
      </c>
      <c r="F1611">
        <v>218178.19</v>
      </c>
    </row>
    <row r="1612" spans="1:6" x14ac:dyDescent="0.3">
      <c r="A1612">
        <v>2025</v>
      </c>
      <c r="B1612">
        <v>12</v>
      </c>
      <c r="C1612" s="105" t="s">
        <v>48</v>
      </c>
      <c r="D1612" s="105" t="s">
        <v>7</v>
      </c>
      <c r="E1612">
        <v>288</v>
      </c>
      <c r="F1612">
        <v>267033.06</v>
      </c>
    </row>
    <row r="1613" spans="1:6" x14ac:dyDescent="0.3">
      <c r="A1613">
        <v>2025</v>
      </c>
      <c r="B1613">
        <v>12</v>
      </c>
      <c r="C1613" s="105" t="s">
        <v>48</v>
      </c>
      <c r="D1613" s="105" t="s">
        <v>8</v>
      </c>
      <c r="E1613">
        <v>327</v>
      </c>
      <c r="F1613">
        <v>253009.47</v>
      </c>
    </row>
    <row r="1614" spans="1:6" x14ac:dyDescent="0.3">
      <c r="A1614">
        <v>2025</v>
      </c>
      <c r="B1614">
        <v>12</v>
      </c>
      <c r="C1614" s="105" t="s">
        <v>48</v>
      </c>
      <c r="D1614" s="105" t="s">
        <v>9</v>
      </c>
      <c r="E1614">
        <v>72</v>
      </c>
      <c r="F1614">
        <v>53648.4</v>
      </c>
    </row>
    <row r="1615" spans="1:6" x14ac:dyDescent="0.3">
      <c r="A1615">
        <v>2025</v>
      </c>
      <c r="B1615">
        <v>12</v>
      </c>
      <c r="C1615" s="105" t="s">
        <v>48</v>
      </c>
      <c r="D1615" s="105" t="s">
        <v>10</v>
      </c>
      <c r="E1615">
        <v>239</v>
      </c>
      <c r="F1615">
        <v>232440.33</v>
      </c>
    </row>
    <row r="1616" spans="1:6" x14ac:dyDescent="0.3">
      <c r="A1616">
        <v>2025</v>
      </c>
      <c r="B1616">
        <v>12</v>
      </c>
      <c r="C1616" s="105" t="s">
        <v>48</v>
      </c>
      <c r="D1616" s="105" t="s">
        <v>11</v>
      </c>
      <c r="E1616">
        <v>194</v>
      </c>
      <c r="F1616">
        <v>168264.6</v>
      </c>
    </row>
    <row r="1617" spans="1:6" x14ac:dyDescent="0.3">
      <c r="A1617">
        <v>2025</v>
      </c>
      <c r="B1617">
        <v>12</v>
      </c>
      <c r="C1617" s="105" t="s">
        <v>48</v>
      </c>
      <c r="D1617" s="105" t="s">
        <v>59</v>
      </c>
      <c r="E1617">
        <v>32</v>
      </c>
      <c r="F1617">
        <v>28311</v>
      </c>
    </row>
    <row r="1618" spans="1:6" x14ac:dyDescent="0.3">
      <c r="A1618">
        <v>2025</v>
      </c>
      <c r="B1618">
        <v>12</v>
      </c>
      <c r="C1618" s="105" t="s">
        <v>48</v>
      </c>
      <c r="D1618" s="105" t="s">
        <v>12</v>
      </c>
      <c r="E1618">
        <v>181</v>
      </c>
      <c r="F1618">
        <v>162978.53</v>
      </c>
    </row>
    <row r="1619" spans="1:6" x14ac:dyDescent="0.3">
      <c r="A1619">
        <v>2025</v>
      </c>
      <c r="B1619">
        <v>12</v>
      </c>
      <c r="C1619" s="105" t="s">
        <v>48</v>
      </c>
      <c r="D1619" s="105" t="s">
        <v>13</v>
      </c>
      <c r="E1619">
        <v>167</v>
      </c>
      <c r="F1619">
        <v>145152.32000000001</v>
      </c>
    </row>
    <row r="1620" spans="1:6" x14ac:dyDescent="0.3">
      <c r="A1620">
        <v>2025</v>
      </c>
      <c r="B1620">
        <v>12</v>
      </c>
      <c r="C1620" s="105" t="s">
        <v>48</v>
      </c>
      <c r="D1620" s="105" t="s">
        <v>14</v>
      </c>
      <c r="E1620">
        <v>301</v>
      </c>
      <c r="F1620">
        <v>211460.85</v>
      </c>
    </row>
    <row r="1621" spans="1:6" x14ac:dyDescent="0.3">
      <c r="A1621">
        <v>2025</v>
      </c>
      <c r="B1621">
        <v>12</v>
      </c>
      <c r="C1621" s="105" t="s">
        <v>48</v>
      </c>
      <c r="D1621" s="105" t="s">
        <v>15</v>
      </c>
      <c r="E1621">
        <v>88</v>
      </c>
      <c r="F1621">
        <v>67127.56</v>
      </c>
    </row>
    <row r="1622" spans="1:6" x14ac:dyDescent="0.3">
      <c r="A1622">
        <v>2025</v>
      </c>
      <c r="B1622">
        <v>12</v>
      </c>
      <c r="C1622" s="105" t="s">
        <v>48</v>
      </c>
      <c r="D1622" s="105" t="s">
        <v>16</v>
      </c>
      <c r="E1622">
        <v>113</v>
      </c>
      <c r="F1622">
        <v>115058.18</v>
      </c>
    </row>
    <row r="1623" spans="1:6" x14ac:dyDescent="0.3">
      <c r="A1623">
        <v>2025</v>
      </c>
      <c r="B1623">
        <v>12</v>
      </c>
      <c r="C1623" s="105" t="s">
        <v>48</v>
      </c>
      <c r="D1623" s="105" t="s">
        <v>54</v>
      </c>
      <c r="E1623">
        <v>141</v>
      </c>
      <c r="F1623">
        <v>112401</v>
      </c>
    </row>
    <row r="1624" spans="1:6" x14ac:dyDescent="0.3">
      <c r="A1624">
        <v>2025</v>
      </c>
      <c r="B1624">
        <v>12</v>
      </c>
      <c r="C1624" s="105" t="s">
        <v>48</v>
      </c>
      <c r="D1624" s="105" t="s">
        <v>17</v>
      </c>
      <c r="E1624">
        <v>541</v>
      </c>
      <c r="F1624">
        <v>470250.51</v>
      </c>
    </row>
    <row r="1625" spans="1:6" x14ac:dyDescent="0.3">
      <c r="A1625">
        <v>2025</v>
      </c>
      <c r="B1625">
        <v>12</v>
      </c>
      <c r="C1625" s="105" t="s">
        <v>48</v>
      </c>
      <c r="D1625" s="105" t="s">
        <v>18</v>
      </c>
      <c r="E1625">
        <v>426</v>
      </c>
      <c r="F1625">
        <v>393237.35</v>
      </c>
    </row>
    <row r="1626" spans="1:6" x14ac:dyDescent="0.3">
      <c r="A1626">
        <v>2025</v>
      </c>
      <c r="B1626">
        <v>12</v>
      </c>
      <c r="C1626" s="105" t="s">
        <v>48</v>
      </c>
      <c r="D1626" s="105" t="s">
        <v>50</v>
      </c>
      <c r="E1626">
        <v>156</v>
      </c>
      <c r="F1626">
        <v>131196.26</v>
      </c>
    </row>
    <row r="1627" spans="1:6" x14ac:dyDescent="0.3">
      <c r="A1627">
        <v>2025</v>
      </c>
      <c r="B1627">
        <v>12</v>
      </c>
      <c r="C1627" s="105" t="s">
        <v>48</v>
      </c>
      <c r="D1627" s="105" t="s">
        <v>55</v>
      </c>
      <c r="E1627">
        <v>62</v>
      </c>
      <c r="F1627">
        <v>47112.61</v>
      </c>
    </row>
    <row r="1628" spans="1:6" x14ac:dyDescent="0.3">
      <c r="A1628">
        <v>2025</v>
      </c>
      <c r="B1628">
        <v>12</v>
      </c>
      <c r="C1628" s="105" t="s">
        <v>48</v>
      </c>
      <c r="D1628" s="105" t="s">
        <v>19</v>
      </c>
      <c r="E1628">
        <v>180</v>
      </c>
      <c r="F1628">
        <v>210498.57</v>
      </c>
    </row>
    <row r="1629" spans="1:6" x14ac:dyDescent="0.3">
      <c r="A1629">
        <v>2025</v>
      </c>
      <c r="B1629">
        <v>12</v>
      </c>
      <c r="C1629" s="105" t="s">
        <v>48</v>
      </c>
      <c r="D1629" s="105" t="s">
        <v>20</v>
      </c>
      <c r="E1629">
        <v>213</v>
      </c>
      <c r="F1629">
        <v>189480.51</v>
      </c>
    </row>
    <row r="1630" spans="1:6" x14ac:dyDescent="0.3">
      <c r="A1630">
        <v>2025</v>
      </c>
      <c r="B1630">
        <v>12</v>
      </c>
      <c r="C1630" s="105" t="s">
        <v>48</v>
      </c>
      <c r="D1630" s="105" t="s">
        <v>21</v>
      </c>
      <c r="E1630">
        <v>328</v>
      </c>
      <c r="F1630">
        <v>333271.59000000003</v>
      </c>
    </row>
    <row r="1631" spans="1:6" x14ac:dyDescent="0.3">
      <c r="A1631">
        <v>2025</v>
      </c>
      <c r="B1631">
        <v>12</v>
      </c>
      <c r="C1631" s="105" t="s">
        <v>48</v>
      </c>
      <c r="D1631" s="105" t="s">
        <v>22</v>
      </c>
      <c r="E1631">
        <v>129</v>
      </c>
      <c r="F1631">
        <v>86666.19</v>
      </c>
    </row>
    <row r="1632" spans="1:6" x14ac:dyDescent="0.3">
      <c r="A1632">
        <v>2025</v>
      </c>
      <c r="B1632">
        <v>12</v>
      </c>
      <c r="C1632" s="105" t="s">
        <v>48</v>
      </c>
      <c r="D1632" s="105" t="s">
        <v>23</v>
      </c>
      <c r="E1632">
        <v>272</v>
      </c>
      <c r="F1632">
        <v>288463.46000000002</v>
      </c>
    </row>
    <row r="1633" spans="1:6" x14ac:dyDescent="0.3">
      <c r="A1633">
        <v>2025</v>
      </c>
      <c r="B1633">
        <v>12</v>
      </c>
      <c r="C1633" s="105" t="s">
        <v>48</v>
      </c>
      <c r="D1633" s="105" t="s">
        <v>24</v>
      </c>
      <c r="E1633">
        <v>249</v>
      </c>
      <c r="F1633">
        <v>180190.24</v>
      </c>
    </row>
    <row r="1634" spans="1:6" x14ac:dyDescent="0.3">
      <c r="A1634">
        <v>2025</v>
      </c>
      <c r="B1634">
        <v>12</v>
      </c>
      <c r="C1634" s="105" t="s">
        <v>48</v>
      </c>
      <c r="D1634" s="105" t="s">
        <v>25</v>
      </c>
      <c r="E1634">
        <v>314</v>
      </c>
      <c r="F1634">
        <v>264169.83</v>
      </c>
    </row>
    <row r="1635" spans="1:6" x14ac:dyDescent="0.3">
      <c r="A1635">
        <v>2025</v>
      </c>
      <c r="B1635">
        <v>12</v>
      </c>
      <c r="C1635" s="105" t="s">
        <v>48</v>
      </c>
      <c r="D1635" s="105" t="s">
        <v>26</v>
      </c>
      <c r="E1635">
        <v>219</v>
      </c>
      <c r="F1635">
        <v>196049</v>
      </c>
    </row>
    <row r="1636" spans="1:6" x14ac:dyDescent="0.3">
      <c r="A1636">
        <v>2025</v>
      </c>
      <c r="B1636">
        <v>12</v>
      </c>
      <c r="C1636" s="105" t="s">
        <v>48</v>
      </c>
      <c r="D1636" s="105" t="s">
        <v>27</v>
      </c>
      <c r="E1636">
        <v>176</v>
      </c>
      <c r="F1636">
        <v>171009.14</v>
      </c>
    </row>
    <row r="1637" spans="1:6" x14ac:dyDescent="0.3">
      <c r="A1637">
        <v>2025</v>
      </c>
      <c r="B1637">
        <v>12</v>
      </c>
      <c r="C1637" s="105" t="s">
        <v>48</v>
      </c>
      <c r="D1637" s="105" t="s">
        <v>28</v>
      </c>
      <c r="E1637">
        <v>178</v>
      </c>
      <c r="F1637">
        <v>456775.8</v>
      </c>
    </row>
    <row r="1638" spans="1:6" x14ac:dyDescent="0.3">
      <c r="A1638">
        <v>2025</v>
      </c>
      <c r="B1638">
        <v>12</v>
      </c>
      <c r="C1638" s="105" t="s">
        <v>48</v>
      </c>
      <c r="D1638" s="105" t="s">
        <v>29</v>
      </c>
      <c r="E1638">
        <v>307</v>
      </c>
      <c r="F1638">
        <v>284081.8</v>
      </c>
    </row>
    <row r="1639" spans="1:6" x14ac:dyDescent="0.3">
      <c r="A1639">
        <v>2025</v>
      </c>
      <c r="B1639">
        <v>12</v>
      </c>
      <c r="C1639" s="105" t="s">
        <v>48</v>
      </c>
      <c r="D1639" s="105" t="s">
        <v>30</v>
      </c>
      <c r="E1639">
        <v>65</v>
      </c>
      <c r="F1639">
        <v>45864.63</v>
      </c>
    </row>
    <row r="1640" spans="1:6" x14ac:dyDescent="0.3">
      <c r="A1640">
        <v>2025</v>
      </c>
      <c r="B1640">
        <v>12</v>
      </c>
      <c r="C1640" s="105" t="s">
        <v>48</v>
      </c>
      <c r="D1640" s="105" t="s">
        <v>31</v>
      </c>
      <c r="E1640">
        <v>490</v>
      </c>
      <c r="F1640">
        <v>478184.65</v>
      </c>
    </row>
    <row r="1641" spans="1:6" x14ac:dyDescent="0.3">
      <c r="A1641">
        <v>2025</v>
      </c>
      <c r="B1641">
        <v>12</v>
      </c>
      <c r="C1641" s="105" t="s">
        <v>48</v>
      </c>
      <c r="D1641" s="105" t="s">
        <v>51</v>
      </c>
      <c r="E1641">
        <v>119</v>
      </c>
      <c r="F1641">
        <v>79976</v>
      </c>
    </row>
    <row r="1642" spans="1:6" x14ac:dyDescent="0.3">
      <c r="A1642">
        <v>2025</v>
      </c>
      <c r="B1642">
        <v>12</v>
      </c>
      <c r="C1642" s="105" t="s">
        <v>48</v>
      </c>
      <c r="D1642" s="105" t="s">
        <v>32</v>
      </c>
      <c r="E1642">
        <v>200</v>
      </c>
      <c r="F1642">
        <v>185283.85</v>
      </c>
    </row>
    <row r="1643" spans="1:6" x14ac:dyDescent="0.3">
      <c r="A1643">
        <v>2025</v>
      </c>
      <c r="B1643">
        <v>12</v>
      </c>
      <c r="C1643" s="105" t="s">
        <v>48</v>
      </c>
      <c r="D1643" s="105" t="s">
        <v>52</v>
      </c>
      <c r="E1643">
        <v>88</v>
      </c>
      <c r="F1643">
        <v>67015</v>
      </c>
    </row>
    <row r="1644" spans="1:6" x14ac:dyDescent="0.3">
      <c r="A1644">
        <v>2025</v>
      </c>
      <c r="B1644">
        <v>12</v>
      </c>
      <c r="C1644" s="105" t="s">
        <v>48</v>
      </c>
      <c r="D1644" s="105" t="s">
        <v>33</v>
      </c>
      <c r="E1644">
        <v>424</v>
      </c>
      <c r="F1644">
        <v>388099.95</v>
      </c>
    </row>
    <row r="1645" spans="1:6" x14ac:dyDescent="0.3">
      <c r="A1645">
        <v>2025</v>
      </c>
      <c r="B1645">
        <v>12</v>
      </c>
      <c r="C1645" s="105" t="s">
        <v>48</v>
      </c>
      <c r="D1645" s="105" t="s">
        <v>58</v>
      </c>
      <c r="E1645">
        <v>139</v>
      </c>
      <c r="F1645">
        <v>115502.44</v>
      </c>
    </row>
    <row r="1646" spans="1:6" x14ac:dyDescent="0.3">
      <c r="A1646">
        <v>2025</v>
      </c>
      <c r="B1646">
        <v>12</v>
      </c>
      <c r="C1646" s="105" t="s">
        <v>48</v>
      </c>
      <c r="D1646" s="105" t="s">
        <v>34</v>
      </c>
      <c r="E1646">
        <v>378</v>
      </c>
      <c r="F1646">
        <v>338883.98</v>
      </c>
    </row>
    <row r="1647" spans="1:6" x14ac:dyDescent="0.3">
      <c r="A1647">
        <v>2025</v>
      </c>
      <c r="B1647">
        <v>12</v>
      </c>
      <c r="C1647" s="105" t="s">
        <v>48</v>
      </c>
      <c r="D1647" s="105" t="s">
        <v>56</v>
      </c>
      <c r="E1647">
        <v>73</v>
      </c>
      <c r="F1647">
        <v>60112.98</v>
      </c>
    </row>
    <row r="1648" spans="1:6" x14ac:dyDescent="0.3">
      <c r="A1648">
        <v>2025</v>
      </c>
      <c r="B1648">
        <v>12</v>
      </c>
      <c r="C1648" s="105" t="s">
        <v>48</v>
      </c>
      <c r="D1648" s="105" t="s">
        <v>57</v>
      </c>
      <c r="E1648">
        <v>52</v>
      </c>
      <c r="F1648">
        <v>43549</v>
      </c>
    </row>
    <row r="1649" spans="1:6" x14ac:dyDescent="0.3">
      <c r="A1649">
        <v>2025</v>
      </c>
      <c r="B1649">
        <v>12</v>
      </c>
      <c r="C1649" s="105" t="s">
        <v>48</v>
      </c>
      <c r="D1649" s="105" t="s">
        <v>49</v>
      </c>
      <c r="E1649">
        <v>68</v>
      </c>
      <c r="F1649">
        <v>50379</v>
      </c>
    </row>
    <row r="1650" spans="1:6" x14ac:dyDescent="0.3">
      <c r="A1650">
        <v>2025</v>
      </c>
      <c r="B1650">
        <v>12</v>
      </c>
      <c r="C1650" s="105" t="s">
        <v>48</v>
      </c>
      <c r="D1650" s="105" t="s">
        <v>53</v>
      </c>
      <c r="E1650">
        <v>60</v>
      </c>
      <c r="F1650">
        <v>46651.23</v>
      </c>
    </row>
    <row r="1651" spans="1:6" x14ac:dyDescent="0.3">
      <c r="A1651">
        <v>2025</v>
      </c>
      <c r="B1651">
        <v>12</v>
      </c>
      <c r="C1651" s="105" t="s">
        <v>48</v>
      </c>
      <c r="D1651" s="105" t="s">
        <v>35</v>
      </c>
      <c r="E1651">
        <v>211</v>
      </c>
      <c r="F1651">
        <v>204985.66</v>
      </c>
    </row>
    <row r="1652" spans="1:6" x14ac:dyDescent="0.3">
      <c r="A1652">
        <v>2025</v>
      </c>
      <c r="B1652">
        <v>12</v>
      </c>
      <c r="C1652" s="105" t="s">
        <v>48</v>
      </c>
      <c r="D1652" s="105" t="s">
        <v>36</v>
      </c>
      <c r="E1652">
        <v>165</v>
      </c>
      <c r="F1652">
        <v>149405.70000000001</v>
      </c>
    </row>
    <row r="1653" spans="1:6" x14ac:dyDescent="0.3">
      <c r="A1653">
        <v>2025</v>
      </c>
      <c r="B1653">
        <v>12</v>
      </c>
      <c r="C1653" s="105" t="s">
        <v>48</v>
      </c>
      <c r="D1653" s="105" t="s">
        <v>37</v>
      </c>
      <c r="E1653">
        <v>231</v>
      </c>
      <c r="F1653">
        <v>210182.83</v>
      </c>
    </row>
    <row r="1654" spans="1:6" x14ac:dyDescent="0.3">
      <c r="A1654">
        <v>2026</v>
      </c>
      <c r="B1654">
        <v>1</v>
      </c>
      <c r="C1654" s="105" t="s">
        <v>6</v>
      </c>
      <c r="D1654" s="105" t="s">
        <v>7</v>
      </c>
      <c r="E1654">
        <v>215</v>
      </c>
      <c r="F1654">
        <v>190053.65</v>
      </c>
    </row>
    <row r="1655" spans="1:6" x14ac:dyDescent="0.3">
      <c r="A1655">
        <v>2026</v>
      </c>
      <c r="B1655">
        <v>1</v>
      </c>
      <c r="C1655" s="105" t="s">
        <v>6</v>
      </c>
      <c r="D1655" s="105" t="s">
        <v>8</v>
      </c>
      <c r="E1655">
        <v>315</v>
      </c>
      <c r="F1655">
        <v>431351.13</v>
      </c>
    </row>
    <row r="1656" spans="1:6" x14ac:dyDescent="0.3">
      <c r="A1656">
        <v>2026</v>
      </c>
      <c r="B1656">
        <v>1</v>
      </c>
      <c r="C1656" s="105" t="s">
        <v>6</v>
      </c>
      <c r="D1656" s="105" t="s">
        <v>9</v>
      </c>
      <c r="E1656">
        <v>62</v>
      </c>
      <c r="F1656">
        <v>52612.77</v>
      </c>
    </row>
    <row r="1657" spans="1:6" x14ac:dyDescent="0.3">
      <c r="A1657">
        <v>2026</v>
      </c>
      <c r="B1657">
        <v>1</v>
      </c>
      <c r="C1657" s="105" t="s">
        <v>6</v>
      </c>
      <c r="D1657" s="105" t="s">
        <v>10</v>
      </c>
      <c r="E1657">
        <v>225</v>
      </c>
      <c r="F1657">
        <v>214378.2</v>
      </c>
    </row>
    <row r="1658" spans="1:6" x14ac:dyDescent="0.3">
      <c r="A1658">
        <v>2026</v>
      </c>
      <c r="B1658">
        <v>1</v>
      </c>
      <c r="C1658" s="105" t="s">
        <v>6</v>
      </c>
      <c r="D1658" s="105" t="s">
        <v>11</v>
      </c>
      <c r="E1658">
        <v>164</v>
      </c>
      <c r="F1658">
        <v>139349.29999999999</v>
      </c>
    </row>
    <row r="1659" spans="1:6" x14ac:dyDescent="0.3">
      <c r="A1659">
        <v>2026</v>
      </c>
      <c r="B1659">
        <v>1</v>
      </c>
      <c r="C1659" s="105" t="s">
        <v>6</v>
      </c>
      <c r="D1659" s="105" t="s">
        <v>59</v>
      </c>
      <c r="E1659">
        <v>25</v>
      </c>
      <c r="F1659">
        <v>21933</v>
      </c>
    </row>
    <row r="1660" spans="1:6" x14ac:dyDescent="0.3">
      <c r="A1660">
        <v>2026</v>
      </c>
      <c r="B1660">
        <v>1</v>
      </c>
      <c r="C1660" s="105" t="s">
        <v>6</v>
      </c>
      <c r="D1660" s="105" t="s">
        <v>12</v>
      </c>
      <c r="E1660">
        <v>210</v>
      </c>
      <c r="F1660">
        <v>617208.1</v>
      </c>
    </row>
    <row r="1661" spans="1:6" x14ac:dyDescent="0.3">
      <c r="A1661">
        <v>2026</v>
      </c>
      <c r="B1661">
        <v>1</v>
      </c>
      <c r="C1661" s="105" t="s">
        <v>6</v>
      </c>
      <c r="D1661" s="105" t="s">
        <v>13</v>
      </c>
      <c r="E1661">
        <v>124</v>
      </c>
      <c r="F1661">
        <v>124214.24</v>
      </c>
    </row>
    <row r="1662" spans="1:6" x14ac:dyDescent="0.3">
      <c r="A1662">
        <v>2026</v>
      </c>
      <c r="B1662">
        <v>1</v>
      </c>
      <c r="C1662" s="105" t="s">
        <v>6</v>
      </c>
      <c r="D1662" s="105" t="s">
        <v>14</v>
      </c>
      <c r="E1662">
        <v>322</v>
      </c>
      <c r="F1662">
        <v>215523.75</v>
      </c>
    </row>
    <row r="1663" spans="1:6" x14ac:dyDescent="0.3">
      <c r="A1663">
        <v>2026</v>
      </c>
      <c r="B1663">
        <v>1</v>
      </c>
      <c r="C1663" s="105" t="s">
        <v>6</v>
      </c>
      <c r="D1663" s="105" t="s">
        <v>15</v>
      </c>
      <c r="E1663">
        <v>70</v>
      </c>
      <c r="F1663">
        <v>59079.99</v>
      </c>
    </row>
    <row r="1664" spans="1:6" x14ac:dyDescent="0.3">
      <c r="A1664">
        <v>2026</v>
      </c>
      <c r="B1664">
        <v>1</v>
      </c>
      <c r="C1664" s="105" t="s">
        <v>6</v>
      </c>
      <c r="D1664" s="105" t="s">
        <v>16</v>
      </c>
      <c r="E1664">
        <v>77</v>
      </c>
      <c r="F1664">
        <v>71662.899999999994</v>
      </c>
    </row>
    <row r="1665" spans="1:6" x14ac:dyDescent="0.3">
      <c r="A1665">
        <v>2026</v>
      </c>
      <c r="B1665">
        <v>1</v>
      </c>
      <c r="C1665" s="105" t="s">
        <v>6</v>
      </c>
      <c r="D1665" s="105" t="s">
        <v>54</v>
      </c>
      <c r="E1665">
        <v>94</v>
      </c>
      <c r="F1665">
        <v>77727</v>
      </c>
    </row>
    <row r="1666" spans="1:6" x14ac:dyDescent="0.3">
      <c r="A1666">
        <v>2026</v>
      </c>
      <c r="B1666">
        <v>1</v>
      </c>
      <c r="C1666" s="105" t="s">
        <v>6</v>
      </c>
      <c r="D1666" s="105" t="s">
        <v>17</v>
      </c>
      <c r="E1666">
        <v>373</v>
      </c>
      <c r="F1666">
        <v>334189.71000000002</v>
      </c>
    </row>
    <row r="1667" spans="1:6" x14ac:dyDescent="0.3">
      <c r="A1667">
        <v>2026</v>
      </c>
      <c r="B1667">
        <v>1</v>
      </c>
      <c r="C1667" s="105" t="s">
        <v>6</v>
      </c>
      <c r="D1667" s="105" t="s">
        <v>18</v>
      </c>
      <c r="E1667">
        <v>280</v>
      </c>
      <c r="F1667">
        <v>276680.65000000002</v>
      </c>
    </row>
    <row r="1668" spans="1:6" x14ac:dyDescent="0.3">
      <c r="A1668">
        <v>2026</v>
      </c>
      <c r="B1668">
        <v>1</v>
      </c>
      <c r="C1668" s="105" t="s">
        <v>6</v>
      </c>
      <c r="D1668" s="105" t="s">
        <v>50</v>
      </c>
      <c r="E1668">
        <v>135</v>
      </c>
      <c r="F1668">
        <v>107845</v>
      </c>
    </row>
    <row r="1669" spans="1:6" x14ac:dyDescent="0.3">
      <c r="A1669">
        <v>2026</v>
      </c>
      <c r="B1669">
        <v>1</v>
      </c>
      <c r="C1669" s="105" t="s">
        <v>6</v>
      </c>
      <c r="D1669" s="105" t="s">
        <v>55</v>
      </c>
      <c r="E1669">
        <v>62</v>
      </c>
      <c r="F1669">
        <v>45668.9</v>
      </c>
    </row>
    <row r="1670" spans="1:6" x14ac:dyDescent="0.3">
      <c r="A1670">
        <v>2026</v>
      </c>
      <c r="B1670">
        <v>1</v>
      </c>
      <c r="C1670" s="105" t="s">
        <v>6</v>
      </c>
      <c r="D1670" s="105" t="s">
        <v>19</v>
      </c>
      <c r="E1670">
        <v>196</v>
      </c>
      <c r="F1670">
        <v>149684.12</v>
      </c>
    </row>
    <row r="1671" spans="1:6" x14ac:dyDescent="0.3">
      <c r="A1671">
        <v>2026</v>
      </c>
      <c r="B1671">
        <v>1</v>
      </c>
      <c r="C1671" s="105" t="s">
        <v>6</v>
      </c>
      <c r="D1671" s="105" t="s">
        <v>20</v>
      </c>
      <c r="E1671">
        <v>143</v>
      </c>
      <c r="F1671">
        <v>126469.91</v>
      </c>
    </row>
    <row r="1672" spans="1:6" x14ac:dyDescent="0.3">
      <c r="A1672">
        <v>2026</v>
      </c>
      <c r="B1672">
        <v>1</v>
      </c>
      <c r="C1672" s="105" t="s">
        <v>6</v>
      </c>
      <c r="D1672" s="105" t="s">
        <v>21</v>
      </c>
      <c r="E1672">
        <v>243</v>
      </c>
      <c r="F1672">
        <v>246949.08</v>
      </c>
    </row>
    <row r="1673" spans="1:6" x14ac:dyDescent="0.3">
      <c r="A1673">
        <v>2026</v>
      </c>
      <c r="B1673">
        <v>1</v>
      </c>
      <c r="C1673" s="105" t="s">
        <v>6</v>
      </c>
      <c r="D1673" s="105" t="s">
        <v>22</v>
      </c>
      <c r="E1673">
        <v>139</v>
      </c>
      <c r="F1673">
        <v>111093.19</v>
      </c>
    </row>
    <row r="1674" spans="1:6" x14ac:dyDescent="0.3">
      <c r="A1674">
        <v>2026</v>
      </c>
      <c r="B1674">
        <v>1</v>
      </c>
      <c r="C1674" s="105" t="s">
        <v>6</v>
      </c>
      <c r="D1674" s="105" t="s">
        <v>23</v>
      </c>
      <c r="E1674">
        <v>188</v>
      </c>
      <c r="F1674">
        <v>213681.25</v>
      </c>
    </row>
    <row r="1675" spans="1:6" x14ac:dyDescent="0.3">
      <c r="A1675">
        <v>2026</v>
      </c>
      <c r="B1675">
        <v>1</v>
      </c>
      <c r="C1675" s="105" t="s">
        <v>6</v>
      </c>
      <c r="D1675" s="105" t="s">
        <v>24</v>
      </c>
      <c r="E1675">
        <v>279</v>
      </c>
      <c r="F1675">
        <v>175472.28</v>
      </c>
    </row>
    <row r="1676" spans="1:6" x14ac:dyDescent="0.3">
      <c r="A1676">
        <v>2026</v>
      </c>
      <c r="B1676">
        <v>1</v>
      </c>
      <c r="C1676" s="105" t="s">
        <v>6</v>
      </c>
      <c r="D1676" s="105" t="s">
        <v>25</v>
      </c>
      <c r="E1676">
        <v>392</v>
      </c>
      <c r="F1676">
        <v>277430.21000000002</v>
      </c>
    </row>
    <row r="1677" spans="1:6" x14ac:dyDescent="0.3">
      <c r="A1677">
        <v>2026</v>
      </c>
      <c r="B1677">
        <v>1</v>
      </c>
      <c r="C1677" s="105" t="s">
        <v>6</v>
      </c>
      <c r="D1677" s="105" t="s">
        <v>26</v>
      </c>
      <c r="E1677">
        <v>212</v>
      </c>
      <c r="F1677">
        <v>223674.63</v>
      </c>
    </row>
    <row r="1678" spans="1:6" x14ac:dyDescent="0.3">
      <c r="A1678">
        <v>2026</v>
      </c>
      <c r="B1678">
        <v>1</v>
      </c>
      <c r="C1678" s="105" t="s">
        <v>6</v>
      </c>
      <c r="D1678" s="105" t="s">
        <v>27</v>
      </c>
      <c r="E1678">
        <v>171</v>
      </c>
      <c r="F1678">
        <v>156566.98000000001</v>
      </c>
    </row>
    <row r="1679" spans="1:6" x14ac:dyDescent="0.3">
      <c r="A1679">
        <v>2026</v>
      </c>
      <c r="B1679">
        <v>1</v>
      </c>
      <c r="C1679" s="105" t="s">
        <v>6</v>
      </c>
      <c r="D1679" s="105" t="s">
        <v>28</v>
      </c>
      <c r="E1679">
        <v>133</v>
      </c>
      <c r="F1679">
        <v>113495.34</v>
      </c>
    </row>
    <row r="1680" spans="1:6" x14ac:dyDescent="0.3">
      <c r="A1680">
        <v>2026</v>
      </c>
      <c r="B1680">
        <v>1</v>
      </c>
      <c r="C1680" s="105" t="s">
        <v>6</v>
      </c>
      <c r="D1680" s="105" t="s">
        <v>29</v>
      </c>
      <c r="E1680">
        <v>213</v>
      </c>
      <c r="F1680">
        <v>190828.5</v>
      </c>
    </row>
    <row r="1681" spans="1:6" x14ac:dyDescent="0.3">
      <c r="A1681">
        <v>2026</v>
      </c>
      <c r="B1681">
        <v>1</v>
      </c>
      <c r="C1681" s="105" t="s">
        <v>6</v>
      </c>
      <c r="D1681" s="105" t="s">
        <v>30</v>
      </c>
      <c r="E1681">
        <v>70</v>
      </c>
      <c r="F1681">
        <v>49574.53</v>
      </c>
    </row>
    <row r="1682" spans="1:6" x14ac:dyDescent="0.3">
      <c r="A1682">
        <v>2026</v>
      </c>
      <c r="B1682">
        <v>1</v>
      </c>
      <c r="C1682" s="105" t="s">
        <v>6</v>
      </c>
      <c r="D1682" s="105" t="s">
        <v>31</v>
      </c>
      <c r="E1682">
        <v>340</v>
      </c>
      <c r="F1682">
        <v>330998.26</v>
      </c>
    </row>
    <row r="1683" spans="1:6" x14ac:dyDescent="0.3">
      <c r="A1683">
        <v>2026</v>
      </c>
      <c r="B1683">
        <v>1</v>
      </c>
      <c r="C1683" s="105" t="s">
        <v>6</v>
      </c>
      <c r="D1683" s="105" t="s">
        <v>51</v>
      </c>
      <c r="E1683">
        <v>137</v>
      </c>
      <c r="F1683">
        <v>94249.5</v>
      </c>
    </row>
    <row r="1684" spans="1:6" x14ac:dyDescent="0.3">
      <c r="A1684">
        <v>2026</v>
      </c>
      <c r="B1684">
        <v>1</v>
      </c>
      <c r="C1684" s="105" t="s">
        <v>6</v>
      </c>
      <c r="D1684" s="105" t="s">
        <v>32</v>
      </c>
      <c r="E1684">
        <v>133</v>
      </c>
      <c r="F1684">
        <v>118754.02</v>
      </c>
    </row>
    <row r="1685" spans="1:6" x14ac:dyDescent="0.3">
      <c r="A1685">
        <v>2026</v>
      </c>
      <c r="B1685">
        <v>1</v>
      </c>
      <c r="C1685" s="105" t="s">
        <v>6</v>
      </c>
      <c r="D1685" s="105" t="s">
        <v>52</v>
      </c>
      <c r="E1685">
        <v>74</v>
      </c>
      <c r="F1685">
        <v>60179</v>
      </c>
    </row>
    <row r="1686" spans="1:6" x14ac:dyDescent="0.3">
      <c r="A1686">
        <v>2026</v>
      </c>
      <c r="B1686">
        <v>1</v>
      </c>
      <c r="C1686" s="105" t="s">
        <v>6</v>
      </c>
      <c r="D1686" s="105" t="s">
        <v>33</v>
      </c>
      <c r="E1686">
        <v>357</v>
      </c>
      <c r="F1686">
        <v>332938.44</v>
      </c>
    </row>
    <row r="1687" spans="1:6" x14ac:dyDescent="0.3">
      <c r="A1687">
        <v>2026</v>
      </c>
      <c r="B1687">
        <v>1</v>
      </c>
      <c r="C1687" s="105" t="s">
        <v>6</v>
      </c>
      <c r="D1687" s="105" t="s">
        <v>58</v>
      </c>
      <c r="E1687">
        <v>192</v>
      </c>
      <c r="F1687">
        <v>156624.44</v>
      </c>
    </row>
    <row r="1688" spans="1:6" x14ac:dyDescent="0.3">
      <c r="A1688">
        <v>2026</v>
      </c>
      <c r="B1688">
        <v>1</v>
      </c>
      <c r="C1688" s="105" t="s">
        <v>6</v>
      </c>
      <c r="D1688" s="105" t="s">
        <v>34</v>
      </c>
      <c r="E1688">
        <v>283</v>
      </c>
      <c r="F1688">
        <v>316705.81</v>
      </c>
    </row>
    <row r="1689" spans="1:6" x14ac:dyDescent="0.3">
      <c r="A1689">
        <v>2026</v>
      </c>
      <c r="B1689">
        <v>1</v>
      </c>
      <c r="C1689" s="105" t="s">
        <v>6</v>
      </c>
      <c r="D1689" s="105" t="s">
        <v>56</v>
      </c>
      <c r="E1689">
        <v>47</v>
      </c>
      <c r="F1689">
        <v>37948</v>
      </c>
    </row>
    <row r="1690" spans="1:6" x14ac:dyDescent="0.3">
      <c r="A1690">
        <v>2026</v>
      </c>
      <c r="B1690">
        <v>1</v>
      </c>
      <c r="C1690" s="105" t="s">
        <v>6</v>
      </c>
      <c r="D1690" s="105" t="s">
        <v>57</v>
      </c>
      <c r="E1690">
        <v>52</v>
      </c>
      <c r="F1690">
        <v>41981.2</v>
      </c>
    </row>
    <row r="1691" spans="1:6" x14ac:dyDescent="0.3">
      <c r="A1691">
        <v>2026</v>
      </c>
      <c r="B1691">
        <v>1</v>
      </c>
      <c r="C1691" s="105" t="s">
        <v>6</v>
      </c>
      <c r="D1691" s="105" t="s">
        <v>49</v>
      </c>
      <c r="E1691">
        <v>98</v>
      </c>
      <c r="F1691">
        <v>59961.48</v>
      </c>
    </row>
    <row r="1692" spans="1:6" x14ac:dyDescent="0.3">
      <c r="A1692">
        <v>2026</v>
      </c>
      <c r="B1692">
        <v>1</v>
      </c>
      <c r="C1692" s="105" t="s">
        <v>6</v>
      </c>
      <c r="D1692" s="105" t="s">
        <v>53</v>
      </c>
      <c r="E1692">
        <v>83</v>
      </c>
      <c r="F1692">
        <v>67261</v>
      </c>
    </row>
    <row r="1693" spans="1:6" x14ac:dyDescent="0.3">
      <c r="A1693">
        <v>2026</v>
      </c>
      <c r="B1693">
        <v>1</v>
      </c>
      <c r="C1693" s="105" t="s">
        <v>6</v>
      </c>
      <c r="D1693" s="105" t="s">
        <v>35</v>
      </c>
      <c r="E1693">
        <v>167</v>
      </c>
      <c r="F1693">
        <v>147010.17000000001</v>
      </c>
    </row>
    <row r="1694" spans="1:6" x14ac:dyDescent="0.3">
      <c r="A1694">
        <v>2026</v>
      </c>
      <c r="B1694">
        <v>1</v>
      </c>
      <c r="C1694" s="105" t="s">
        <v>6</v>
      </c>
      <c r="D1694" s="105" t="s">
        <v>36</v>
      </c>
      <c r="E1694">
        <v>165</v>
      </c>
      <c r="F1694">
        <v>143086.17000000001</v>
      </c>
    </row>
    <row r="1695" spans="1:6" x14ac:dyDescent="0.3">
      <c r="A1695">
        <v>2026</v>
      </c>
      <c r="B1695">
        <v>1</v>
      </c>
      <c r="C1695" s="105" t="s">
        <v>6</v>
      </c>
      <c r="D1695" s="105" t="s">
        <v>37</v>
      </c>
      <c r="E1695">
        <v>188</v>
      </c>
      <c r="F1695">
        <v>165864.26</v>
      </c>
    </row>
    <row r="1696" spans="1:6" x14ac:dyDescent="0.3">
      <c r="A1696">
        <v>2026</v>
      </c>
      <c r="B1696">
        <v>2</v>
      </c>
      <c r="C1696" s="105" t="s">
        <v>38</v>
      </c>
      <c r="D1696" s="105" t="s">
        <v>7</v>
      </c>
      <c r="E1696">
        <v>171</v>
      </c>
      <c r="F1696">
        <v>172706.59</v>
      </c>
    </row>
    <row r="1697" spans="1:6" x14ac:dyDescent="0.3">
      <c r="A1697">
        <v>2026</v>
      </c>
      <c r="B1697">
        <v>2</v>
      </c>
      <c r="C1697" s="105" t="s">
        <v>38</v>
      </c>
      <c r="D1697" s="105" t="s">
        <v>8</v>
      </c>
      <c r="E1697">
        <v>215</v>
      </c>
      <c r="F1697">
        <v>143758</v>
      </c>
    </row>
    <row r="1698" spans="1:6" x14ac:dyDescent="0.3">
      <c r="A1698">
        <v>2026</v>
      </c>
      <c r="B1698">
        <v>2</v>
      </c>
      <c r="C1698" s="105" t="s">
        <v>38</v>
      </c>
      <c r="D1698" s="105" t="s">
        <v>9</v>
      </c>
      <c r="E1698">
        <v>102</v>
      </c>
      <c r="F1698">
        <v>157494.04</v>
      </c>
    </row>
    <row r="1699" spans="1:6" x14ac:dyDescent="0.3">
      <c r="A1699">
        <v>2026</v>
      </c>
      <c r="B1699">
        <v>2</v>
      </c>
      <c r="C1699" s="105" t="s">
        <v>38</v>
      </c>
      <c r="D1699" s="105" t="s">
        <v>10</v>
      </c>
      <c r="E1699">
        <v>161</v>
      </c>
      <c r="F1699">
        <v>155949.37</v>
      </c>
    </row>
    <row r="1700" spans="1:6" x14ac:dyDescent="0.3">
      <c r="A1700">
        <v>2026</v>
      </c>
      <c r="B1700">
        <v>2</v>
      </c>
      <c r="C1700" s="105" t="s">
        <v>38</v>
      </c>
      <c r="D1700" s="105" t="s">
        <v>11</v>
      </c>
      <c r="E1700">
        <v>125</v>
      </c>
      <c r="F1700">
        <v>155301.35999999999</v>
      </c>
    </row>
    <row r="1701" spans="1:6" x14ac:dyDescent="0.3">
      <c r="A1701">
        <v>2026</v>
      </c>
      <c r="B1701">
        <v>2</v>
      </c>
      <c r="C1701" s="105" t="s">
        <v>38</v>
      </c>
      <c r="D1701" s="105" t="s">
        <v>59</v>
      </c>
      <c r="E1701">
        <v>17</v>
      </c>
      <c r="F1701">
        <v>14796</v>
      </c>
    </row>
    <row r="1702" spans="1:6" x14ac:dyDescent="0.3">
      <c r="A1702">
        <v>2026</v>
      </c>
      <c r="B1702">
        <v>2</v>
      </c>
      <c r="C1702" s="105" t="s">
        <v>38</v>
      </c>
      <c r="D1702" s="105" t="s">
        <v>12</v>
      </c>
      <c r="E1702">
        <v>100</v>
      </c>
      <c r="F1702">
        <v>86833.81</v>
      </c>
    </row>
    <row r="1703" spans="1:6" x14ac:dyDescent="0.3">
      <c r="A1703">
        <v>2026</v>
      </c>
      <c r="B1703">
        <v>2</v>
      </c>
      <c r="C1703" s="105" t="s">
        <v>38</v>
      </c>
      <c r="D1703" s="105" t="s">
        <v>13</v>
      </c>
      <c r="E1703">
        <v>100</v>
      </c>
      <c r="F1703">
        <v>76835.490000000005</v>
      </c>
    </row>
    <row r="1704" spans="1:6" x14ac:dyDescent="0.3">
      <c r="A1704">
        <v>2026</v>
      </c>
      <c r="B1704">
        <v>2</v>
      </c>
      <c r="C1704" s="105" t="s">
        <v>38</v>
      </c>
      <c r="D1704" s="105" t="s">
        <v>14</v>
      </c>
      <c r="E1704">
        <v>208</v>
      </c>
      <c r="F1704">
        <v>152271.97</v>
      </c>
    </row>
    <row r="1705" spans="1:6" x14ac:dyDescent="0.3">
      <c r="A1705">
        <v>2026</v>
      </c>
      <c r="B1705">
        <v>2</v>
      </c>
      <c r="C1705" s="105" t="s">
        <v>38</v>
      </c>
      <c r="D1705" s="105" t="s">
        <v>15</v>
      </c>
      <c r="E1705">
        <v>44</v>
      </c>
      <c r="F1705">
        <v>33697.94</v>
      </c>
    </row>
    <row r="1706" spans="1:6" x14ac:dyDescent="0.3">
      <c r="A1706">
        <v>2026</v>
      </c>
      <c r="B1706">
        <v>2</v>
      </c>
      <c r="C1706" s="105" t="s">
        <v>38</v>
      </c>
      <c r="D1706" s="105" t="s">
        <v>16</v>
      </c>
      <c r="E1706">
        <v>77</v>
      </c>
      <c r="F1706">
        <v>72064.44</v>
      </c>
    </row>
    <row r="1707" spans="1:6" x14ac:dyDescent="0.3">
      <c r="A1707">
        <v>2026</v>
      </c>
      <c r="B1707">
        <v>2</v>
      </c>
      <c r="C1707" s="105" t="s">
        <v>38</v>
      </c>
      <c r="D1707" s="105" t="s">
        <v>54</v>
      </c>
      <c r="E1707">
        <v>101</v>
      </c>
      <c r="F1707">
        <v>81623</v>
      </c>
    </row>
    <row r="1708" spans="1:6" x14ac:dyDescent="0.3">
      <c r="A1708">
        <v>2026</v>
      </c>
      <c r="B1708">
        <v>2</v>
      </c>
      <c r="C1708" s="105" t="s">
        <v>38</v>
      </c>
      <c r="D1708" s="105" t="s">
        <v>17</v>
      </c>
      <c r="E1708">
        <v>266</v>
      </c>
      <c r="F1708">
        <v>244605.73</v>
      </c>
    </row>
    <row r="1709" spans="1:6" x14ac:dyDescent="0.3">
      <c r="A1709">
        <v>2026</v>
      </c>
      <c r="B1709">
        <v>2</v>
      </c>
      <c r="C1709" s="105" t="s">
        <v>38</v>
      </c>
      <c r="D1709" s="105" t="s">
        <v>18</v>
      </c>
      <c r="E1709">
        <v>237</v>
      </c>
      <c r="F1709">
        <v>216820.17</v>
      </c>
    </row>
    <row r="1710" spans="1:6" x14ac:dyDescent="0.3">
      <c r="A1710">
        <v>2026</v>
      </c>
      <c r="B1710">
        <v>2</v>
      </c>
      <c r="C1710" s="105" t="s">
        <v>38</v>
      </c>
      <c r="D1710" s="105" t="s">
        <v>50</v>
      </c>
      <c r="E1710">
        <v>97</v>
      </c>
      <c r="F1710">
        <v>81229</v>
      </c>
    </row>
    <row r="1711" spans="1:6" x14ac:dyDescent="0.3">
      <c r="A1711">
        <v>2026</v>
      </c>
      <c r="B1711">
        <v>2</v>
      </c>
      <c r="C1711" s="105" t="s">
        <v>38</v>
      </c>
      <c r="D1711" s="105" t="s">
        <v>55</v>
      </c>
      <c r="E1711">
        <v>46</v>
      </c>
      <c r="F1711">
        <v>34576</v>
      </c>
    </row>
    <row r="1712" spans="1:6" x14ac:dyDescent="0.3">
      <c r="A1712">
        <v>2026</v>
      </c>
      <c r="B1712">
        <v>2</v>
      </c>
      <c r="C1712" s="105" t="s">
        <v>38</v>
      </c>
      <c r="D1712" s="105" t="s">
        <v>19</v>
      </c>
      <c r="E1712">
        <v>179</v>
      </c>
      <c r="F1712">
        <v>127354.88</v>
      </c>
    </row>
    <row r="1713" spans="1:6" x14ac:dyDescent="0.3">
      <c r="A1713">
        <v>2026</v>
      </c>
      <c r="B1713">
        <v>2</v>
      </c>
      <c r="C1713" s="105" t="s">
        <v>38</v>
      </c>
      <c r="D1713" s="105" t="s">
        <v>20</v>
      </c>
      <c r="E1713">
        <v>135</v>
      </c>
      <c r="F1713">
        <v>108306.22</v>
      </c>
    </row>
    <row r="1714" spans="1:6" x14ac:dyDescent="0.3">
      <c r="A1714">
        <v>2026</v>
      </c>
      <c r="B1714">
        <v>2</v>
      </c>
      <c r="C1714" s="105" t="s">
        <v>38</v>
      </c>
      <c r="D1714" s="105" t="s">
        <v>21</v>
      </c>
      <c r="E1714">
        <v>275</v>
      </c>
      <c r="F1714">
        <v>248444.3</v>
      </c>
    </row>
    <row r="1715" spans="1:6" x14ac:dyDescent="0.3">
      <c r="A1715">
        <v>2026</v>
      </c>
      <c r="B1715">
        <v>2</v>
      </c>
      <c r="C1715" s="105" t="s">
        <v>38</v>
      </c>
      <c r="D1715" s="105" t="s">
        <v>22</v>
      </c>
      <c r="E1715">
        <v>120</v>
      </c>
      <c r="F1715">
        <v>89554.72</v>
      </c>
    </row>
    <row r="1716" spans="1:6" x14ac:dyDescent="0.3">
      <c r="A1716">
        <v>2026</v>
      </c>
      <c r="B1716">
        <v>2</v>
      </c>
      <c r="C1716" s="105" t="s">
        <v>38</v>
      </c>
      <c r="D1716" s="105" t="s">
        <v>23</v>
      </c>
      <c r="E1716">
        <v>110</v>
      </c>
      <c r="F1716">
        <v>119957.09</v>
      </c>
    </row>
    <row r="1717" spans="1:6" x14ac:dyDescent="0.3">
      <c r="A1717">
        <v>2026</v>
      </c>
      <c r="B1717">
        <v>2</v>
      </c>
      <c r="C1717" s="105" t="s">
        <v>38</v>
      </c>
      <c r="D1717" s="105" t="s">
        <v>24</v>
      </c>
      <c r="E1717">
        <v>248</v>
      </c>
      <c r="F1717">
        <v>186418.28</v>
      </c>
    </row>
    <row r="1718" spans="1:6" x14ac:dyDescent="0.3">
      <c r="A1718">
        <v>2026</v>
      </c>
      <c r="B1718">
        <v>2</v>
      </c>
      <c r="C1718" s="105" t="s">
        <v>38</v>
      </c>
      <c r="D1718" s="105" t="s">
        <v>25</v>
      </c>
      <c r="E1718">
        <v>240</v>
      </c>
      <c r="F1718">
        <v>193391.79</v>
      </c>
    </row>
    <row r="1719" spans="1:6" x14ac:dyDescent="0.3">
      <c r="A1719">
        <v>2026</v>
      </c>
      <c r="B1719">
        <v>2</v>
      </c>
      <c r="C1719" s="105" t="s">
        <v>38</v>
      </c>
      <c r="D1719" s="105" t="s">
        <v>26</v>
      </c>
      <c r="E1719">
        <v>121</v>
      </c>
      <c r="F1719">
        <v>117322.49</v>
      </c>
    </row>
    <row r="1720" spans="1:6" x14ac:dyDescent="0.3">
      <c r="A1720">
        <v>2026</v>
      </c>
      <c r="B1720">
        <v>2</v>
      </c>
      <c r="C1720" s="105" t="s">
        <v>38</v>
      </c>
      <c r="D1720" s="105" t="s">
        <v>27</v>
      </c>
      <c r="E1720">
        <v>143</v>
      </c>
      <c r="F1720">
        <v>131765.49</v>
      </c>
    </row>
    <row r="1721" spans="1:6" x14ac:dyDescent="0.3">
      <c r="A1721">
        <v>2026</v>
      </c>
      <c r="B1721">
        <v>2</v>
      </c>
      <c r="C1721" s="105" t="s">
        <v>38</v>
      </c>
      <c r="D1721" s="105" t="s">
        <v>28</v>
      </c>
      <c r="E1721">
        <v>123</v>
      </c>
      <c r="F1721">
        <v>96117.06</v>
      </c>
    </row>
    <row r="1722" spans="1:6" x14ac:dyDescent="0.3">
      <c r="A1722">
        <v>2026</v>
      </c>
      <c r="B1722">
        <v>2</v>
      </c>
      <c r="C1722" s="105" t="s">
        <v>38</v>
      </c>
      <c r="D1722" s="105" t="s">
        <v>29</v>
      </c>
      <c r="E1722">
        <v>181</v>
      </c>
      <c r="F1722">
        <v>169313.99</v>
      </c>
    </row>
    <row r="1723" spans="1:6" x14ac:dyDescent="0.3">
      <c r="A1723">
        <v>2026</v>
      </c>
      <c r="B1723">
        <v>2</v>
      </c>
      <c r="C1723" s="105" t="s">
        <v>38</v>
      </c>
      <c r="D1723" s="105" t="s">
        <v>30</v>
      </c>
      <c r="E1723">
        <v>50</v>
      </c>
      <c r="F1723">
        <v>36495.78</v>
      </c>
    </row>
    <row r="1724" spans="1:6" x14ac:dyDescent="0.3">
      <c r="A1724">
        <v>2026</v>
      </c>
      <c r="B1724">
        <v>2</v>
      </c>
      <c r="C1724" s="105" t="s">
        <v>38</v>
      </c>
      <c r="D1724" s="105" t="s">
        <v>31</v>
      </c>
      <c r="E1724">
        <v>274</v>
      </c>
      <c r="F1724">
        <v>268421.65000000002</v>
      </c>
    </row>
    <row r="1725" spans="1:6" x14ac:dyDescent="0.3">
      <c r="A1725">
        <v>2026</v>
      </c>
      <c r="B1725">
        <v>2</v>
      </c>
      <c r="C1725" s="105" t="s">
        <v>38</v>
      </c>
      <c r="D1725" s="105" t="s">
        <v>51</v>
      </c>
      <c r="E1725">
        <v>112</v>
      </c>
      <c r="F1725">
        <v>73662.38</v>
      </c>
    </row>
    <row r="1726" spans="1:6" x14ac:dyDescent="0.3">
      <c r="A1726">
        <v>2026</v>
      </c>
      <c r="B1726">
        <v>2</v>
      </c>
      <c r="C1726" s="105" t="s">
        <v>38</v>
      </c>
      <c r="D1726" s="105" t="s">
        <v>32</v>
      </c>
      <c r="E1726">
        <v>119</v>
      </c>
      <c r="F1726">
        <v>115277.09</v>
      </c>
    </row>
    <row r="1727" spans="1:6" x14ac:dyDescent="0.3">
      <c r="A1727">
        <v>2026</v>
      </c>
      <c r="B1727">
        <v>2</v>
      </c>
      <c r="C1727" s="105" t="s">
        <v>38</v>
      </c>
      <c r="D1727" s="105" t="s">
        <v>52</v>
      </c>
      <c r="E1727">
        <v>55</v>
      </c>
      <c r="F1727">
        <v>41897.75</v>
      </c>
    </row>
    <row r="1728" spans="1:6" x14ac:dyDescent="0.3">
      <c r="A1728">
        <v>2026</v>
      </c>
      <c r="B1728">
        <v>2</v>
      </c>
      <c r="C1728" s="105" t="s">
        <v>38</v>
      </c>
      <c r="D1728" s="105" t="s">
        <v>33</v>
      </c>
      <c r="E1728">
        <v>315</v>
      </c>
      <c r="F1728">
        <v>279838.44</v>
      </c>
    </row>
    <row r="1729" spans="1:6" x14ac:dyDescent="0.3">
      <c r="A1729">
        <v>2026</v>
      </c>
      <c r="B1729">
        <v>2</v>
      </c>
      <c r="C1729" s="105" t="s">
        <v>38</v>
      </c>
      <c r="D1729" s="105" t="s">
        <v>58</v>
      </c>
      <c r="E1729">
        <v>172</v>
      </c>
      <c r="F1729">
        <v>140351.49</v>
      </c>
    </row>
    <row r="1730" spans="1:6" x14ac:dyDescent="0.3">
      <c r="A1730">
        <v>2026</v>
      </c>
      <c r="B1730">
        <v>2</v>
      </c>
      <c r="C1730" s="105" t="s">
        <v>38</v>
      </c>
      <c r="D1730" s="105" t="s">
        <v>34</v>
      </c>
      <c r="E1730">
        <v>165</v>
      </c>
      <c r="F1730">
        <v>138784.25</v>
      </c>
    </row>
    <row r="1731" spans="1:6" x14ac:dyDescent="0.3">
      <c r="A1731">
        <v>2026</v>
      </c>
      <c r="B1731">
        <v>2</v>
      </c>
      <c r="C1731" s="105" t="s">
        <v>38</v>
      </c>
      <c r="D1731" s="105" t="s">
        <v>56</v>
      </c>
      <c r="E1731">
        <v>42</v>
      </c>
      <c r="F1731">
        <v>33493</v>
      </c>
    </row>
    <row r="1732" spans="1:6" x14ac:dyDescent="0.3">
      <c r="A1732">
        <v>2026</v>
      </c>
      <c r="B1732">
        <v>2</v>
      </c>
      <c r="C1732" s="105" t="s">
        <v>38</v>
      </c>
      <c r="D1732" s="105" t="s">
        <v>57</v>
      </c>
      <c r="E1732">
        <v>50</v>
      </c>
      <c r="F1732">
        <v>39221</v>
      </c>
    </row>
    <row r="1733" spans="1:6" x14ac:dyDescent="0.3">
      <c r="A1733">
        <v>2026</v>
      </c>
      <c r="B1733">
        <v>2</v>
      </c>
      <c r="C1733" s="105" t="s">
        <v>38</v>
      </c>
      <c r="D1733" s="105" t="s">
        <v>49</v>
      </c>
      <c r="E1733">
        <v>54</v>
      </c>
      <c r="F1733">
        <v>34829.72</v>
      </c>
    </row>
    <row r="1734" spans="1:6" x14ac:dyDescent="0.3">
      <c r="A1734">
        <v>2026</v>
      </c>
      <c r="B1734">
        <v>2</v>
      </c>
      <c r="C1734" s="105" t="s">
        <v>38</v>
      </c>
      <c r="D1734" s="105" t="s">
        <v>53</v>
      </c>
      <c r="E1734">
        <v>61</v>
      </c>
      <c r="F1734">
        <v>47119.75</v>
      </c>
    </row>
    <row r="1735" spans="1:6" x14ac:dyDescent="0.3">
      <c r="A1735">
        <v>2026</v>
      </c>
      <c r="B1735">
        <v>2</v>
      </c>
      <c r="C1735" s="105" t="s">
        <v>38</v>
      </c>
      <c r="D1735" s="105" t="s">
        <v>35</v>
      </c>
      <c r="E1735">
        <v>156</v>
      </c>
      <c r="F1735">
        <v>170427.16</v>
      </c>
    </row>
    <row r="1736" spans="1:6" x14ac:dyDescent="0.3">
      <c r="A1736">
        <v>2026</v>
      </c>
      <c r="B1736">
        <v>2</v>
      </c>
      <c r="C1736" s="105" t="s">
        <v>38</v>
      </c>
      <c r="D1736" s="105" t="s">
        <v>36</v>
      </c>
      <c r="E1736">
        <v>144</v>
      </c>
      <c r="F1736">
        <v>131088.39000000001</v>
      </c>
    </row>
    <row r="1737" spans="1:6" x14ac:dyDescent="0.3">
      <c r="A1737">
        <v>2026</v>
      </c>
      <c r="B1737">
        <v>2</v>
      </c>
      <c r="C1737" s="105" t="s">
        <v>38</v>
      </c>
      <c r="D1737" s="105" t="s">
        <v>37</v>
      </c>
      <c r="E1737">
        <v>134</v>
      </c>
      <c r="F1737">
        <v>124790.59</v>
      </c>
    </row>
    <row r="1738" spans="1:6" x14ac:dyDescent="0.3">
      <c r="A1738">
        <v>2026</v>
      </c>
      <c r="B1738">
        <v>3</v>
      </c>
      <c r="C1738" s="105" t="s">
        <v>39</v>
      </c>
      <c r="D1738" s="105" t="s">
        <v>7</v>
      </c>
      <c r="E1738">
        <v>241</v>
      </c>
      <c r="F1738">
        <v>225930.64</v>
      </c>
    </row>
    <row r="1739" spans="1:6" x14ac:dyDescent="0.3">
      <c r="A1739">
        <v>2026</v>
      </c>
      <c r="B1739">
        <v>3</v>
      </c>
      <c r="C1739" s="105" t="s">
        <v>39</v>
      </c>
      <c r="D1739" s="105" t="s">
        <v>8</v>
      </c>
      <c r="E1739">
        <v>211</v>
      </c>
      <c r="F1739">
        <v>151957.54</v>
      </c>
    </row>
    <row r="1740" spans="1:6" x14ac:dyDescent="0.3">
      <c r="A1740">
        <v>2026</v>
      </c>
      <c r="B1740">
        <v>3</v>
      </c>
      <c r="C1740" s="105" t="s">
        <v>39</v>
      </c>
      <c r="D1740" s="105" t="s">
        <v>9</v>
      </c>
      <c r="E1740">
        <v>60</v>
      </c>
      <c r="F1740">
        <v>48268.18</v>
      </c>
    </row>
    <row r="1741" spans="1:6" x14ac:dyDescent="0.3">
      <c r="A1741">
        <v>2026</v>
      </c>
      <c r="B1741">
        <v>3</v>
      </c>
      <c r="C1741" s="105" t="s">
        <v>39</v>
      </c>
      <c r="D1741" s="105" t="s">
        <v>10</v>
      </c>
      <c r="E1741">
        <v>195</v>
      </c>
      <c r="F1741">
        <v>192124.11</v>
      </c>
    </row>
    <row r="1742" spans="1:6" x14ac:dyDescent="0.3">
      <c r="A1742">
        <v>2026</v>
      </c>
      <c r="B1742">
        <v>3</v>
      </c>
      <c r="C1742" s="105" t="s">
        <v>39</v>
      </c>
      <c r="D1742" s="105" t="s">
        <v>11</v>
      </c>
      <c r="E1742">
        <v>160</v>
      </c>
      <c r="F1742">
        <v>156010.96</v>
      </c>
    </row>
    <row r="1743" spans="1:6" x14ac:dyDescent="0.3">
      <c r="A1743">
        <v>2026</v>
      </c>
      <c r="B1743">
        <v>3</v>
      </c>
      <c r="C1743" s="105" t="s">
        <v>39</v>
      </c>
      <c r="D1743" s="105" t="s">
        <v>59</v>
      </c>
      <c r="E1743">
        <v>20</v>
      </c>
      <c r="F1743">
        <v>17174</v>
      </c>
    </row>
    <row r="1744" spans="1:6" x14ac:dyDescent="0.3">
      <c r="A1744">
        <v>2026</v>
      </c>
      <c r="B1744">
        <v>3</v>
      </c>
      <c r="C1744" s="105" t="s">
        <v>39</v>
      </c>
      <c r="D1744" s="105" t="s">
        <v>12</v>
      </c>
      <c r="E1744">
        <v>123</v>
      </c>
      <c r="F1744">
        <v>95186.03</v>
      </c>
    </row>
    <row r="1745" spans="1:6" x14ac:dyDescent="0.3">
      <c r="A1745">
        <v>2026</v>
      </c>
      <c r="B1745">
        <v>3</v>
      </c>
      <c r="C1745" s="105" t="s">
        <v>39</v>
      </c>
      <c r="D1745" s="105" t="s">
        <v>13</v>
      </c>
      <c r="E1745">
        <v>155</v>
      </c>
      <c r="F1745">
        <v>176733.45</v>
      </c>
    </row>
    <row r="1746" spans="1:6" x14ac:dyDescent="0.3">
      <c r="A1746">
        <v>2026</v>
      </c>
      <c r="B1746">
        <v>3</v>
      </c>
      <c r="C1746" s="105" t="s">
        <v>39</v>
      </c>
      <c r="D1746" s="105" t="s">
        <v>14</v>
      </c>
      <c r="E1746">
        <v>259</v>
      </c>
      <c r="F1746">
        <v>192658.71</v>
      </c>
    </row>
    <row r="1747" spans="1:6" x14ac:dyDescent="0.3">
      <c r="A1747">
        <v>2026</v>
      </c>
      <c r="B1747">
        <v>3</v>
      </c>
      <c r="C1747" s="105" t="s">
        <v>39</v>
      </c>
      <c r="D1747" s="105" t="s">
        <v>15</v>
      </c>
      <c r="E1747">
        <v>86</v>
      </c>
      <c r="F1747">
        <v>54993.919999999998</v>
      </c>
    </row>
    <row r="1748" spans="1:6" x14ac:dyDescent="0.3">
      <c r="A1748">
        <v>2026</v>
      </c>
      <c r="B1748">
        <v>3</v>
      </c>
      <c r="C1748" s="105" t="s">
        <v>39</v>
      </c>
      <c r="D1748" s="105" t="s">
        <v>16</v>
      </c>
      <c r="E1748">
        <v>86</v>
      </c>
      <c r="F1748">
        <v>82644.91</v>
      </c>
    </row>
    <row r="1749" spans="1:6" x14ac:dyDescent="0.3">
      <c r="A1749">
        <v>2026</v>
      </c>
      <c r="B1749">
        <v>3</v>
      </c>
      <c r="C1749" s="105" t="s">
        <v>39</v>
      </c>
      <c r="D1749" s="105" t="s">
        <v>54</v>
      </c>
      <c r="E1749">
        <v>121</v>
      </c>
      <c r="F1749">
        <v>97059</v>
      </c>
    </row>
    <row r="1750" spans="1:6" x14ac:dyDescent="0.3">
      <c r="A1750">
        <v>2026</v>
      </c>
      <c r="B1750">
        <v>3</v>
      </c>
      <c r="C1750" s="105" t="s">
        <v>39</v>
      </c>
      <c r="D1750" s="105" t="s">
        <v>17</v>
      </c>
      <c r="E1750">
        <v>356</v>
      </c>
      <c r="F1750">
        <v>355639.73</v>
      </c>
    </row>
    <row r="1751" spans="1:6" x14ac:dyDescent="0.3">
      <c r="A1751">
        <v>2026</v>
      </c>
      <c r="B1751">
        <v>3</v>
      </c>
      <c r="C1751" s="105" t="s">
        <v>39</v>
      </c>
      <c r="D1751" s="105" t="s">
        <v>18</v>
      </c>
      <c r="E1751">
        <v>313</v>
      </c>
      <c r="F1751">
        <v>287963.33</v>
      </c>
    </row>
    <row r="1752" spans="1:6" x14ac:dyDescent="0.3">
      <c r="A1752">
        <v>2026</v>
      </c>
      <c r="B1752">
        <v>3</v>
      </c>
      <c r="C1752" s="105" t="s">
        <v>39</v>
      </c>
      <c r="D1752" s="105" t="s">
        <v>50</v>
      </c>
      <c r="E1752">
        <v>119</v>
      </c>
      <c r="F1752">
        <v>97461.42</v>
      </c>
    </row>
    <row r="1753" spans="1:6" x14ac:dyDescent="0.3">
      <c r="A1753">
        <v>2026</v>
      </c>
      <c r="B1753">
        <v>3</v>
      </c>
      <c r="C1753" s="105" t="s">
        <v>39</v>
      </c>
      <c r="D1753" s="105" t="s">
        <v>55</v>
      </c>
      <c r="E1753">
        <v>54</v>
      </c>
      <c r="F1753">
        <v>41370.879999999997</v>
      </c>
    </row>
    <row r="1754" spans="1:6" x14ac:dyDescent="0.3">
      <c r="A1754">
        <v>2026</v>
      </c>
      <c r="B1754">
        <v>3</v>
      </c>
      <c r="C1754" s="105" t="s">
        <v>39</v>
      </c>
      <c r="D1754" s="105" t="s">
        <v>19</v>
      </c>
      <c r="E1754">
        <v>132</v>
      </c>
      <c r="F1754">
        <v>93100.47</v>
      </c>
    </row>
    <row r="1755" spans="1:6" x14ac:dyDescent="0.3">
      <c r="A1755">
        <v>2026</v>
      </c>
      <c r="B1755">
        <v>3</v>
      </c>
      <c r="C1755" s="105" t="s">
        <v>39</v>
      </c>
      <c r="D1755" s="105" t="s">
        <v>20</v>
      </c>
      <c r="E1755">
        <v>213</v>
      </c>
      <c r="F1755">
        <v>217172.9</v>
      </c>
    </row>
    <row r="1756" spans="1:6" x14ac:dyDescent="0.3">
      <c r="A1756">
        <v>2026</v>
      </c>
      <c r="B1756">
        <v>3</v>
      </c>
      <c r="C1756" s="105" t="s">
        <v>39</v>
      </c>
      <c r="D1756" s="105" t="s">
        <v>21</v>
      </c>
      <c r="E1756">
        <v>317</v>
      </c>
      <c r="F1756">
        <v>290008.67</v>
      </c>
    </row>
    <row r="1757" spans="1:6" x14ac:dyDescent="0.3">
      <c r="A1757">
        <v>2026</v>
      </c>
      <c r="B1757">
        <v>3</v>
      </c>
      <c r="C1757" s="105" t="s">
        <v>39</v>
      </c>
      <c r="D1757" s="105" t="s">
        <v>22</v>
      </c>
      <c r="E1757">
        <v>145</v>
      </c>
      <c r="F1757">
        <v>102034.99</v>
      </c>
    </row>
    <row r="1758" spans="1:6" x14ac:dyDescent="0.3">
      <c r="A1758">
        <v>2026</v>
      </c>
      <c r="B1758">
        <v>3</v>
      </c>
      <c r="C1758" s="105" t="s">
        <v>39</v>
      </c>
      <c r="D1758" s="105" t="s">
        <v>23</v>
      </c>
      <c r="E1758">
        <v>149</v>
      </c>
      <c r="F1758">
        <v>152358.64000000001</v>
      </c>
    </row>
    <row r="1759" spans="1:6" x14ac:dyDescent="0.3">
      <c r="A1759">
        <v>2026</v>
      </c>
      <c r="B1759">
        <v>3</v>
      </c>
      <c r="C1759" s="105" t="s">
        <v>39</v>
      </c>
      <c r="D1759" s="105" t="s">
        <v>24</v>
      </c>
      <c r="E1759">
        <v>260</v>
      </c>
      <c r="F1759">
        <v>190899.84</v>
      </c>
    </row>
    <row r="1760" spans="1:6" x14ac:dyDescent="0.3">
      <c r="A1760">
        <v>2026</v>
      </c>
      <c r="B1760">
        <v>3</v>
      </c>
      <c r="C1760" s="105" t="s">
        <v>39</v>
      </c>
      <c r="D1760" s="105" t="s">
        <v>25</v>
      </c>
      <c r="E1760">
        <v>272</v>
      </c>
      <c r="F1760">
        <v>218152.11</v>
      </c>
    </row>
    <row r="1761" spans="1:6" x14ac:dyDescent="0.3">
      <c r="A1761">
        <v>2026</v>
      </c>
      <c r="B1761">
        <v>3</v>
      </c>
      <c r="C1761" s="105" t="s">
        <v>39</v>
      </c>
      <c r="D1761" s="105" t="s">
        <v>26</v>
      </c>
      <c r="E1761">
        <v>169</v>
      </c>
      <c r="F1761">
        <v>168195.62</v>
      </c>
    </row>
    <row r="1762" spans="1:6" x14ac:dyDescent="0.3">
      <c r="A1762">
        <v>2026</v>
      </c>
      <c r="B1762">
        <v>3</v>
      </c>
      <c r="C1762" s="105" t="s">
        <v>39</v>
      </c>
      <c r="D1762" s="105" t="s">
        <v>27</v>
      </c>
      <c r="E1762">
        <v>289</v>
      </c>
      <c r="F1762">
        <v>470632.77</v>
      </c>
    </row>
    <row r="1763" spans="1:6" x14ac:dyDescent="0.3">
      <c r="A1763">
        <v>2026</v>
      </c>
      <c r="B1763">
        <v>3</v>
      </c>
      <c r="C1763" s="105" t="s">
        <v>39</v>
      </c>
      <c r="D1763" s="105" t="s">
        <v>28</v>
      </c>
      <c r="E1763">
        <v>157</v>
      </c>
      <c r="F1763">
        <v>110931.26</v>
      </c>
    </row>
    <row r="1764" spans="1:6" x14ac:dyDescent="0.3">
      <c r="A1764">
        <v>2026</v>
      </c>
      <c r="B1764">
        <v>3</v>
      </c>
      <c r="C1764" s="105" t="s">
        <v>39</v>
      </c>
      <c r="D1764" s="105" t="s">
        <v>29</v>
      </c>
      <c r="E1764">
        <v>219</v>
      </c>
      <c r="F1764">
        <v>188576.74</v>
      </c>
    </row>
    <row r="1765" spans="1:6" x14ac:dyDescent="0.3">
      <c r="A1765">
        <v>2026</v>
      </c>
      <c r="B1765">
        <v>3</v>
      </c>
      <c r="C1765" s="105" t="s">
        <v>39</v>
      </c>
      <c r="D1765" s="105" t="s">
        <v>30</v>
      </c>
      <c r="E1765">
        <v>57</v>
      </c>
      <c r="F1765">
        <v>41527.1</v>
      </c>
    </row>
    <row r="1766" spans="1:6" x14ac:dyDescent="0.3">
      <c r="A1766">
        <v>2026</v>
      </c>
      <c r="B1766">
        <v>3</v>
      </c>
      <c r="C1766" s="105" t="s">
        <v>39</v>
      </c>
      <c r="D1766" s="105" t="s">
        <v>31</v>
      </c>
      <c r="E1766">
        <v>380</v>
      </c>
      <c r="F1766">
        <v>380475.12</v>
      </c>
    </row>
    <row r="1767" spans="1:6" x14ac:dyDescent="0.3">
      <c r="A1767">
        <v>2026</v>
      </c>
      <c r="B1767">
        <v>3</v>
      </c>
      <c r="C1767" s="105" t="s">
        <v>39</v>
      </c>
      <c r="D1767" s="105" t="s">
        <v>51</v>
      </c>
      <c r="E1767">
        <v>115</v>
      </c>
      <c r="F1767">
        <v>76448.88</v>
      </c>
    </row>
    <row r="1768" spans="1:6" x14ac:dyDescent="0.3">
      <c r="A1768">
        <v>2026</v>
      </c>
      <c r="B1768">
        <v>3</v>
      </c>
      <c r="C1768" s="105" t="s">
        <v>39</v>
      </c>
      <c r="D1768" s="105" t="s">
        <v>32</v>
      </c>
      <c r="E1768">
        <v>151</v>
      </c>
      <c r="F1768">
        <v>138250.29999999999</v>
      </c>
    </row>
    <row r="1769" spans="1:6" x14ac:dyDescent="0.3">
      <c r="A1769">
        <v>2026</v>
      </c>
      <c r="B1769">
        <v>3</v>
      </c>
      <c r="C1769" s="105" t="s">
        <v>39</v>
      </c>
      <c r="D1769" s="105" t="s">
        <v>52</v>
      </c>
      <c r="E1769">
        <v>60</v>
      </c>
      <c r="F1769">
        <v>47813.37</v>
      </c>
    </row>
    <row r="1770" spans="1:6" x14ac:dyDescent="0.3">
      <c r="A1770">
        <v>2026</v>
      </c>
      <c r="B1770">
        <v>3</v>
      </c>
      <c r="C1770" s="105" t="s">
        <v>39</v>
      </c>
      <c r="D1770" s="105" t="s">
        <v>33</v>
      </c>
      <c r="E1770">
        <v>345</v>
      </c>
      <c r="F1770">
        <v>325429.21999999997</v>
      </c>
    </row>
    <row r="1771" spans="1:6" x14ac:dyDescent="0.3">
      <c r="A1771">
        <v>2026</v>
      </c>
      <c r="B1771">
        <v>3</v>
      </c>
      <c r="C1771" s="105" t="s">
        <v>39</v>
      </c>
      <c r="D1771" s="105" t="s">
        <v>58</v>
      </c>
      <c r="E1771">
        <v>145</v>
      </c>
      <c r="F1771">
        <v>119056.5</v>
      </c>
    </row>
    <row r="1772" spans="1:6" x14ac:dyDescent="0.3">
      <c r="A1772">
        <v>2026</v>
      </c>
      <c r="B1772">
        <v>3</v>
      </c>
      <c r="C1772" s="105" t="s">
        <v>39</v>
      </c>
      <c r="D1772" s="105" t="s">
        <v>34</v>
      </c>
      <c r="E1772">
        <v>279</v>
      </c>
      <c r="F1772">
        <v>238593.25</v>
      </c>
    </row>
    <row r="1773" spans="1:6" x14ac:dyDescent="0.3">
      <c r="A1773">
        <v>2026</v>
      </c>
      <c r="B1773">
        <v>3</v>
      </c>
      <c r="C1773" s="105" t="s">
        <v>39</v>
      </c>
      <c r="D1773" s="105" t="s">
        <v>56</v>
      </c>
      <c r="E1773">
        <v>44</v>
      </c>
      <c r="F1773">
        <v>35199</v>
      </c>
    </row>
    <row r="1774" spans="1:6" x14ac:dyDescent="0.3">
      <c r="A1774">
        <v>2026</v>
      </c>
      <c r="B1774">
        <v>3</v>
      </c>
      <c r="C1774" s="105" t="s">
        <v>39</v>
      </c>
      <c r="D1774" s="105" t="s">
        <v>57</v>
      </c>
      <c r="E1774">
        <v>45</v>
      </c>
      <c r="F1774">
        <v>30928</v>
      </c>
    </row>
    <row r="1775" spans="1:6" x14ac:dyDescent="0.3">
      <c r="A1775">
        <v>2026</v>
      </c>
      <c r="B1775">
        <v>3</v>
      </c>
      <c r="C1775" s="105" t="s">
        <v>39</v>
      </c>
      <c r="D1775" s="105" t="s">
        <v>49</v>
      </c>
      <c r="E1775">
        <v>64</v>
      </c>
      <c r="F1775">
        <v>44255</v>
      </c>
    </row>
    <row r="1776" spans="1:6" x14ac:dyDescent="0.3">
      <c r="A1776">
        <v>2026</v>
      </c>
      <c r="B1776">
        <v>3</v>
      </c>
      <c r="C1776" s="105" t="s">
        <v>39</v>
      </c>
      <c r="D1776" s="105" t="s">
        <v>53</v>
      </c>
      <c r="E1776">
        <v>60</v>
      </c>
      <c r="F1776">
        <v>45328.31</v>
      </c>
    </row>
    <row r="1777" spans="1:6" x14ac:dyDescent="0.3">
      <c r="A1777">
        <v>2026</v>
      </c>
      <c r="B1777">
        <v>3</v>
      </c>
      <c r="C1777" s="105" t="s">
        <v>39</v>
      </c>
      <c r="D1777" s="105" t="s">
        <v>35</v>
      </c>
      <c r="E1777">
        <v>173</v>
      </c>
      <c r="F1777">
        <v>157195.98000000001</v>
      </c>
    </row>
    <row r="1778" spans="1:6" x14ac:dyDescent="0.3">
      <c r="A1778">
        <v>2026</v>
      </c>
      <c r="B1778">
        <v>3</v>
      </c>
      <c r="C1778" s="105" t="s">
        <v>39</v>
      </c>
      <c r="D1778" s="105" t="s">
        <v>36</v>
      </c>
      <c r="E1778">
        <v>163</v>
      </c>
      <c r="F1778">
        <v>145666.89000000001</v>
      </c>
    </row>
    <row r="1779" spans="1:6" x14ac:dyDescent="0.3">
      <c r="A1779">
        <v>2026</v>
      </c>
      <c r="B1779">
        <v>3</v>
      </c>
      <c r="C1779" s="105" t="s">
        <v>39</v>
      </c>
      <c r="D1779" s="105" t="s">
        <v>37</v>
      </c>
      <c r="E1779">
        <v>326</v>
      </c>
      <c r="F1779">
        <v>284611.44</v>
      </c>
    </row>
    <row r="1780" spans="1:6" x14ac:dyDescent="0.3">
      <c r="A1780">
        <v>2026</v>
      </c>
      <c r="B1780">
        <v>4</v>
      </c>
      <c r="C1780" s="105" t="s">
        <v>40</v>
      </c>
      <c r="D1780" s="105" t="s">
        <v>7</v>
      </c>
      <c r="E1780">
        <v>245</v>
      </c>
      <c r="F1780">
        <v>224838.91</v>
      </c>
    </row>
    <row r="1781" spans="1:6" x14ac:dyDescent="0.3">
      <c r="A1781">
        <v>2026</v>
      </c>
      <c r="B1781">
        <v>4</v>
      </c>
      <c r="C1781" s="105" t="s">
        <v>40</v>
      </c>
      <c r="D1781" s="105" t="s">
        <v>8</v>
      </c>
      <c r="E1781">
        <v>236</v>
      </c>
      <c r="F1781">
        <v>171562.72</v>
      </c>
    </row>
    <row r="1782" spans="1:6" x14ac:dyDescent="0.3">
      <c r="A1782">
        <v>2026</v>
      </c>
      <c r="B1782">
        <v>4</v>
      </c>
      <c r="C1782" s="105" t="s">
        <v>40</v>
      </c>
      <c r="D1782" s="105" t="s">
        <v>9</v>
      </c>
      <c r="E1782">
        <v>100</v>
      </c>
      <c r="F1782">
        <v>157843.73000000001</v>
      </c>
    </row>
    <row r="1783" spans="1:6" x14ac:dyDescent="0.3">
      <c r="A1783">
        <v>2026</v>
      </c>
      <c r="B1783">
        <v>4</v>
      </c>
      <c r="C1783" s="105" t="s">
        <v>40</v>
      </c>
      <c r="D1783" s="105" t="s">
        <v>10</v>
      </c>
      <c r="E1783">
        <v>236</v>
      </c>
      <c r="F1783">
        <v>226574.42</v>
      </c>
    </row>
    <row r="1784" spans="1:6" x14ac:dyDescent="0.3">
      <c r="A1784">
        <v>2026</v>
      </c>
      <c r="B1784">
        <v>4</v>
      </c>
      <c r="C1784" s="105" t="s">
        <v>40</v>
      </c>
      <c r="D1784" s="105" t="s">
        <v>11</v>
      </c>
      <c r="E1784">
        <v>133</v>
      </c>
      <c r="F1784">
        <v>118668.06</v>
      </c>
    </row>
    <row r="1785" spans="1:6" x14ac:dyDescent="0.3">
      <c r="A1785">
        <v>2026</v>
      </c>
      <c r="B1785">
        <v>4</v>
      </c>
      <c r="C1785" s="105" t="s">
        <v>40</v>
      </c>
      <c r="D1785" s="105" t="s">
        <v>59</v>
      </c>
      <c r="E1785">
        <v>20</v>
      </c>
      <c r="F1785">
        <v>16234</v>
      </c>
    </row>
    <row r="1786" spans="1:6" x14ac:dyDescent="0.3">
      <c r="A1786">
        <v>2026</v>
      </c>
      <c r="B1786">
        <v>4</v>
      </c>
      <c r="C1786" s="105" t="s">
        <v>40</v>
      </c>
      <c r="D1786" s="105" t="s">
        <v>12</v>
      </c>
      <c r="E1786">
        <v>115</v>
      </c>
      <c r="F1786">
        <v>94152.54</v>
      </c>
    </row>
    <row r="1787" spans="1:6" x14ac:dyDescent="0.3">
      <c r="A1787">
        <v>2026</v>
      </c>
      <c r="B1787">
        <v>4</v>
      </c>
      <c r="C1787" s="105" t="s">
        <v>40</v>
      </c>
      <c r="D1787" s="105" t="s">
        <v>13</v>
      </c>
      <c r="E1787">
        <v>137</v>
      </c>
      <c r="F1787">
        <v>119913.98</v>
      </c>
    </row>
    <row r="1788" spans="1:6" x14ac:dyDescent="0.3">
      <c r="A1788">
        <v>2026</v>
      </c>
      <c r="B1788">
        <v>4</v>
      </c>
      <c r="C1788" s="105" t="s">
        <v>40</v>
      </c>
      <c r="D1788" s="105" t="s">
        <v>14</v>
      </c>
      <c r="E1788">
        <v>245</v>
      </c>
      <c r="F1788">
        <v>177501.32</v>
      </c>
    </row>
    <row r="1789" spans="1:6" x14ac:dyDescent="0.3">
      <c r="A1789">
        <v>2026</v>
      </c>
      <c r="B1789">
        <v>4</v>
      </c>
      <c r="C1789" s="105" t="s">
        <v>40</v>
      </c>
      <c r="D1789" s="105" t="s">
        <v>15</v>
      </c>
      <c r="E1789">
        <v>83</v>
      </c>
      <c r="F1789">
        <v>50344.65</v>
      </c>
    </row>
    <row r="1790" spans="1:6" x14ac:dyDescent="0.3">
      <c r="A1790">
        <v>2026</v>
      </c>
      <c r="B1790">
        <v>4</v>
      </c>
      <c r="C1790" s="105" t="s">
        <v>40</v>
      </c>
      <c r="D1790" s="105" t="s">
        <v>16</v>
      </c>
      <c r="E1790">
        <v>75</v>
      </c>
      <c r="F1790">
        <v>59779.99</v>
      </c>
    </row>
    <row r="1791" spans="1:6" x14ac:dyDescent="0.3">
      <c r="A1791">
        <v>2026</v>
      </c>
      <c r="B1791">
        <v>4</v>
      </c>
      <c r="C1791" s="105" t="s">
        <v>40</v>
      </c>
      <c r="D1791" s="105" t="s">
        <v>71</v>
      </c>
      <c r="E1791">
        <v>7</v>
      </c>
      <c r="F1791">
        <v>5925.89</v>
      </c>
    </row>
    <row r="1792" spans="1:6" x14ac:dyDescent="0.3">
      <c r="A1792">
        <v>2026</v>
      </c>
      <c r="B1792">
        <v>4</v>
      </c>
      <c r="C1792" s="105" t="s">
        <v>40</v>
      </c>
      <c r="D1792" s="105" t="s">
        <v>54</v>
      </c>
      <c r="E1792">
        <v>156</v>
      </c>
      <c r="F1792">
        <v>133305.21</v>
      </c>
    </row>
    <row r="1793" spans="1:6" x14ac:dyDescent="0.3">
      <c r="A1793">
        <v>2026</v>
      </c>
      <c r="B1793">
        <v>4</v>
      </c>
      <c r="C1793" s="105" t="s">
        <v>40</v>
      </c>
      <c r="D1793" s="105" t="s">
        <v>72</v>
      </c>
      <c r="E1793">
        <v>10</v>
      </c>
      <c r="F1793">
        <v>8108</v>
      </c>
    </row>
    <row r="1794" spans="1:6" x14ac:dyDescent="0.3">
      <c r="A1794">
        <v>2026</v>
      </c>
      <c r="B1794">
        <v>4</v>
      </c>
      <c r="C1794" s="105" t="s">
        <v>40</v>
      </c>
      <c r="D1794" s="105" t="s">
        <v>17</v>
      </c>
      <c r="E1794">
        <v>363</v>
      </c>
      <c r="F1794">
        <v>390550.98</v>
      </c>
    </row>
    <row r="1795" spans="1:6" x14ac:dyDescent="0.3">
      <c r="A1795">
        <v>2026</v>
      </c>
      <c r="B1795">
        <v>4</v>
      </c>
      <c r="C1795" s="105" t="s">
        <v>40</v>
      </c>
      <c r="D1795" s="105" t="s">
        <v>18</v>
      </c>
      <c r="E1795">
        <v>309</v>
      </c>
      <c r="F1795">
        <v>288075.53999999998</v>
      </c>
    </row>
    <row r="1796" spans="1:6" x14ac:dyDescent="0.3">
      <c r="A1796">
        <v>2026</v>
      </c>
      <c r="B1796">
        <v>4</v>
      </c>
      <c r="C1796" s="105" t="s">
        <v>40</v>
      </c>
      <c r="D1796" s="105" t="s">
        <v>50</v>
      </c>
      <c r="E1796">
        <v>254</v>
      </c>
      <c r="F1796">
        <v>248909.28</v>
      </c>
    </row>
    <row r="1797" spans="1:6" x14ac:dyDescent="0.3">
      <c r="A1797">
        <v>2026</v>
      </c>
      <c r="B1797">
        <v>4</v>
      </c>
      <c r="C1797" s="105" t="s">
        <v>40</v>
      </c>
      <c r="D1797" s="105" t="s">
        <v>55</v>
      </c>
      <c r="E1797">
        <v>72</v>
      </c>
      <c r="F1797">
        <v>53471.13</v>
      </c>
    </row>
    <row r="1798" spans="1:6" x14ac:dyDescent="0.3">
      <c r="A1798">
        <v>2026</v>
      </c>
      <c r="B1798">
        <v>4</v>
      </c>
      <c r="C1798" s="105" t="s">
        <v>40</v>
      </c>
      <c r="D1798" s="105" t="s">
        <v>69</v>
      </c>
      <c r="E1798">
        <v>21</v>
      </c>
      <c r="F1798">
        <v>17801</v>
      </c>
    </row>
    <row r="1799" spans="1:6" x14ac:dyDescent="0.3">
      <c r="A1799">
        <v>2026</v>
      </c>
      <c r="B1799">
        <v>4</v>
      </c>
      <c r="C1799" s="105" t="s">
        <v>40</v>
      </c>
      <c r="D1799" s="105" t="s">
        <v>19</v>
      </c>
      <c r="E1799">
        <v>152</v>
      </c>
      <c r="F1799">
        <v>115073.33</v>
      </c>
    </row>
    <row r="1800" spans="1:6" x14ac:dyDescent="0.3">
      <c r="A1800">
        <v>2026</v>
      </c>
      <c r="B1800">
        <v>4</v>
      </c>
      <c r="C1800" s="105" t="s">
        <v>40</v>
      </c>
      <c r="D1800" s="105" t="s">
        <v>20</v>
      </c>
      <c r="E1800">
        <v>184</v>
      </c>
      <c r="F1800">
        <v>203479.37</v>
      </c>
    </row>
    <row r="1801" spans="1:6" x14ac:dyDescent="0.3">
      <c r="A1801">
        <v>2026</v>
      </c>
      <c r="B1801">
        <v>4</v>
      </c>
      <c r="C1801" s="105" t="s">
        <v>40</v>
      </c>
      <c r="D1801" s="105" t="s">
        <v>21</v>
      </c>
      <c r="E1801">
        <v>292</v>
      </c>
      <c r="F1801">
        <v>266152.3</v>
      </c>
    </row>
    <row r="1802" spans="1:6" x14ac:dyDescent="0.3">
      <c r="A1802">
        <v>2026</v>
      </c>
      <c r="B1802">
        <v>4</v>
      </c>
      <c r="C1802" s="105" t="s">
        <v>40</v>
      </c>
      <c r="D1802" s="105" t="s">
        <v>22</v>
      </c>
      <c r="E1802">
        <v>121</v>
      </c>
      <c r="F1802">
        <v>99516.65</v>
      </c>
    </row>
    <row r="1803" spans="1:6" x14ac:dyDescent="0.3">
      <c r="A1803">
        <v>2026</v>
      </c>
      <c r="B1803">
        <v>4</v>
      </c>
      <c r="C1803" s="105" t="s">
        <v>40</v>
      </c>
      <c r="D1803" s="105" t="s">
        <v>23</v>
      </c>
      <c r="E1803">
        <v>217</v>
      </c>
      <c r="F1803">
        <v>215531.44</v>
      </c>
    </row>
    <row r="1804" spans="1:6" x14ac:dyDescent="0.3">
      <c r="A1804">
        <v>2026</v>
      </c>
      <c r="B1804">
        <v>4</v>
      </c>
      <c r="C1804" s="105" t="s">
        <v>40</v>
      </c>
      <c r="D1804" s="105" t="s">
        <v>24</v>
      </c>
      <c r="E1804">
        <v>232</v>
      </c>
      <c r="F1804">
        <v>182731.61</v>
      </c>
    </row>
    <row r="1805" spans="1:6" x14ac:dyDescent="0.3">
      <c r="A1805">
        <v>2026</v>
      </c>
      <c r="B1805">
        <v>4</v>
      </c>
      <c r="C1805" s="105" t="s">
        <v>40</v>
      </c>
      <c r="D1805" s="105" t="s">
        <v>25</v>
      </c>
      <c r="E1805">
        <v>294</v>
      </c>
      <c r="F1805">
        <v>228556.22</v>
      </c>
    </row>
    <row r="1806" spans="1:6" x14ac:dyDescent="0.3">
      <c r="A1806">
        <v>2026</v>
      </c>
      <c r="B1806">
        <v>4</v>
      </c>
      <c r="C1806" s="105" t="s">
        <v>40</v>
      </c>
      <c r="D1806" s="105" t="s">
        <v>26</v>
      </c>
      <c r="E1806">
        <v>207</v>
      </c>
      <c r="F1806">
        <v>225181</v>
      </c>
    </row>
    <row r="1807" spans="1:6" x14ac:dyDescent="0.3">
      <c r="A1807">
        <v>2026</v>
      </c>
      <c r="B1807">
        <v>4</v>
      </c>
      <c r="C1807" s="105" t="s">
        <v>40</v>
      </c>
      <c r="D1807" s="105" t="s">
        <v>27</v>
      </c>
      <c r="E1807">
        <v>199</v>
      </c>
      <c r="F1807">
        <v>262717.57</v>
      </c>
    </row>
    <row r="1808" spans="1:6" x14ac:dyDescent="0.3">
      <c r="A1808">
        <v>2026</v>
      </c>
      <c r="B1808">
        <v>4</v>
      </c>
      <c r="C1808" s="105" t="s">
        <v>40</v>
      </c>
      <c r="D1808" s="105" t="s">
        <v>28</v>
      </c>
      <c r="E1808">
        <v>114</v>
      </c>
      <c r="F1808">
        <v>83388.42</v>
      </c>
    </row>
    <row r="1809" spans="1:6" x14ac:dyDescent="0.3">
      <c r="A1809">
        <v>2026</v>
      </c>
      <c r="B1809">
        <v>4</v>
      </c>
      <c r="C1809" s="105" t="s">
        <v>40</v>
      </c>
      <c r="D1809" s="105" t="s">
        <v>29</v>
      </c>
      <c r="E1809">
        <v>229</v>
      </c>
      <c r="F1809">
        <v>208775.64</v>
      </c>
    </row>
    <row r="1810" spans="1:6" x14ac:dyDescent="0.3">
      <c r="A1810">
        <v>2026</v>
      </c>
      <c r="B1810">
        <v>4</v>
      </c>
      <c r="C1810" s="105" t="s">
        <v>40</v>
      </c>
      <c r="D1810" s="105" t="s">
        <v>30</v>
      </c>
      <c r="E1810">
        <v>62</v>
      </c>
      <c r="F1810">
        <v>56514.17</v>
      </c>
    </row>
    <row r="1811" spans="1:6" x14ac:dyDescent="0.3">
      <c r="A1811">
        <v>2026</v>
      </c>
      <c r="B1811">
        <v>4</v>
      </c>
      <c r="C1811" s="105" t="s">
        <v>40</v>
      </c>
      <c r="D1811" s="105" t="s">
        <v>31</v>
      </c>
      <c r="E1811">
        <v>401</v>
      </c>
      <c r="F1811">
        <v>388470.8</v>
      </c>
    </row>
    <row r="1812" spans="1:6" x14ac:dyDescent="0.3">
      <c r="A1812">
        <v>2026</v>
      </c>
      <c r="B1812">
        <v>4</v>
      </c>
      <c r="C1812" s="105" t="s">
        <v>40</v>
      </c>
      <c r="D1812" s="105" t="s">
        <v>51</v>
      </c>
      <c r="E1812">
        <v>126</v>
      </c>
      <c r="F1812">
        <v>85670.37</v>
      </c>
    </row>
    <row r="1813" spans="1:6" x14ac:dyDescent="0.3">
      <c r="A1813">
        <v>2026</v>
      </c>
      <c r="B1813">
        <v>4</v>
      </c>
      <c r="C1813" s="105" t="s">
        <v>40</v>
      </c>
      <c r="D1813" s="105" t="s">
        <v>32</v>
      </c>
      <c r="E1813">
        <v>207</v>
      </c>
      <c r="F1813">
        <v>167088.82999999999</v>
      </c>
    </row>
    <row r="1814" spans="1:6" x14ac:dyDescent="0.3">
      <c r="A1814">
        <v>2026</v>
      </c>
      <c r="B1814">
        <v>4</v>
      </c>
      <c r="C1814" s="105" t="s">
        <v>40</v>
      </c>
      <c r="D1814" s="105" t="s">
        <v>52</v>
      </c>
      <c r="E1814">
        <v>58</v>
      </c>
      <c r="F1814">
        <v>44276.62</v>
      </c>
    </row>
    <row r="1815" spans="1:6" x14ac:dyDescent="0.3">
      <c r="A1815">
        <v>2026</v>
      </c>
      <c r="B1815">
        <v>4</v>
      </c>
      <c r="C1815" s="105" t="s">
        <v>40</v>
      </c>
      <c r="D1815" s="105" t="s">
        <v>33</v>
      </c>
      <c r="E1815">
        <v>388</v>
      </c>
      <c r="F1815">
        <v>364912.16</v>
      </c>
    </row>
    <row r="1816" spans="1:6" x14ac:dyDescent="0.3">
      <c r="A1816">
        <v>2026</v>
      </c>
      <c r="B1816">
        <v>4</v>
      </c>
      <c r="C1816" s="105" t="s">
        <v>40</v>
      </c>
      <c r="D1816" s="105" t="s">
        <v>58</v>
      </c>
      <c r="E1816">
        <v>136</v>
      </c>
      <c r="F1816">
        <v>107083.05</v>
      </c>
    </row>
    <row r="1817" spans="1:6" x14ac:dyDescent="0.3">
      <c r="A1817">
        <v>2026</v>
      </c>
      <c r="B1817">
        <v>4</v>
      </c>
      <c r="C1817" s="105" t="s">
        <v>40</v>
      </c>
      <c r="D1817" s="105" t="s">
        <v>34</v>
      </c>
      <c r="E1817">
        <v>291</v>
      </c>
      <c r="F1817">
        <v>268599.69</v>
      </c>
    </row>
    <row r="1818" spans="1:6" x14ac:dyDescent="0.3">
      <c r="A1818">
        <v>2026</v>
      </c>
      <c r="B1818">
        <v>4</v>
      </c>
      <c r="C1818" s="105" t="s">
        <v>40</v>
      </c>
      <c r="D1818" s="105" t="s">
        <v>56</v>
      </c>
      <c r="E1818">
        <v>85</v>
      </c>
      <c r="F1818">
        <v>70196.3</v>
      </c>
    </row>
    <row r="1819" spans="1:6" x14ac:dyDescent="0.3">
      <c r="A1819">
        <v>2026</v>
      </c>
      <c r="B1819">
        <v>4</v>
      </c>
      <c r="C1819" s="105" t="s">
        <v>40</v>
      </c>
      <c r="D1819" s="105" t="s">
        <v>57</v>
      </c>
      <c r="E1819">
        <v>94</v>
      </c>
      <c r="F1819">
        <v>73838</v>
      </c>
    </row>
    <row r="1820" spans="1:6" x14ac:dyDescent="0.3">
      <c r="A1820">
        <v>2026</v>
      </c>
      <c r="B1820">
        <v>4</v>
      </c>
      <c r="C1820" s="105" t="s">
        <v>40</v>
      </c>
      <c r="D1820" s="105" t="s">
        <v>49</v>
      </c>
      <c r="E1820">
        <v>110</v>
      </c>
      <c r="F1820">
        <v>77981</v>
      </c>
    </row>
    <row r="1821" spans="1:6" x14ac:dyDescent="0.3">
      <c r="A1821">
        <v>2026</v>
      </c>
      <c r="B1821">
        <v>4</v>
      </c>
      <c r="C1821" s="105" t="s">
        <v>40</v>
      </c>
      <c r="D1821" s="105" t="s">
        <v>53</v>
      </c>
      <c r="E1821">
        <v>109</v>
      </c>
      <c r="F1821">
        <v>78108.100000000006</v>
      </c>
    </row>
    <row r="1822" spans="1:6" x14ac:dyDescent="0.3">
      <c r="A1822">
        <v>2026</v>
      </c>
      <c r="B1822">
        <v>4</v>
      </c>
      <c r="C1822" s="105" t="s">
        <v>40</v>
      </c>
      <c r="D1822" s="105" t="s">
        <v>35</v>
      </c>
      <c r="E1822">
        <v>237</v>
      </c>
      <c r="F1822">
        <v>229833.46</v>
      </c>
    </row>
    <row r="1823" spans="1:6" x14ac:dyDescent="0.3">
      <c r="A1823">
        <v>2026</v>
      </c>
      <c r="B1823">
        <v>4</v>
      </c>
      <c r="C1823" s="105" t="s">
        <v>40</v>
      </c>
      <c r="D1823" s="105" t="s">
        <v>36</v>
      </c>
      <c r="E1823">
        <v>235</v>
      </c>
      <c r="F1823">
        <v>224188.61</v>
      </c>
    </row>
    <row r="1824" spans="1:6" x14ac:dyDescent="0.3">
      <c r="A1824">
        <v>2026</v>
      </c>
      <c r="B1824">
        <v>4</v>
      </c>
      <c r="C1824" s="105" t="s">
        <v>40</v>
      </c>
      <c r="D1824" s="105" t="s">
        <v>37</v>
      </c>
      <c r="E1824">
        <v>237</v>
      </c>
      <c r="F1824">
        <v>197230.88</v>
      </c>
    </row>
    <row r="1825" spans="1:6" x14ac:dyDescent="0.3">
      <c r="A1825">
        <v>2026</v>
      </c>
      <c r="B1825">
        <v>4</v>
      </c>
      <c r="C1825" s="105" t="s">
        <v>40</v>
      </c>
      <c r="D1825" s="105" t="s">
        <v>74</v>
      </c>
      <c r="E1825">
        <v>6</v>
      </c>
      <c r="F1825">
        <v>4837</v>
      </c>
    </row>
    <row r="1826" spans="1:6" x14ac:dyDescent="0.3">
      <c r="A1826">
        <v>2026</v>
      </c>
      <c r="B1826">
        <v>5</v>
      </c>
      <c r="C1826" s="105" t="s">
        <v>41</v>
      </c>
      <c r="D1826" s="105" t="s">
        <v>7</v>
      </c>
      <c r="E1826">
        <v>98</v>
      </c>
      <c r="F1826">
        <v>84319.34</v>
      </c>
    </row>
    <row r="1827" spans="1:6" x14ac:dyDescent="0.3">
      <c r="A1827">
        <v>2026</v>
      </c>
      <c r="B1827">
        <v>5</v>
      </c>
      <c r="C1827" s="105" t="s">
        <v>41</v>
      </c>
      <c r="D1827" s="105" t="s">
        <v>70</v>
      </c>
      <c r="E1827">
        <v>4</v>
      </c>
      <c r="F1827">
        <v>3249</v>
      </c>
    </row>
    <row r="1828" spans="1:6" x14ac:dyDescent="0.3">
      <c r="A1828">
        <v>2026</v>
      </c>
      <c r="B1828">
        <v>5</v>
      </c>
      <c r="C1828" s="105" t="s">
        <v>41</v>
      </c>
      <c r="D1828" s="105" t="s">
        <v>8</v>
      </c>
      <c r="E1828">
        <v>68</v>
      </c>
      <c r="F1828">
        <v>52755.27</v>
      </c>
    </row>
    <row r="1829" spans="1:6" x14ac:dyDescent="0.3">
      <c r="A1829">
        <v>2026</v>
      </c>
      <c r="B1829">
        <v>5</v>
      </c>
      <c r="C1829" s="105" t="s">
        <v>41</v>
      </c>
      <c r="D1829" s="105" t="s">
        <v>9</v>
      </c>
      <c r="E1829">
        <v>19</v>
      </c>
      <c r="F1829">
        <v>12920.55</v>
      </c>
    </row>
    <row r="1830" spans="1:6" x14ac:dyDescent="0.3">
      <c r="A1830">
        <v>2026</v>
      </c>
      <c r="B1830">
        <v>5</v>
      </c>
      <c r="C1830" s="105" t="s">
        <v>41</v>
      </c>
      <c r="D1830" s="105" t="s">
        <v>10</v>
      </c>
      <c r="E1830">
        <v>63</v>
      </c>
      <c r="F1830">
        <v>58924.89</v>
      </c>
    </row>
    <row r="1831" spans="1:6" x14ac:dyDescent="0.3">
      <c r="A1831">
        <v>2026</v>
      </c>
      <c r="B1831">
        <v>5</v>
      </c>
      <c r="C1831" s="105" t="s">
        <v>41</v>
      </c>
      <c r="D1831" s="105" t="s">
        <v>11</v>
      </c>
      <c r="E1831">
        <v>41</v>
      </c>
      <c r="F1831">
        <v>34829.72</v>
      </c>
    </row>
    <row r="1832" spans="1:6" x14ac:dyDescent="0.3">
      <c r="A1832">
        <v>2026</v>
      </c>
      <c r="B1832">
        <v>5</v>
      </c>
      <c r="C1832" s="105" t="s">
        <v>41</v>
      </c>
      <c r="D1832" s="105" t="s">
        <v>59</v>
      </c>
      <c r="E1832">
        <v>7</v>
      </c>
      <c r="F1832">
        <v>5699</v>
      </c>
    </row>
    <row r="1833" spans="1:6" x14ac:dyDescent="0.3">
      <c r="A1833">
        <v>2026</v>
      </c>
      <c r="B1833">
        <v>5</v>
      </c>
      <c r="C1833" s="105" t="s">
        <v>41</v>
      </c>
      <c r="D1833" s="105" t="s">
        <v>12</v>
      </c>
      <c r="E1833">
        <v>47</v>
      </c>
      <c r="F1833">
        <v>33475.18</v>
      </c>
    </row>
    <row r="1834" spans="1:6" x14ac:dyDescent="0.3">
      <c r="A1834">
        <v>2026</v>
      </c>
      <c r="B1834">
        <v>5</v>
      </c>
      <c r="C1834" s="105" t="s">
        <v>41</v>
      </c>
      <c r="D1834" s="105" t="s">
        <v>13</v>
      </c>
      <c r="E1834">
        <v>44</v>
      </c>
      <c r="F1834">
        <v>33343.1</v>
      </c>
    </row>
    <row r="1835" spans="1:6" x14ac:dyDescent="0.3">
      <c r="A1835">
        <v>2026</v>
      </c>
      <c r="B1835">
        <v>5</v>
      </c>
      <c r="C1835" s="105" t="s">
        <v>41</v>
      </c>
      <c r="D1835" s="105" t="s">
        <v>14</v>
      </c>
      <c r="E1835">
        <v>64</v>
      </c>
      <c r="F1835">
        <v>44277.09</v>
      </c>
    </row>
    <row r="1836" spans="1:6" x14ac:dyDescent="0.3">
      <c r="A1836">
        <v>2026</v>
      </c>
      <c r="B1836">
        <v>5</v>
      </c>
      <c r="C1836" s="105" t="s">
        <v>41</v>
      </c>
      <c r="D1836" s="105" t="s">
        <v>15</v>
      </c>
      <c r="E1836">
        <v>24</v>
      </c>
      <c r="F1836">
        <v>15222.55</v>
      </c>
    </row>
    <row r="1837" spans="1:6" x14ac:dyDescent="0.3">
      <c r="A1837">
        <v>2026</v>
      </c>
      <c r="B1837">
        <v>5</v>
      </c>
      <c r="C1837" s="105" t="s">
        <v>41</v>
      </c>
      <c r="D1837" s="105" t="s">
        <v>16</v>
      </c>
      <c r="E1837">
        <v>36</v>
      </c>
      <c r="F1837">
        <v>32618.560000000001</v>
      </c>
    </row>
    <row r="1838" spans="1:6" x14ac:dyDescent="0.3">
      <c r="A1838">
        <v>2026</v>
      </c>
      <c r="B1838">
        <v>5</v>
      </c>
      <c r="C1838" s="105" t="s">
        <v>41</v>
      </c>
      <c r="D1838" s="105" t="s">
        <v>71</v>
      </c>
      <c r="E1838">
        <v>14</v>
      </c>
      <c r="F1838">
        <v>12455.89</v>
      </c>
    </row>
    <row r="1839" spans="1:6" x14ac:dyDescent="0.3">
      <c r="A1839">
        <v>2026</v>
      </c>
      <c r="B1839">
        <v>5</v>
      </c>
      <c r="C1839" s="105" t="s">
        <v>41</v>
      </c>
      <c r="D1839" s="105" t="s">
        <v>54</v>
      </c>
      <c r="E1839">
        <v>47</v>
      </c>
      <c r="F1839">
        <v>36052</v>
      </c>
    </row>
    <row r="1840" spans="1:6" x14ac:dyDescent="0.3">
      <c r="A1840">
        <v>2026</v>
      </c>
      <c r="B1840">
        <v>5</v>
      </c>
      <c r="C1840" s="105" t="s">
        <v>41</v>
      </c>
      <c r="D1840" s="105" t="s">
        <v>72</v>
      </c>
      <c r="E1840">
        <v>10</v>
      </c>
      <c r="F1840">
        <v>8125</v>
      </c>
    </row>
    <row r="1841" spans="1:6" x14ac:dyDescent="0.3">
      <c r="A1841">
        <v>2026</v>
      </c>
      <c r="B1841">
        <v>5</v>
      </c>
      <c r="C1841" s="105" t="s">
        <v>41</v>
      </c>
      <c r="D1841" s="105" t="s">
        <v>17</v>
      </c>
      <c r="E1841">
        <v>97</v>
      </c>
      <c r="F1841">
        <v>93174</v>
      </c>
    </row>
    <row r="1842" spans="1:6" x14ac:dyDescent="0.3">
      <c r="A1842">
        <v>2026</v>
      </c>
      <c r="B1842">
        <v>5</v>
      </c>
      <c r="C1842" s="105" t="s">
        <v>41</v>
      </c>
      <c r="D1842" s="105" t="s">
        <v>18</v>
      </c>
      <c r="E1842">
        <v>102</v>
      </c>
      <c r="F1842">
        <v>90743.35</v>
      </c>
    </row>
    <row r="1843" spans="1:6" x14ac:dyDescent="0.3">
      <c r="A1843">
        <v>2026</v>
      </c>
      <c r="B1843">
        <v>5</v>
      </c>
      <c r="C1843" s="105" t="s">
        <v>41</v>
      </c>
      <c r="D1843" s="105" t="s">
        <v>50</v>
      </c>
      <c r="E1843">
        <v>88</v>
      </c>
      <c r="F1843">
        <v>71326.11</v>
      </c>
    </row>
    <row r="1844" spans="1:6" x14ac:dyDescent="0.3">
      <c r="A1844">
        <v>2026</v>
      </c>
      <c r="B1844">
        <v>5</v>
      </c>
      <c r="C1844" s="105" t="s">
        <v>41</v>
      </c>
      <c r="D1844" s="105" t="s">
        <v>55</v>
      </c>
      <c r="E1844">
        <v>25</v>
      </c>
      <c r="F1844">
        <v>18949.87</v>
      </c>
    </row>
    <row r="1845" spans="1:6" x14ac:dyDescent="0.3">
      <c r="A1845">
        <v>2026</v>
      </c>
      <c r="B1845">
        <v>5</v>
      </c>
      <c r="C1845" s="105" t="s">
        <v>41</v>
      </c>
      <c r="D1845" s="105" t="s">
        <v>69</v>
      </c>
      <c r="E1845">
        <v>7</v>
      </c>
      <c r="F1845">
        <v>5635</v>
      </c>
    </row>
    <row r="1846" spans="1:6" x14ac:dyDescent="0.3">
      <c r="A1846">
        <v>2026</v>
      </c>
      <c r="B1846">
        <v>5</v>
      </c>
      <c r="C1846" s="105" t="s">
        <v>41</v>
      </c>
      <c r="D1846" s="105" t="s">
        <v>19</v>
      </c>
      <c r="E1846">
        <v>42</v>
      </c>
      <c r="F1846">
        <v>30847.07</v>
      </c>
    </row>
    <row r="1847" spans="1:6" x14ac:dyDescent="0.3">
      <c r="A1847">
        <v>2026</v>
      </c>
      <c r="B1847">
        <v>5</v>
      </c>
      <c r="C1847" s="105" t="s">
        <v>41</v>
      </c>
      <c r="D1847" s="105" t="s">
        <v>20</v>
      </c>
      <c r="E1847">
        <v>54</v>
      </c>
      <c r="F1847">
        <v>38868.480000000003</v>
      </c>
    </row>
    <row r="1848" spans="1:6" x14ac:dyDescent="0.3">
      <c r="A1848">
        <v>2026</v>
      </c>
      <c r="B1848">
        <v>5</v>
      </c>
      <c r="C1848" s="105" t="s">
        <v>41</v>
      </c>
      <c r="D1848" s="105" t="s">
        <v>21</v>
      </c>
      <c r="E1848">
        <v>83</v>
      </c>
      <c r="F1848">
        <v>74016.47</v>
      </c>
    </row>
    <row r="1849" spans="1:6" x14ac:dyDescent="0.3">
      <c r="A1849">
        <v>2026</v>
      </c>
      <c r="B1849">
        <v>5</v>
      </c>
      <c r="C1849" s="105" t="s">
        <v>41</v>
      </c>
      <c r="D1849" s="105" t="s">
        <v>22</v>
      </c>
      <c r="E1849">
        <v>47</v>
      </c>
      <c r="F1849">
        <v>32350.080000000002</v>
      </c>
    </row>
    <row r="1850" spans="1:6" x14ac:dyDescent="0.3">
      <c r="A1850">
        <v>2026</v>
      </c>
      <c r="B1850">
        <v>5</v>
      </c>
      <c r="C1850" s="105" t="s">
        <v>41</v>
      </c>
      <c r="D1850" s="105" t="s">
        <v>23</v>
      </c>
      <c r="E1850">
        <v>107</v>
      </c>
      <c r="F1850">
        <v>140212.26</v>
      </c>
    </row>
    <row r="1851" spans="1:6" x14ac:dyDescent="0.3">
      <c r="A1851">
        <v>2026</v>
      </c>
      <c r="B1851">
        <v>5</v>
      </c>
      <c r="C1851" s="105" t="s">
        <v>41</v>
      </c>
      <c r="D1851" s="105" t="s">
        <v>24</v>
      </c>
      <c r="E1851">
        <v>52</v>
      </c>
      <c r="F1851">
        <v>38323.65</v>
      </c>
    </row>
    <row r="1852" spans="1:6" x14ac:dyDescent="0.3">
      <c r="A1852">
        <v>2026</v>
      </c>
      <c r="B1852">
        <v>5</v>
      </c>
      <c r="C1852" s="105" t="s">
        <v>41</v>
      </c>
      <c r="D1852" s="105" t="s">
        <v>25</v>
      </c>
      <c r="E1852">
        <v>80</v>
      </c>
      <c r="F1852">
        <v>64898.98</v>
      </c>
    </row>
    <row r="1853" spans="1:6" x14ac:dyDescent="0.3">
      <c r="A1853">
        <v>2026</v>
      </c>
      <c r="B1853">
        <v>5</v>
      </c>
      <c r="C1853" s="105" t="s">
        <v>41</v>
      </c>
      <c r="D1853" s="105" t="s">
        <v>26</v>
      </c>
      <c r="E1853">
        <v>58</v>
      </c>
      <c r="F1853">
        <v>71896.75</v>
      </c>
    </row>
    <row r="1854" spans="1:6" x14ac:dyDescent="0.3">
      <c r="A1854">
        <v>2026</v>
      </c>
      <c r="B1854">
        <v>5</v>
      </c>
      <c r="C1854" s="105" t="s">
        <v>41</v>
      </c>
      <c r="D1854" s="105" t="s">
        <v>27</v>
      </c>
      <c r="E1854">
        <v>57</v>
      </c>
      <c r="F1854">
        <v>49181.21</v>
      </c>
    </row>
    <row r="1855" spans="1:6" x14ac:dyDescent="0.3">
      <c r="A1855">
        <v>2026</v>
      </c>
      <c r="B1855">
        <v>5</v>
      </c>
      <c r="C1855" s="105" t="s">
        <v>41</v>
      </c>
      <c r="D1855" s="105" t="s">
        <v>28</v>
      </c>
      <c r="E1855">
        <v>34</v>
      </c>
      <c r="F1855">
        <v>22746.49</v>
      </c>
    </row>
    <row r="1856" spans="1:6" x14ac:dyDescent="0.3">
      <c r="A1856">
        <v>2026</v>
      </c>
      <c r="B1856">
        <v>5</v>
      </c>
      <c r="C1856" s="105" t="s">
        <v>41</v>
      </c>
      <c r="D1856" s="105" t="s">
        <v>29</v>
      </c>
      <c r="E1856">
        <v>63</v>
      </c>
      <c r="F1856">
        <v>50526.52</v>
      </c>
    </row>
    <row r="1857" spans="1:6" x14ac:dyDescent="0.3">
      <c r="A1857">
        <v>2026</v>
      </c>
      <c r="B1857">
        <v>5</v>
      </c>
      <c r="C1857" s="105" t="s">
        <v>41</v>
      </c>
      <c r="D1857" s="105" t="s">
        <v>30</v>
      </c>
      <c r="E1857">
        <v>19</v>
      </c>
      <c r="F1857">
        <v>12708.32</v>
      </c>
    </row>
    <row r="1858" spans="1:6" x14ac:dyDescent="0.3">
      <c r="A1858">
        <v>2026</v>
      </c>
      <c r="B1858">
        <v>5</v>
      </c>
      <c r="C1858" s="105" t="s">
        <v>41</v>
      </c>
      <c r="D1858" s="105" t="s">
        <v>31</v>
      </c>
      <c r="E1858">
        <v>128</v>
      </c>
      <c r="F1858">
        <v>126746.47</v>
      </c>
    </row>
    <row r="1859" spans="1:6" x14ac:dyDescent="0.3">
      <c r="A1859">
        <v>2026</v>
      </c>
      <c r="B1859">
        <v>5</v>
      </c>
      <c r="C1859" s="105" t="s">
        <v>41</v>
      </c>
      <c r="D1859" s="105" t="s">
        <v>51</v>
      </c>
      <c r="E1859">
        <v>40</v>
      </c>
      <c r="F1859">
        <v>25703</v>
      </c>
    </row>
    <row r="1860" spans="1:6" x14ac:dyDescent="0.3">
      <c r="A1860">
        <v>2026</v>
      </c>
      <c r="B1860">
        <v>5</v>
      </c>
      <c r="C1860" s="105" t="s">
        <v>41</v>
      </c>
      <c r="D1860" s="105" t="s">
        <v>32</v>
      </c>
      <c r="E1860">
        <v>82</v>
      </c>
      <c r="F1860">
        <v>67386.09</v>
      </c>
    </row>
    <row r="1861" spans="1:6" x14ac:dyDescent="0.3">
      <c r="A1861">
        <v>2026</v>
      </c>
      <c r="B1861">
        <v>5</v>
      </c>
      <c r="C1861" s="105" t="s">
        <v>41</v>
      </c>
      <c r="D1861" s="105" t="s">
        <v>52</v>
      </c>
      <c r="E1861">
        <v>37</v>
      </c>
      <c r="F1861">
        <v>32289.62</v>
      </c>
    </row>
    <row r="1862" spans="1:6" x14ac:dyDescent="0.3">
      <c r="A1862">
        <v>2026</v>
      </c>
      <c r="B1862">
        <v>5</v>
      </c>
      <c r="C1862" s="105" t="s">
        <v>41</v>
      </c>
      <c r="D1862" s="105" t="s">
        <v>33</v>
      </c>
      <c r="E1862">
        <v>113</v>
      </c>
      <c r="F1862">
        <v>101181.73</v>
      </c>
    </row>
    <row r="1863" spans="1:6" x14ac:dyDescent="0.3">
      <c r="A1863">
        <v>2026</v>
      </c>
      <c r="B1863">
        <v>5</v>
      </c>
      <c r="C1863" s="105" t="s">
        <v>41</v>
      </c>
      <c r="D1863" s="105" t="s">
        <v>58</v>
      </c>
      <c r="E1863">
        <v>55</v>
      </c>
      <c r="F1863">
        <v>44499</v>
      </c>
    </row>
    <row r="1864" spans="1:6" x14ac:dyDescent="0.3">
      <c r="A1864">
        <v>2026</v>
      </c>
      <c r="B1864">
        <v>5</v>
      </c>
      <c r="C1864" s="105" t="s">
        <v>41</v>
      </c>
      <c r="D1864" s="105" t="s">
        <v>34</v>
      </c>
      <c r="E1864">
        <v>65</v>
      </c>
      <c r="F1864">
        <v>54838.18</v>
      </c>
    </row>
    <row r="1865" spans="1:6" x14ac:dyDescent="0.3">
      <c r="A1865">
        <v>2026</v>
      </c>
      <c r="B1865">
        <v>5</v>
      </c>
      <c r="C1865" s="105" t="s">
        <v>41</v>
      </c>
      <c r="D1865" s="105" t="s">
        <v>56</v>
      </c>
      <c r="E1865">
        <v>55</v>
      </c>
      <c r="F1865">
        <v>46607.5</v>
      </c>
    </row>
    <row r="1866" spans="1:6" x14ac:dyDescent="0.3">
      <c r="A1866">
        <v>2026</v>
      </c>
      <c r="B1866">
        <v>5</v>
      </c>
      <c r="C1866" s="105" t="s">
        <v>41</v>
      </c>
      <c r="D1866" s="105" t="s">
        <v>57</v>
      </c>
      <c r="E1866">
        <v>37</v>
      </c>
      <c r="F1866">
        <v>28430</v>
      </c>
    </row>
    <row r="1867" spans="1:6" x14ac:dyDescent="0.3">
      <c r="A1867">
        <v>2026</v>
      </c>
      <c r="B1867">
        <v>5</v>
      </c>
      <c r="C1867" s="105" t="s">
        <v>41</v>
      </c>
      <c r="D1867" s="105" t="s">
        <v>49</v>
      </c>
      <c r="E1867">
        <v>29</v>
      </c>
      <c r="F1867">
        <v>20305</v>
      </c>
    </row>
    <row r="1868" spans="1:6" x14ac:dyDescent="0.3">
      <c r="A1868">
        <v>2026</v>
      </c>
      <c r="B1868">
        <v>5</v>
      </c>
      <c r="C1868" s="105" t="s">
        <v>41</v>
      </c>
      <c r="D1868" s="105" t="s">
        <v>53</v>
      </c>
      <c r="E1868">
        <v>36</v>
      </c>
      <c r="F1868">
        <v>26115.93</v>
      </c>
    </row>
    <row r="1869" spans="1:6" x14ac:dyDescent="0.3">
      <c r="A1869">
        <v>2026</v>
      </c>
      <c r="B1869">
        <v>5</v>
      </c>
      <c r="C1869" s="105" t="s">
        <v>41</v>
      </c>
      <c r="D1869" s="105" t="s">
        <v>35</v>
      </c>
      <c r="E1869">
        <v>49</v>
      </c>
      <c r="F1869">
        <v>41341.54</v>
      </c>
    </row>
    <row r="1870" spans="1:6" x14ac:dyDescent="0.3">
      <c r="A1870">
        <v>2026</v>
      </c>
      <c r="B1870">
        <v>5</v>
      </c>
      <c r="C1870" s="105" t="s">
        <v>41</v>
      </c>
      <c r="D1870" s="105" t="s">
        <v>36</v>
      </c>
      <c r="E1870">
        <v>66</v>
      </c>
      <c r="F1870">
        <v>51012.44</v>
      </c>
    </row>
    <row r="1871" spans="1:6" x14ac:dyDescent="0.3">
      <c r="A1871">
        <v>2026</v>
      </c>
      <c r="B1871">
        <v>5</v>
      </c>
      <c r="C1871" s="105" t="s">
        <v>41</v>
      </c>
      <c r="D1871" s="105" t="s">
        <v>37</v>
      </c>
      <c r="E1871">
        <v>93</v>
      </c>
      <c r="F1871">
        <v>81636.28</v>
      </c>
    </row>
    <row r="1872" spans="1:6" x14ac:dyDescent="0.3">
      <c r="A1872">
        <v>2026</v>
      </c>
      <c r="B1872">
        <v>5</v>
      </c>
      <c r="C1872" s="105" t="s">
        <v>41</v>
      </c>
      <c r="D1872" s="105" t="s">
        <v>73</v>
      </c>
      <c r="E1872">
        <v>9</v>
      </c>
      <c r="F1872">
        <v>7403</v>
      </c>
    </row>
    <row r="1873" spans="1:6" x14ac:dyDescent="0.3">
      <c r="A1873">
        <v>2026</v>
      </c>
      <c r="B1873">
        <v>5</v>
      </c>
      <c r="C1873" s="105" t="s">
        <v>41</v>
      </c>
      <c r="D1873" s="105" t="s">
        <v>74</v>
      </c>
      <c r="E1873">
        <v>8</v>
      </c>
      <c r="F1873">
        <v>6120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F8B7A-6621-4ED0-BA59-C7F9144F52C7}">
  <dimension ref="A1:F1804"/>
  <sheetViews>
    <sheetView workbookViewId="0">
      <selection activeCell="E15" sqref="E15:E356"/>
    </sheetView>
  </sheetViews>
  <sheetFormatPr defaultRowHeight="14.4" x14ac:dyDescent="0.3"/>
  <cols>
    <col min="1" max="1" width="6.88671875" bestFit="1" customWidth="1"/>
    <col min="2" max="2" width="13.109375" bestFit="1" customWidth="1"/>
    <col min="3" max="3" width="9.77734375" bestFit="1" customWidth="1"/>
    <col min="4" max="4" width="28.44140625" bestFit="1" customWidth="1"/>
    <col min="5" max="5" width="9.5546875" bestFit="1" customWidth="1"/>
    <col min="6" max="6" width="15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60</v>
      </c>
      <c r="F1" t="s">
        <v>5</v>
      </c>
    </row>
    <row r="2" spans="1:6" hidden="1" x14ac:dyDescent="0.3">
      <c r="A2">
        <v>2022</v>
      </c>
      <c r="B2">
        <v>1</v>
      </c>
      <c r="C2" s="105" t="s">
        <v>6</v>
      </c>
      <c r="D2" s="105" t="s">
        <v>7</v>
      </c>
      <c r="E2">
        <v>17</v>
      </c>
      <c r="F2">
        <v>11972.52</v>
      </c>
    </row>
    <row r="3" spans="1:6" hidden="1" x14ac:dyDescent="0.3">
      <c r="A3">
        <v>2022</v>
      </c>
      <c r="B3">
        <v>1</v>
      </c>
      <c r="C3" s="105" t="s">
        <v>6</v>
      </c>
      <c r="D3" s="105" t="s">
        <v>8</v>
      </c>
      <c r="E3">
        <v>16</v>
      </c>
      <c r="F3">
        <v>8918.7999999999993</v>
      </c>
    </row>
    <row r="4" spans="1:6" hidden="1" x14ac:dyDescent="0.3">
      <c r="A4">
        <v>2022</v>
      </c>
      <c r="B4">
        <v>1</v>
      </c>
      <c r="C4" s="105" t="s">
        <v>6</v>
      </c>
      <c r="D4" s="105" t="s">
        <v>9</v>
      </c>
      <c r="E4">
        <v>9</v>
      </c>
      <c r="F4">
        <v>4754.8900000000003</v>
      </c>
    </row>
    <row r="5" spans="1:6" hidden="1" x14ac:dyDescent="0.3">
      <c r="A5">
        <v>2022</v>
      </c>
      <c r="B5">
        <v>1</v>
      </c>
      <c r="C5" s="105" t="s">
        <v>6</v>
      </c>
      <c r="D5" s="105" t="s">
        <v>10</v>
      </c>
      <c r="E5">
        <v>44</v>
      </c>
      <c r="F5">
        <v>31434.799999999999</v>
      </c>
    </row>
    <row r="6" spans="1:6" hidden="1" x14ac:dyDescent="0.3">
      <c r="A6">
        <v>2022</v>
      </c>
      <c r="B6">
        <v>1</v>
      </c>
      <c r="C6" s="105" t="s">
        <v>6</v>
      </c>
      <c r="D6" s="105" t="s">
        <v>11</v>
      </c>
      <c r="E6">
        <v>40</v>
      </c>
      <c r="F6">
        <v>27217</v>
      </c>
    </row>
    <row r="7" spans="1:6" hidden="1" x14ac:dyDescent="0.3">
      <c r="A7">
        <v>2022</v>
      </c>
      <c r="B7">
        <v>1</v>
      </c>
      <c r="C7" s="105" t="s">
        <v>6</v>
      </c>
      <c r="D7" s="105" t="s">
        <v>12</v>
      </c>
      <c r="E7">
        <v>24</v>
      </c>
      <c r="F7">
        <v>13895.2</v>
      </c>
    </row>
    <row r="8" spans="1:6" hidden="1" x14ac:dyDescent="0.3">
      <c r="A8">
        <v>2022</v>
      </c>
      <c r="B8">
        <v>1</v>
      </c>
      <c r="C8" s="105" t="s">
        <v>6</v>
      </c>
      <c r="D8" s="105" t="s">
        <v>13</v>
      </c>
      <c r="E8">
        <v>62</v>
      </c>
      <c r="F8">
        <v>38022.050000000003</v>
      </c>
    </row>
    <row r="9" spans="1:6" hidden="1" x14ac:dyDescent="0.3">
      <c r="A9">
        <v>2022</v>
      </c>
      <c r="B9">
        <v>1</v>
      </c>
      <c r="C9" s="105" t="s">
        <v>6</v>
      </c>
      <c r="D9" s="105" t="s">
        <v>14</v>
      </c>
      <c r="E9">
        <v>34</v>
      </c>
      <c r="F9">
        <v>22035.39</v>
      </c>
    </row>
    <row r="10" spans="1:6" hidden="1" x14ac:dyDescent="0.3">
      <c r="A10">
        <v>2022</v>
      </c>
      <c r="B10">
        <v>1</v>
      </c>
      <c r="C10" s="105" t="s">
        <v>6</v>
      </c>
      <c r="D10" s="105" t="s">
        <v>15</v>
      </c>
      <c r="E10">
        <v>3</v>
      </c>
      <c r="F10">
        <v>1305</v>
      </c>
    </row>
    <row r="11" spans="1:6" hidden="1" x14ac:dyDescent="0.3">
      <c r="A11">
        <v>2022</v>
      </c>
      <c r="B11">
        <v>1</v>
      </c>
      <c r="C11" s="105" t="s">
        <v>6</v>
      </c>
      <c r="D11" s="105" t="s">
        <v>16</v>
      </c>
      <c r="E11">
        <v>5</v>
      </c>
      <c r="F11">
        <v>3138</v>
      </c>
    </row>
    <row r="12" spans="1:6" hidden="1" x14ac:dyDescent="0.3">
      <c r="A12">
        <v>2022</v>
      </c>
      <c r="B12">
        <v>1</v>
      </c>
      <c r="C12" s="105" t="s">
        <v>6</v>
      </c>
      <c r="D12" s="105" t="s">
        <v>17</v>
      </c>
      <c r="E12">
        <v>31</v>
      </c>
      <c r="F12">
        <v>22229</v>
      </c>
    </row>
    <row r="13" spans="1:6" hidden="1" x14ac:dyDescent="0.3">
      <c r="A13">
        <v>2022</v>
      </c>
      <c r="B13">
        <v>1</v>
      </c>
      <c r="C13" s="105" t="s">
        <v>6</v>
      </c>
      <c r="D13" s="105" t="s">
        <v>18</v>
      </c>
      <c r="E13">
        <v>155</v>
      </c>
      <c r="F13">
        <v>100124.46</v>
      </c>
    </row>
    <row r="14" spans="1:6" hidden="1" x14ac:dyDescent="0.3">
      <c r="A14">
        <v>2022</v>
      </c>
      <c r="B14">
        <v>1</v>
      </c>
      <c r="C14" s="105" t="s">
        <v>6</v>
      </c>
      <c r="D14" s="105" t="s">
        <v>19</v>
      </c>
      <c r="E14">
        <v>4</v>
      </c>
      <c r="F14">
        <v>1447</v>
      </c>
    </row>
    <row r="15" spans="1:6" x14ac:dyDescent="0.3">
      <c r="A15">
        <v>2022</v>
      </c>
      <c r="B15">
        <v>1</v>
      </c>
      <c r="C15" s="105" t="s">
        <v>6</v>
      </c>
      <c r="D15" s="105" t="s">
        <v>20</v>
      </c>
      <c r="E15">
        <v>64</v>
      </c>
      <c r="F15">
        <v>33484.800000000003</v>
      </c>
    </row>
    <row r="16" spans="1:6" hidden="1" x14ac:dyDescent="0.3">
      <c r="A16">
        <v>2022</v>
      </c>
      <c r="B16">
        <v>1</v>
      </c>
      <c r="C16" s="105" t="s">
        <v>6</v>
      </c>
      <c r="D16" s="105" t="s">
        <v>21</v>
      </c>
      <c r="E16">
        <v>78</v>
      </c>
      <c r="F16">
        <v>54542.58</v>
      </c>
    </row>
    <row r="17" spans="1:6" hidden="1" x14ac:dyDescent="0.3">
      <c r="A17">
        <v>2022</v>
      </c>
      <c r="B17">
        <v>1</v>
      </c>
      <c r="C17" s="105" t="s">
        <v>6</v>
      </c>
      <c r="D17" s="105" t="s">
        <v>22</v>
      </c>
      <c r="E17">
        <v>20</v>
      </c>
      <c r="F17">
        <v>11124.12</v>
      </c>
    </row>
    <row r="18" spans="1:6" hidden="1" x14ac:dyDescent="0.3">
      <c r="A18">
        <v>2022</v>
      </c>
      <c r="B18">
        <v>1</v>
      </c>
      <c r="C18" s="105" t="s">
        <v>6</v>
      </c>
      <c r="D18" s="105" t="s">
        <v>23</v>
      </c>
      <c r="E18">
        <v>9</v>
      </c>
      <c r="F18">
        <v>7888</v>
      </c>
    </row>
    <row r="19" spans="1:6" hidden="1" x14ac:dyDescent="0.3">
      <c r="A19">
        <v>2022</v>
      </c>
      <c r="B19">
        <v>1</v>
      </c>
      <c r="C19" s="105" t="s">
        <v>6</v>
      </c>
      <c r="D19" s="105" t="s">
        <v>24</v>
      </c>
      <c r="E19">
        <v>61</v>
      </c>
      <c r="F19">
        <v>32500.79</v>
      </c>
    </row>
    <row r="20" spans="1:6" hidden="1" x14ac:dyDescent="0.3">
      <c r="A20">
        <v>2022</v>
      </c>
      <c r="B20">
        <v>1</v>
      </c>
      <c r="C20" s="105" t="s">
        <v>6</v>
      </c>
      <c r="D20" s="105" t="s">
        <v>25</v>
      </c>
      <c r="E20">
        <v>84</v>
      </c>
      <c r="F20">
        <v>54846.98</v>
      </c>
    </row>
    <row r="21" spans="1:6" hidden="1" x14ac:dyDescent="0.3">
      <c r="A21">
        <v>2022</v>
      </c>
      <c r="B21">
        <v>1</v>
      </c>
      <c r="C21" s="105" t="s">
        <v>6</v>
      </c>
      <c r="D21" s="105" t="s">
        <v>26</v>
      </c>
      <c r="E21">
        <v>3</v>
      </c>
      <c r="F21">
        <v>2029</v>
      </c>
    </row>
    <row r="22" spans="1:6" hidden="1" x14ac:dyDescent="0.3">
      <c r="A22">
        <v>2022</v>
      </c>
      <c r="B22">
        <v>1</v>
      </c>
      <c r="C22" s="105" t="s">
        <v>6</v>
      </c>
      <c r="D22" s="105" t="s">
        <v>27</v>
      </c>
      <c r="E22">
        <v>57</v>
      </c>
      <c r="F22">
        <v>31050.240000000002</v>
      </c>
    </row>
    <row r="23" spans="1:6" hidden="1" x14ac:dyDescent="0.3">
      <c r="A23">
        <v>2022</v>
      </c>
      <c r="B23">
        <v>1</v>
      </c>
      <c r="C23" s="105" t="s">
        <v>6</v>
      </c>
      <c r="D23" s="105" t="s">
        <v>28</v>
      </c>
      <c r="E23">
        <v>5</v>
      </c>
      <c r="F23">
        <v>2347.75</v>
      </c>
    </row>
    <row r="24" spans="1:6" hidden="1" x14ac:dyDescent="0.3">
      <c r="A24">
        <v>2022</v>
      </c>
      <c r="B24">
        <v>1</v>
      </c>
      <c r="C24" s="105" t="s">
        <v>6</v>
      </c>
      <c r="D24" s="105" t="s">
        <v>29</v>
      </c>
      <c r="E24">
        <v>58</v>
      </c>
      <c r="F24">
        <v>40097</v>
      </c>
    </row>
    <row r="25" spans="1:6" hidden="1" x14ac:dyDescent="0.3">
      <c r="A25">
        <v>2022</v>
      </c>
      <c r="B25">
        <v>1</v>
      </c>
      <c r="C25" s="105" t="s">
        <v>6</v>
      </c>
      <c r="D25" s="105" t="s">
        <v>30</v>
      </c>
      <c r="E25">
        <v>8</v>
      </c>
      <c r="F25">
        <v>7808</v>
      </c>
    </row>
    <row r="26" spans="1:6" hidden="1" x14ac:dyDescent="0.3">
      <c r="A26">
        <v>2022</v>
      </c>
      <c r="B26">
        <v>1</v>
      </c>
      <c r="C26" s="105" t="s">
        <v>6</v>
      </c>
      <c r="D26" s="105" t="s">
        <v>31</v>
      </c>
      <c r="E26">
        <v>115</v>
      </c>
      <c r="F26">
        <v>87392.11</v>
      </c>
    </row>
    <row r="27" spans="1:6" hidden="1" x14ac:dyDescent="0.3">
      <c r="A27">
        <v>2022</v>
      </c>
      <c r="B27">
        <v>1</v>
      </c>
      <c r="C27" s="105" t="s">
        <v>6</v>
      </c>
      <c r="D27" s="105" t="s">
        <v>32</v>
      </c>
      <c r="E27">
        <v>5</v>
      </c>
      <c r="F27">
        <v>2371</v>
      </c>
    </row>
    <row r="28" spans="1:6" hidden="1" x14ac:dyDescent="0.3">
      <c r="A28">
        <v>2022</v>
      </c>
      <c r="B28">
        <v>1</v>
      </c>
      <c r="C28" s="105" t="s">
        <v>6</v>
      </c>
      <c r="D28" s="105" t="s">
        <v>33</v>
      </c>
      <c r="E28">
        <v>82</v>
      </c>
      <c r="F28">
        <v>64323.65</v>
      </c>
    </row>
    <row r="29" spans="1:6" hidden="1" x14ac:dyDescent="0.3">
      <c r="A29">
        <v>2022</v>
      </c>
      <c r="B29">
        <v>1</v>
      </c>
      <c r="C29" s="105" t="s">
        <v>6</v>
      </c>
      <c r="D29" s="105" t="s">
        <v>34</v>
      </c>
      <c r="E29">
        <v>43</v>
      </c>
      <c r="F29">
        <v>30145.919999999998</v>
      </c>
    </row>
    <row r="30" spans="1:6" hidden="1" x14ac:dyDescent="0.3">
      <c r="A30">
        <v>2022</v>
      </c>
      <c r="B30">
        <v>1</v>
      </c>
      <c r="C30" s="105" t="s">
        <v>6</v>
      </c>
      <c r="D30" s="105" t="s">
        <v>35</v>
      </c>
      <c r="E30">
        <v>35</v>
      </c>
      <c r="F30">
        <v>25542.1</v>
      </c>
    </row>
    <row r="31" spans="1:6" hidden="1" x14ac:dyDescent="0.3">
      <c r="A31">
        <v>2022</v>
      </c>
      <c r="B31">
        <v>1</v>
      </c>
      <c r="C31" s="105" t="s">
        <v>6</v>
      </c>
      <c r="D31" s="105" t="s">
        <v>36</v>
      </c>
      <c r="E31">
        <v>47</v>
      </c>
      <c r="F31">
        <v>28044</v>
      </c>
    </row>
    <row r="32" spans="1:6" hidden="1" x14ac:dyDescent="0.3">
      <c r="A32">
        <v>2022</v>
      </c>
      <c r="B32">
        <v>1</v>
      </c>
      <c r="C32" s="105" t="s">
        <v>6</v>
      </c>
      <c r="D32" s="105" t="s">
        <v>37</v>
      </c>
      <c r="E32">
        <v>63</v>
      </c>
      <c r="F32">
        <v>50277.37</v>
      </c>
    </row>
    <row r="33" spans="1:6" hidden="1" x14ac:dyDescent="0.3">
      <c r="A33">
        <v>2022</v>
      </c>
      <c r="B33">
        <v>2</v>
      </c>
      <c r="C33" s="105" t="s">
        <v>38</v>
      </c>
      <c r="D33" s="105" t="s">
        <v>7</v>
      </c>
      <c r="E33">
        <v>10</v>
      </c>
      <c r="F33">
        <v>7456.84</v>
      </c>
    </row>
    <row r="34" spans="1:6" hidden="1" x14ac:dyDescent="0.3">
      <c r="A34">
        <v>2022</v>
      </c>
      <c r="B34">
        <v>2</v>
      </c>
      <c r="C34" s="105" t="s">
        <v>38</v>
      </c>
      <c r="D34" s="105" t="s">
        <v>8</v>
      </c>
      <c r="E34">
        <v>25</v>
      </c>
      <c r="F34">
        <v>13274.29</v>
      </c>
    </row>
    <row r="35" spans="1:6" hidden="1" x14ac:dyDescent="0.3">
      <c r="A35">
        <v>2022</v>
      </c>
      <c r="B35">
        <v>2</v>
      </c>
      <c r="C35" s="105" t="s">
        <v>38</v>
      </c>
      <c r="D35" s="105" t="s">
        <v>9</v>
      </c>
      <c r="E35">
        <v>7</v>
      </c>
      <c r="F35">
        <v>4679</v>
      </c>
    </row>
    <row r="36" spans="1:6" hidden="1" x14ac:dyDescent="0.3">
      <c r="A36">
        <v>2022</v>
      </c>
      <c r="B36">
        <v>2</v>
      </c>
      <c r="C36" s="105" t="s">
        <v>38</v>
      </c>
      <c r="D36" s="105" t="s">
        <v>10</v>
      </c>
      <c r="E36">
        <v>35</v>
      </c>
      <c r="F36">
        <v>28241.5</v>
      </c>
    </row>
    <row r="37" spans="1:6" hidden="1" x14ac:dyDescent="0.3">
      <c r="A37">
        <v>2022</v>
      </c>
      <c r="B37">
        <v>2</v>
      </c>
      <c r="C37" s="105" t="s">
        <v>38</v>
      </c>
      <c r="D37" s="105" t="s">
        <v>11</v>
      </c>
      <c r="E37">
        <v>33</v>
      </c>
      <c r="F37">
        <v>22262</v>
      </c>
    </row>
    <row r="38" spans="1:6" hidden="1" x14ac:dyDescent="0.3">
      <c r="A38">
        <v>2022</v>
      </c>
      <c r="B38">
        <v>2</v>
      </c>
      <c r="C38" s="105" t="s">
        <v>38</v>
      </c>
      <c r="D38" s="105" t="s">
        <v>12</v>
      </c>
      <c r="E38">
        <v>26</v>
      </c>
      <c r="F38">
        <v>15591.8</v>
      </c>
    </row>
    <row r="39" spans="1:6" hidden="1" x14ac:dyDescent="0.3">
      <c r="A39">
        <v>2022</v>
      </c>
      <c r="B39">
        <v>2</v>
      </c>
      <c r="C39" s="105" t="s">
        <v>38</v>
      </c>
      <c r="D39" s="105" t="s">
        <v>13</v>
      </c>
      <c r="E39">
        <v>63</v>
      </c>
      <c r="F39">
        <v>38184.35</v>
      </c>
    </row>
    <row r="40" spans="1:6" hidden="1" x14ac:dyDescent="0.3">
      <c r="A40">
        <v>2022</v>
      </c>
      <c r="B40">
        <v>2</v>
      </c>
      <c r="C40" s="105" t="s">
        <v>38</v>
      </c>
      <c r="D40" s="105" t="s">
        <v>14</v>
      </c>
      <c r="E40">
        <v>168</v>
      </c>
      <c r="F40">
        <v>92829.48</v>
      </c>
    </row>
    <row r="41" spans="1:6" hidden="1" x14ac:dyDescent="0.3">
      <c r="A41">
        <v>2022</v>
      </c>
      <c r="B41">
        <v>2</v>
      </c>
      <c r="C41" s="105" t="s">
        <v>38</v>
      </c>
      <c r="D41" s="105" t="s">
        <v>15</v>
      </c>
      <c r="E41">
        <v>4</v>
      </c>
      <c r="F41">
        <v>2856.84</v>
      </c>
    </row>
    <row r="42" spans="1:6" hidden="1" x14ac:dyDescent="0.3">
      <c r="A42">
        <v>2022</v>
      </c>
      <c r="B42">
        <v>2</v>
      </c>
      <c r="C42" s="105" t="s">
        <v>38</v>
      </c>
      <c r="D42" s="105" t="s">
        <v>16</v>
      </c>
      <c r="E42">
        <v>1</v>
      </c>
      <c r="F42">
        <v>325</v>
      </c>
    </row>
    <row r="43" spans="1:6" hidden="1" x14ac:dyDescent="0.3">
      <c r="A43">
        <v>2022</v>
      </c>
      <c r="B43">
        <v>2</v>
      </c>
      <c r="C43" s="105" t="s">
        <v>38</v>
      </c>
      <c r="D43" s="105" t="s">
        <v>17</v>
      </c>
      <c r="E43">
        <v>16</v>
      </c>
      <c r="F43">
        <v>10465</v>
      </c>
    </row>
    <row r="44" spans="1:6" hidden="1" x14ac:dyDescent="0.3">
      <c r="A44">
        <v>2022</v>
      </c>
      <c r="B44">
        <v>2</v>
      </c>
      <c r="C44" s="105" t="s">
        <v>38</v>
      </c>
      <c r="D44" s="105" t="s">
        <v>18</v>
      </c>
      <c r="E44">
        <v>58</v>
      </c>
      <c r="F44">
        <v>38149.06</v>
      </c>
    </row>
    <row r="45" spans="1:6" hidden="1" x14ac:dyDescent="0.3">
      <c r="A45">
        <v>2022</v>
      </c>
      <c r="B45">
        <v>2</v>
      </c>
      <c r="C45" s="105" t="s">
        <v>38</v>
      </c>
      <c r="D45" s="105" t="s">
        <v>19</v>
      </c>
      <c r="E45">
        <v>8</v>
      </c>
      <c r="F45">
        <v>3926.96</v>
      </c>
    </row>
    <row r="46" spans="1:6" x14ac:dyDescent="0.3">
      <c r="A46">
        <v>2022</v>
      </c>
      <c r="B46">
        <v>2</v>
      </c>
      <c r="C46" s="105" t="s">
        <v>38</v>
      </c>
      <c r="D46" s="105" t="s">
        <v>20</v>
      </c>
      <c r="E46">
        <v>59</v>
      </c>
      <c r="F46">
        <v>50933.9</v>
      </c>
    </row>
    <row r="47" spans="1:6" hidden="1" x14ac:dyDescent="0.3">
      <c r="A47">
        <v>2022</v>
      </c>
      <c r="B47">
        <v>2</v>
      </c>
      <c r="C47" s="105" t="s">
        <v>38</v>
      </c>
      <c r="D47" s="105" t="s">
        <v>21</v>
      </c>
      <c r="E47">
        <v>98</v>
      </c>
      <c r="F47">
        <v>75160.36</v>
      </c>
    </row>
    <row r="48" spans="1:6" hidden="1" x14ac:dyDescent="0.3">
      <c r="A48">
        <v>2022</v>
      </c>
      <c r="B48">
        <v>2</v>
      </c>
      <c r="C48" s="105" t="s">
        <v>38</v>
      </c>
      <c r="D48" s="105" t="s">
        <v>22</v>
      </c>
      <c r="E48">
        <v>26</v>
      </c>
      <c r="F48">
        <v>13142.1</v>
      </c>
    </row>
    <row r="49" spans="1:6" hidden="1" x14ac:dyDescent="0.3">
      <c r="A49">
        <v>2022</v>
      </c>
      <c r="B49">
        <v>2</v>
      </c>
      <c r="C49" s="105" t="s">
        <v>38</v>
      </c>
      <c r="D49" s="105" t="s">
        <v>23</v>
      </c>
      <c r="E49">
        <v>12</v>
      </c>
      <c r="F49">
        <v>10306</v>
      </c>
    </row>
    <row r="50" spans="1:6" hidden="1" x14ac:dyDescent="0.3">
      <c r="A50">
        <v>2022</v>
      </c>
      <c r="B50">
        <v>2</v>
      </c>
      <c r="C50" s="105" t="s">
        <v>38</v>
      </c>
      <c r="D50" s="105" t="s">
        <v>24</v>
      </c>
      <c r="E50">
        <v>82</v>
      </c>
      <c r="F50">
        <v>45768.959999999999</v>
      </c>
    </row>
    <row r="51" spans="1:6" hidden="1" x14ac:dyDescent="0.3">
      <c r="A51">
        <v>2022</v>
      </c>
      <c r="B51">
        <v>2</v>
      </c>
      <c r="C51" s="105" t="s">
        <v>38</v>
      </c>
      <c r="D51" s="105" t="s">
        <v>25</v>
      </c>
      <c r="E51">
        <v>99</v>
      </c>
      <c r="F51">
        <v>68784.399999999994</v>
      </c>
    </row>
    <row r="52" spans="1:6" hidden="1" x14ac:dyDescent="0.3">
      <c r="A52">
        <v>2022</v>
      </c>
      <c r="B52">
        <v>2</v>
      </c>
      <c r="C52" s="105" t="s">
        <v>38</v>
      </c>
      <c r="D52" s="105" t="s">
        <v>26</v>
      </c>
      <c r="E52">
        <v>2</v>
      </c>
      <c r="F52">
        <v>855</v>
      </c>
    </row>
    <row r="53" spans="1:6" hidden="1" x14ac:dyDescent="0.3">
      <c r="A53">
        <v>2022</v>
      </c>
      <c r="B53">
        <v>2</v>
      </c>
      <c r="C53" s="105" t="s">
        <v>38</v>
      </c>
      <c r="D53" s="105" t="s">
        <v>27</v>
      </c>
      <c r="E53">
        <v>42</v>
      </c>
      <c r="F53">
        <v>25698</v>
      </c>
    </row>
    <row r="54" spans="1:6" hidden="1" x14ac:dyDescent="0.3">
      <c r="A54">
        <v>2022</v>
      </c>
      <c r="B54">
        <v>2</v>
      </c>
      <c r="C54" s="105" t="s">
        <v>38</v>
      </c>
      <c r="D54" s="105" t="s">
        <v>28</v>
      </c>
      <c r="E54">
        <v>4</v>
      </c>
      <c r="F54">
        <v>2500</v>
      </c>
    </row>
    <row r="55" spans="1:6" hidden="1" x14ac:dyDescent="0.3">
      <c r="A55">
        <v>2022</v>
      </c>
      <c r="B55">
        <v>2</v>
      </c>
      <c r="C55" s="105" t="s">
        <v>38</v>
      </c>
      <c r="D55" s="105" t="s">
        <v>29</v>
      </c>
      <c r="E55">
        <v>59</v>
      </c>
      <c r="F55">
        <v>39554.89</v>
      </c>
    </row>
    <row r="56" spans="1:6" hidden="1" x14ac:dyDescent="0.3">
      <c r="A56">
        <v>2022</v>
      </c>
      <c r="B56">
        <v>2</v>
      </c>
      <c r="C56" s="105" t="s">
        <v>38</v>
      </c>
      <c r="D56" s="105" t="s">
        <v>30</v>
      </c>
      <c r="E56">
        <v>11</v>
      </c>
      <c r="F56">
        <v>4130</v>
      </c>
    </row>
    <row r="57" spans="1:6" hidden="1" x14ac:dyDescent="0.3">
      <c r="A57">
        <v>2022</v>
      </c>
      <c r="B57">
        <v>2</v>
      </c>
      <c r="C57" s="105" t="s">
        <v>38</v>
      </c>
      <c r="D57" s="105" t="s">
        <v>31</v>
      </c>
      <c r="E57">
        <v>149</v>
      </c>
      <c r="F57">
        <v>112257.26</v>
      </c>
    </row>
    <row r="58" spans="1:6" hidden="1" x14ac:dyDescent="0.3">
      <c r="A58">
        <v>2022</v>
      </c>
      <c r="B58">
        <v>2</v>
      </c>
      <c r="C58" s="105" t="s">
        <v>38</v>
      </c>
      <c r="D58" s="105" t="s">
        <v>32</v>
      </c>
      <c r="E58">
        <v>3</v>
      </c>
      <c r="F58">
        <v>925</v>
      </c>
    </row>
    <row r="59" spans="1:6" hidden="1" x14ac:dyDescent="0.3">
      <c r="A59">
        <v>2022</v>
      </c>
      <c r="B59">
        <v>2</v>
      </c>
      <c r="C59" s="105" t="s">
        <v>38</v>
      </c>
      <c r="D59" s="105" t="s">
        <v>33</v>
      </c>
      <c r="E59">
        <v>70</v>
      </c>
      <c r="F59">
        <v>53230.02</v>
      </c>
    </row>
    <row r="60" spans="1:6" hidden="1" x14ac:dyDescent="0.3">
      <c r="A60">
        <v>2022</v>
      </c>
      <c r="B60">
        <v>2</v>
      </c>
      <c r="C60" s="105" t="s">
        <v>38</v>
      </c>
      <c r="D60" s="105" t="s">
        <v>34</v>
      </c>
      <c r="E60">
        <v>63</v>
      </c>
      <c r="F60">
        <v>41670.35</v>
      </c>
    </row>
    <row r="61" spans="1:6" hidden="1" x14ac:dyDescent="0.3">
      <c r="A61">
        <v>2022</v>
      </c>
      <c r="B61">
        <v>2</v>
      </c>
      <c r="C61" s="105" t="s">
        <v>38</v>
      </c>
      <c r="D61" s="105" t="s">
        <v>35</v>
      </c>
      <c r="E61">
        <v>37</v>
      </c>
      <c r="F61">
        <v>28218</v>
      </c>
    </row>
    <row r="62" spans="1:6" hidden="1" x14ac:dyDescent="0.3">
      <c r="A62">
        <v>2022</v>
      </c>
      <c r="B62">
        <v>2</v>
      </c>
      <c r="C62" s="105" t="s">
        <v>38</v>
      </c>
      <c r="D62" s="105" t="s">
        <v>36</v>
      </c>
      <c r="E62">
        <v>95</v>
      </c>
      <c r="F62">
        <v>60181.5</v>
      </c>
    </row>
    <row r="63" spans="1:6" hidden="1" x14ac:dyDescent="0.3">
      <c r="A63">
        <v>2022</v>
      </c>
      <c r="B63">
        <v>2</v>
      </c>
      <c r="C63" s="105" t="s">
        <v>38</v>
      </c>
      <c r="D63" s="105" t="s">
        <v>37</v>
      </c>
      <c r="E63">
        <v>31</v>
      </c>
      <c r="F63">
        <v>24002.44</v>
      </c>
    </row>
    <row r="64" spans="1:6" hidden="1" x14ac:dyDescent="0.3">
      <c r="A64">
        <v>2022</v>
      </c>
      <c r="B64">
        <v>3</v>
      </c>
      <c r="C64" s="105" t="s">
        <v>39</v>
      </c>
      <c r="D64" s="105" t="s">
        <v>7</v>
      </c>
      <c r="E64">
        <v>16</v>
      </c>
      <c r="F64">
        <v>10572.52</v>
      </c>
    </row>
    <row r="65" spans="1:6" hidden="1" x14ac:dyDescent="0.3">
      <c r="A65">
        <v>2022</v>
      </c>
      <c r="B65">
        <v>3</v>
      </c>
      <c r="C65" s="105" t="s">
        <v>39</v>
      </c>
      <c r="D65" s="105" t="s">
        <v>8</v>
      </c>
      <c r="E65">
        <v>27</v>
      </c>
      <c r="F65">
        <v>14526</v>
      </c>
    </row>
    <row r="66" spans="1:6" hidden="1" x14ac:dyDescent="0.3">
      <c r="A66">
        <v>2022</v>
      </c>
      <c r="B66">
        <v>3</v>
      </c>
      <c r="C66" s="105" t="s">
        <v>39</v>
      </c>
      <c r="D66" s="105" t="s">
        <v>9</v>
      </c>
      <c r="E66">
        <v>6</v>
      </c>
      <c r="F66">
        <v>3834</v>
      </c>
    </row>
    <row r="67" spans="1:6" hidden="1" x14ac:dyDescent="0.3">
      <c r="A67">
        <v>2022</v>
      </c>
      <c r="B67">
        <v>3</v>
      </c>
      <c r="C67" s="105" t="s">
        <v>39</v>
      </c>
      <c r="D67" s="105" t="s">
        <v>10</v>
      </c>
      <c r="E67">
        <v>33</v>
      </c>
      <c r="F67">
        <v>24474</v>
      </c>
    </row>
    <row r="68" spans="1:6" hidden="1" x14ac:dyDescent="0.3">
      <c r="A68">
        <v>2022</v>
      </c>
      <c r="B68">
        <v>3</v>
      </c>
      <c r="C68" s="105" t="s">
        <v>39</v>
      </c>
      <c r="D68" s="105" t="s">
        <v>11</v>
      </c>
      <c r="E68">
        <v>59</v>
      </c>
      <c r="F68">
        <v>38261</v>
      </c>
    </row>
    <row r="69" spans="1:6" hidden="1" x14ac:dyDescent="0.3">
      <c r="A69">
        <v>2022</v>
      </c>
      <c r="B69">
        <v>3</v>
      </c>
      <c r="C69" s="105" t="s">
        <v>39</v>
      </c>
      <c r="D69" s="105" t="s">
        <v>12</v>
      </c>
      <c r="E69">
        <v>20</v>
      </c>
      <c r="F69">
        <v>11374.08</v>
      </c>
    </row>
    <row r="70" spans="1:6" hidden="1" x14ac:dyDescent="0.3">
      <c r="A70">
        <v>2022</v>
      </c>
      <c r="B70">
        <v>3</v>
      </c>
      <c r="C70" s="105" t="s">
        <v>39</v>
      </c>
      <c r="D70" s="105" t="s">
        <v>13</v>
      </c>
      <c r="E70">
        <v>53</v>
      </c>
      <c r="F70">
        <v>35492.199999999997</v>
      </c>
    </row>
    <row r="71" spans="1:6" hidden="1" x14ac:dyDescent="0.3">
      <c r="A71">
        <v>2022</v>
      </c>
      <c r="B71">
        <v>3</v>
      </c>
      <c r="C71" s="105" t="s">
        <v>39</v>
      </c>
      <c r="D71" s="105" t="s">
        <v>14</v>
      </c>
      <c r="E71">
        <v>63</v>
      </c>
      <c r="F71">
        <v>35584.43</v>
      </c>
    </row>
    <row r="72" spans="1:6" hidden="1" x14ac:dyDescent="0.3">
      <c r="A72">
        <v>2022</v>
      </c>
      <c r="B72">
        <v>3</v>
      </c>
      <c r="C72" s="105" t="s">
        <v>39</v>
      </c>
      <c r="D72" s="105" t="s">
        <v>15</v>
      </c>
      <c r="E72">
        <v>1</v>
      </c>
      <c r="F72">
        <v>250</v>
      </c>
    </row>
    <row r="73" spans="1:6" hidden="1" x14ac:dyDescent="0.3">
      <c r="A73">
        <v>2022</v>
      </c>
      <c r="B73">
        <v>3</v>
      </c>
      <c r="C73" s="105" t="s">
        <v>39</v>
      </c>
      <c r="D73" s="105" t="s">
        <v>16</v>
      </c>
      <c r="E73">
        <v>4</v>
      </c>
      <c r="F73">
        <v>2042</v>
      </c>
    </row>
    <row r="74" spans="1:6" hidden="1" x14ac:dyDescent="0.3">
      <c r="A74">
        <v>2022</v>
      </c>
      <c r="B74">
        <v>3</v>
      </c>
      <c r="C74" s="105" t="s">
        <v>39</v>
      </c>
      <c r="D74" s="105" t="s">
        <v>17</v>
      </c>
      <c r="E74">
        <v>22</v>
      </c>
      <c r="F74">
        <v>16506</v>
      </c>
    </row>
    <row r="75" spans="1:6" hidden="1" x14ac:dyDescent="0.3">
      <c r="A75">
        <v>2022</v>
      </c>
      <c r="B75">
        <v>3</v>
      </c>
      <c r="C75" s="105" t="s">
        <v>39</v>
      </c>
      <c r="D75" s="105" t="s">
        <v>18</v>
      </c>
      <c r="E75">
        <v>46</v>
      </c>
      <c r="F75">
        <v>40586.92</v>
      </c>
    </row>
    <row r="76" spans="1:6" hidden="1" x14ac:dyDescent="0.3">
      <c r="A76">
        <v>2022</v>
      </c>
      <c r="B76">
        <v>3</v>
      </c>
      <c r="C76" s="105" t="s">
        <v>39</v>
      </c>
      <c r="D76" s="105" t="s">
        <v>19</v>
      </c>
      <c r="E76">
        <v>6</v>
      </c>
      <c r="F76">
        <v>2851</v>
      </c>
    </row>
    <row r="77" spans="1:6" x14ac:dyDescent="0.3">
      <c r="A77">
        <v>2022</v>
      </c>
      <c r="B77">
        <v>3</v>
      </c>
      <c r="C77" s="105" t="s">
        <v>39</v>
      </c>
      <c r="D77" s="105" t="s">
        <v>20</v>
      </c>
      <c r="E77">
        <v>49</v>
      </c>
      <c r="F77">
        <v>29722.29</v>
      </c>
    </row>
    <row r="78" spans="1:6" hidden="1" x14ac:dyDescent="0.3">
      <c r="A78">
        <v>2022</v>
      </c>
      <c r="B78">
        <v>3</v>
      </c>
      <c r="C78" s="105" t="s">
        <v>39</v>
      </c>
      <c r="D78" s="105" t="s">
        <v>21</v>
      </c>
      <c r="E78">
        <v>46</v>
      </c>
      <c r="F78">
        <v>34747.199999999997</v>
      </c>
    </row>
    <row r="79" spans="1:6" hidden="1" x14ac:dyDescent="0.3">
      <c r="A79">
        <v>2022</v>
      </c>
      <c r="B79">
        <v>3</v>
      </c>
      <c r="C79" s="105" t="s">
        <v>39</v>
      </c>
      <c r="D79" s="105" t="s">
        <v>22</v>
      </c>
      <c r="E79">
        <v>20</v>
      </c>
      <c r="F79">
        <v>9950.35</v>
      </c>
    </row>
    <row r="80" spans="1:6" hidden="1" x14ac:dyDescent="0.3">
      <c r="A80">
        <v>2022</v>
      </c>
      <c r="B80">
        <v>3</v>
      </c>
      <c r="C80" s="105" t="s">
        <v>39</v>
      </c>
      <c r="D80" s="105" t="s">
        <v>23</v>
      </c>
      <c r="E80">
        <v>12</v>
      </c>
      <c r="F80">
        <v>11018</v>
      </c>
    </row>
    <row r="81" spans="1:6" hidden="1" x14ac:dyDescent="0.3">
      <c r="A81">
        <v>2022</v>
      </c>
      <c r="B81">
        <v>3</v>
      </c>
      <c r="C81" s="105" t="s">
        <v>39</v>
      </c>
      <c r="D81" s="105" t="s">
        <v>24</v>
      </c>
      <c r="E81">
        <v>93</v>
      </c>
      <c r="F81">
        <v>47355.74</v>
      </c>
    </row>
    <row r="82" spans="1:6" hidden="1" x14ac:dyDescent="0.3">
      <c r="A82">
        <v>2022</v>
      </c>
      <c r="B82">
        <v>3</v>
      </c>
      <c r="C82" s="105" t="s">
        <v>39</v>
      </c>
      <c r="D82" s="105" t="s">
        <v>25</v>
      </c>
      <c r="E82">
        <v>83</v>
      </c>
      <c r="F82">
        <v>48940.800000000003</v>
      </c>
    </row>
    <row r="83" spans="1:6" hidden="1" x14ac:dyDescent="0.3">
      <c r="A83">
        <v>2022</v>
      </c>
      <c r="B83">
        <v>3</v>
      </c>
      <c r="C83" s="105" t="s">
        <v>39</v>
      </c>
      <c r="D83" s="105" t="s">
        <v>26</v>
      </c>
      <c r="E83">
        <v>7</v>
      </c>
      <c r="F83">
        <v>5269</v>
      </c>
    </row>
    <row r="84" spans="1:6" hidden="1" x14ac:dyDescent="0.3">
      <c r="A84">
        <v>2022</v>
      </c>
      <c r="B84">
        <v>3</v>
      </c>
      <c r="C84" s="105" t="s">
        <v>39</v>
      </c>
      <c r="D84" s="105" t="s">
        <v>27</v>
      </c>
      <c r="E84">
        <v>49</v>
      </c>
      <c r="F84">
        <v>30249</v>
      </c>
    </row>
    <row r="85" spans="1:6" hidden="1" x14ac:dyDescent="0.3">
      <c r="A85">
        <v>2022</v>
      </c>
      <c r="B85">
        <v>3</v>
      </c>
      <c r="C85" s="105" t="s">
        <v>39</v>
      </c>
      <c r="D85" s="105" t="s">
        <v>28</v>
      </c>
      <c r="E85">
        <v>3</v>
      </c>
      <c r="F85">
        <v>2548.08</v>
      </c>
    </row>
    <row r="86" spans="1:6" hidden="1" x14ac:dyDescent="0.3">
      <c r="A86">
        <v>2022</v>
      </c>
      <c r="B86">
        <v>3</v>
      </c>
      <c r="C86" s="105" t="s">
        <v>39</v>
      </c>
      <c r="D86" s="105" t="s">
        <v>29</v>
      </c>
      <c r="E86">
        <v>69</v>
      </c>
      <c r="F86">
        <v>50317.73</v>
      </c>
    </row>
    <row r="87" spans="1:6" hidden="1" x14ac:dyDescent="0.3">
      <c r="A87">
        <v>2022</v>
      </c>
      <c r="B87">
        <v>3</v>
      </c>
      <c r="C87" s="105" t="s">
        <v>39</v>
      </c>
      <c r="D87" s="105" t="s">
        <v>30</v>
      </c>
      <c r="E87">
        <v>12</v>
      </c>
      <c r="F87">
        <v>8377.27</v>
      </c>
    </row>
    <row r="88" spans="1:6" hidden="1" x14ac:dyDescent="0.3">
      <c r="A88">
        <v>2022</v>
      </c>
      <c r="B88">
        <v>3</v>
      </c>
      <c r="C88" s="105" t="s">
        <v>39</v>
      </c>
      <c r="D88" s="105" t="s">
        <v>31</v>
      </c>
      <c r="E88">
        <v>256</v>
      </c>
      <c r="F88">
        <v>182161.8</v>
      </c>
    </row>
    <row r="89" spans="1:6" hidden="1" x14ac:dyDescent="0.3">
      <c r="A89">
        <v>2022</v>
      </c>
      <c r="B89">
        <v>3</v>
      </c>
      <c r="C89" s="105" t="s">
        <v>39</v>
      </c>
      <c r="D89" s="105" t="s">
        <v>32</v>
      </c>
      <c r="E89">
        <v>4</v>
      </c>
      <c r="F89">
        <v>3535</v>
      </c>
    </row>
    <row r="90" spans="1:6" hidden="1" x14ac:dyDescent="0.3">
      <c r="A90">
        <v>2022</v>
      </c>
      <c r="B90">
        <v>3</v>
      </c>
      <c r="C90" s="105" t="s">
        <v>39</v>
      </c>
      <c r="D90" s="105" t="s">
        <v>33</v>
      </c>
      <c r="E90">
        <v>407</v>
      </c>
      <c r="F90">
        <v>248242.78</v>
      </c>
    </row>
    <row r="91" spans="1:6" hidden="1" x14ac:dyDescent="0.3">
      <c r="A91">
        <v>2022</v>
      </c>
      <c r="B91">
        <v>3</v>
      </c>
      <c r="C91" s="105" t="s">
        <v>39</v>
      </c>
      <c r="D91" s="105" t="s">
        <v>34</v>
      </c>
      <c r="E91">
        <v>99</v>
      </c>
      <c r="F91">
        <v>63313.46</v>
      </c>
    </row>
    <row r="92" spans="1:6" hidden="1" x14ac:dyDescent="0.3">
      <c r="A92">
        <v>2022</v>
      </c>
      <c r="B92">
        <v>3</v>
      </c>
      <c r="C92" s="105" t="s">
        <v>39</v>
      </c>
      <c r="D92" s="105" t="s">
        <v>35</v>
      </c>
      <c r="E92">
        <v>26</v>
      </c>
      <c r="F92">
        <v>15982</v>
      </c>
    </row>
    <row r="93" spans="1:6" hidden="1" x14ac:dyDescent="0.3">
      <c r="A93">
        <v>2022</v>
      </c>
      <c r="B93">
        <v>3</v>
      </c>
      <c r="C93" s="105" t="s">
        <v>39</v>
      </c>
      <c r="D93" s="105" t="s">
        <v>36</v>
      </c>
      <c r="E93">
        <v>50</v>
      </c>
      <c r="F93">
        <v>33891</v>
      </c>
    </row>
    <row r="94" spans="1:6" hidden="1" x14ac:dyDescent="0.3">
      <c r="A94">
        <v>2022</v>
      </c>
      <c r="B94">
        <v>3</v>
      </c>
      <c r="C94" s="105" t="s">
        <v>39</v>
      </c>
      <c r="D94" s="105" t="s">
        <v>37</v>
      </c>
      <c r="E94">
        <v>47</v>
      </c>
      <c r="F94">
        <v>33040.660000000003</v>
      </c>
    </row>
    <row r="95" spans="1:6" hidden="1" x14ac:dyDescent="0.3">
      <c r="A95">
        <v>2022</v>
      </c>
      <c r="B95">
        <v>4</v>
      </c>
      <c r="C95" s="105" t="s">
        <v>40</v>
      </c>
      <c r="D95" s="105" t="s">
        <v>7</v>
      </c>
      <c r="E95">
        <v>24</v>
      </c>
      <c r="F95">
        <v>16095.43</v>
      </c>
    </row>
    <row r="96" spans="1:6" hidden="1" x14ac:dyDescent="0.3">
      <c r="A96">
        <v>2022</v>
      </c>
      <c r="B96">
        <v>4</v>
      </c>
      <c r="C96" s="105" t="s">
        <v>40</v>
      </c>
      <c r="D96" s="105" t="s">
        <v>8</v>
      </c>
      <c r="E96">
        <v>20</v>
      </c>
      <c r="F96">
        <v>11876.58</v>
      </c>
    </row>
    <row r="97" spans="1:6" hidden="1" x14ac:dyDescent="0.3">
      <c r="A97">
        <v>2022</v>
      </c>
      <c r="B97">
        <v>4</v>
      </c>
      <c r="C97" s="105" t="s">
        <v>40</v>
      </c>
      <c r="D97" s="105" t="s">
        <v>9</v>
      </c>
      <c r="E97">
        <v>12</v>
      </c>
      <c r="F97">
        <v>3379</v>
      </c>
    </row>
    <row r="98" spans="1:6" hidden="1" x14ac:dyDescent="0.3">
      <c r="A98">
        <v>2022</v>
      </c>
      <c r="B98">
        <v>4</v>
      </c>
      <c r="C98" s="105" t="s">
        <v>40</v>
      </c>
      <c r="D98" s="105" t="s">
        <v>10</v>
      </c>
      <c r="E98">
        <v>31</v>
      </c>
      <c r="F98">
        <v>22651.8</v>
      </c>
    </row>
    <row r="99" spans="1:6" hidden="1" x14ac:dyDescent="0.3">
      <c r="A99">
        <v>2022</v>
      </c>
      <c r="B99">
        <v>4</v>
      </c>
      <c r="C99" s="105" t="s">
        <v>40</v>
      </c>
      <c r="D99" s="105" t="s">
        <v>11</v>
      </c>
      <c r="E99">
        <v>57</v>
      </c>
      <c r="F99">
        <v>37521.440000000002</v>
      </c>
    </row>
    <row r="100" spans="1:6" hidden="1" x14ac:dyDescent="0.3">
      <c r="A100">
        <v>2022</v>
      </c>
      <c r="B100">
        <v>4</v>
      </c>
      <c r="C100" s="105" t="s">
        <v>40</v>
      </c>
      <c r="D100" s="105" t="s">
        <v>12</v>
      </c>
      <c r="E100">
        <v>20</v>
      </c>
      <c r="F100">
        <v>11731.7</v>
      </c>
    </row>
    <row r="101" spans="1:6" hidden="1" x14ac:dyDescent="0.3">
      <c r="A101">
        <v>2022</v>
      </c>
      <c r="B101">
        <v>4</v>
      </c>
      <c r="C101" s="105" t="s">
        <v>40</v>
      </c>
      <c r="D101" s="105" t="s">
        <v>13</v>
      </c>
      <c r="E101">
        <v>56</v>
      </c>
      <c r="F101">
        <v>33017.800000000003</v>
      </c>
    </row>
    <row r="102" spans="1:6" hidden="1" x14ac:dyDescent="0.3">
      <c r="A102">
        <v>2022</v>
      </c>
      <c r="B102">
        <v>4</v>
      </c>
      <c r="C102" s="105" t="s">
        <v>40</v>
      </c>
      <c r="D102" s="105" t="s">
        <v>14</v>
      </c>
      <c r="E102">
        <v>35</v>
      </c>
      <c r="F102">
        <v>21033.75</v>
      </c>
    </row>
    <row r="103" spans="1:6" hidden="1" x14ac:dyDescent="0.3">
      <c r="A103">
        <v>2022</v>
      </c>
      <c r="B103">
        <v>4</v>
      </c>
      <c r="C103" s="105" t="s">
        <v>40</v>
      </c>
      <c r="D103" s="105" t="s">
        <v>15</v>
      </c>
      <c r="E103">
        <v>1</v>
      </c>
      <c r="F103">
        <v>700</v>
      </c>
    </row>
    <row r="104" spans="1:6" hidden="1" x14ac:dyDescent="0.3">
      <c r="A104">
        <v>2022</v>
      </c>
      <c r="B104">
        <v>4</v>
      </c>
      <c r="C104" s="105" t="s">
        <v>40</v>
      </c>
      <c r="D104" s="105" t="s">
        <v>16</v>
      </c>
      <c r="E104">
        <v>4</v>
      </c>
      <c r="F104">
        <v>2309</v>
      </c>
    </row>
    <row r="105" spans="1:6" hidden="1" x14ac:dyDescent="0.3">
      <c r="A105">
        <v>2022</v>
      </c>
      <c r="B105">
        <v>4</v>
      </c>
      <c r="C105" s="105" t="s">
        <v>40</v>
      </c>
      <c r="D105" s="105" t="s">
        <v>17</v>
      </c>
      <c r="E105">
        <v>23</v>
      </c>
      <c r="F105">
        <v>15867</v>
      </c>
    </row>
    <row r="106" spans="1:6" hidden="1" x14ac:dyDescent="0.3">
      <c r="A106">
        <v>2022</v>
      </c>
      <c r="B106">
        <v>4</v>
      </c>
      <c r="C106" s="105" t="s">
        <v>40</v>
      </c>
      <c r="D106" s="105" t="s">
        <v>18</v>
      </c>
      <c r="E106">
        <v>56</v>
      </c>
      <c r="F106">
        <v>44144.61</v>
      </c>
    </row>
    <row r="107" spans="1:6" hidden="1" x14ac:dyDescent="0.3">
      <c r="A107">
        <v>2022</v>
      </c>
      <c r="B107">
        <v>4</v>
      </c>
      <c r="C107" s="105" t="s">
        <v>40</v>
      </c>
      <c r="D107" s="105" t="s">
        <v>19</v>
      </c>
      <c r="E107">
        <v>7</v>
      </c>
      <c r="F107">
        <v>2618</v>
      </c>
    </row>
    <row r="108" spans="1:6" x14ac:dyDescent="0.3">
      <c r="A108">
        <v>2022</v>
      </c>
      <c r="B108">
        <v>4</v>
      </c>
      <c r="C108" s="105" t="s">
        <v>40</v>
      </c>
      <c r="D108" s="105" t="s">
        <v>20</v>
      </c>
      <c r="E108">
        <v>81</v>
      </c>
      <c r="F108">
        <v>42929.14</v>
      </c>
    </row>
    <row r="109" spans="1:6" hidden="1" x14ac:dyDescent="0.3">
      <c r="A109">
        <v>2022</v>
      </c>
      <c r="B109">
        <v>4</v>
      </c>
      <c r="C109" s="105" t="s">
        <v>40</v>
      </c>
      <c r="D109" s="105" t="s">
        <v>21</v>
      </c>
      <c r="E109">
        <v>71</v>
      </c>
      <c r="F109">
        <v>49401.71</v>
      </c>
    </row>
    <row r="110" spans="1:6" hidden="1" x14ac:dyDescent="0.3">
      <c r="A110">
        <v>2022</v>
      </c>
      <c r="B110">
        <v>4</v>
      </c>
      <c r="C110" s="105" t="s">
        <v>40</v>
      </c>
      <c r="D110" s="105" t="s">
        <v>22</v>
      </c>
      <c r="E110">
        <v>34</v>
      </c>
      <c r="F110">
        <v>18099.41</v>
      </c>
    </row>
    <row r="111" spans="1:6" hidden="1" x14ac:dyDescent="0.3">
      <c r="A111">
        <v>2022</v>
      </c>
      <c r="B111">
        <v>4</v>
      </c>
      <c r="C111" s="105" t="s">
        <v>40</v>
      </c>
      <c r="D111" s="105" t="s">
        <v>23</v>
      </c>
      <c r="E111">
        <v>15</v>
      </c>
      <c r="F111">
        <v>13140.5</v>
      </c>
    </row>
    <row r="112" spans="1:6" hidden="1" x14ac:dyDescent="0.3">
      <c r="A112">
        <v>2022</v>
      </c>
      <c r="B112">
        <v>4</v>
      </c>
      <c r="C112" s="105" t="s">
        <v>40</v>
      </c>
      <c r="D112" s="105" t="s">
        <v>24</v>
      </c>
      <c r="E112">
        <v>53</v>
      </c>
      <c r="F112">
        <v>29600.16</v>
      </c>
    </row>
    <row r="113" spans="1:6" hidden="1" x14ac:dyDescent="0.3">
      <c r="A113">
        <v>2022</v>
      </c>
      <c r="B113">
        <v>4</v>
      </c>
      <c r="C113" s="105" t="s">
        <v>40</v>
      </c>
      <c r="D113" s="105" t="s">
        <v>25</v>
      </c>
      <c r="E113">
        <v>72</v>
      </c>
      <c r="F113">
        <v>49194.01</v>
      </c>
    </row>
    <row r="114" spans="1:6" hidden="1" x14ac:dyDescent="0.3">
      <c r="A114">
        <v>2022</v>
      </c>
      <c r="B114">
        <v>4</v>
      </c>
      <c r="C114" s="105" t="s">
        <v>40</v>
      </c>
      <c r="D114" s="105" t="s">
        <v>26</v>
      </c>
      <c r="E114">
        <v>8</v>
      </c>
      <c r="F114">
        <v>6329</v>
      </c>
    </row>
    <row r="115" spans="1:6" hidden="1" x14ac:dyDescent="0.3">
      <c r="A115">
        <v>2022</v>
      </c>
      <c r="B115">
        <v>4</v>
      </c>
      <c r="C115" s="105" t="s">
        <v>40</v>
      </c>
      <c r="D115" s="105" t="s">
        <v>27</v>
      </c>
      <c r="E115">
        <v>33</v>
      </c>
      <c r="F115">
        <v>22294.67</v>
      </c>
    </row>
    <row r="116" spans="1:6" hidden="1" x14ac:dyDescent="0.3">
      <c r="A116">
        <v>2022</v>
      </c>
      <c r="B116">
        <v>4</v>
      </c>
      <c r="C116" s="105" t="s">
        <v>40</v>
      </c>
      <c r="D116" s="105" t="s">
        <v>28</v>
      </c>
      <c r="E116">
        <v>4</v>
      </c>
      <c r="F116">
        <v>1625</v>
      </c>
    </row>
    <row r="117" spans="1:6" hidden="1" x14ac:dyDescent="0.3">
      <c r="A117">
        <v>2022</v>
      </c>
      <c r="B117">
        <v>4</v>
      </c>
      <c r="C117" s="105" t="s">
        <v>40</v>
      </c>
      <c r="D117" s="105" t="s">
        <v>29</v>
      </c>
      <c r="E117">
        <v>73</v>
      </c>
      <c r="F117">
        <v>53411.5</v>
      </c>
    </row>
    <row r="118" spans="1:6" hidden="1" x14ac:dyDescent="0.3">
      <c r="A118">
        <v>2022</v>
      </c>
      <c r="B118">
        <v>4</v>
      </c>
      <c r="C118" s="105" t="s">
        <v>40</v>
      </c>
      <c r="D118" s="105" t="s">
        <v>30</v>
      </c>
      <c r="E118">
        <v>8</v>
      </c>
      <c r="F118">
        <v>3010</v>
      </c>
    </row>
    <row r="119" spans="1:6" hidden="1" x14ac:dyDescent="0.3">
      <c r="A119">
        <v>2022</v>
      </c>
      <c r="B119">
        <v>4</v>
      </c>
      <c r="C119" s="105" t="s">
        <v>40</v>
      </c>
      <c r="D119" s="105" t="s">
        <v>31</v>
      </c>
      <c r="E119">
        <v>76</v>
      </c>
      <c r="F119">
        <v>58804.19</v>
      </c>
    </row>
    <row r="120" spans="1:6" hidden="1" x14ac:dyDescent="0.3">
      <c r="A120">
        <v>2022</v>
      </c>
      <c r="B120">
        <v>4</v>
      </c>
      <c r="C120" s="105" t="s">
        <v>40</v>
      </c>
      <c r="D120" s="105" t="s">
        <v>32</v>
      </c>
      <c r="E120">
        <v>4</v>
      </c>
      <c r="F120">
        <v>1032</v>
      </c>
    </row>
    <row r="121" spans="1:6" hidden="1" x14ac:dyDescent="0.3">
      <c r="A121">
        <v>2022</v>
      </c>
      <c r="B121">
        <v>4</v>
      </c>
      <c r="C121" s="105" t="s">
        <v>40</v>
      </c>
      <c r="D121" s="105" t="s">
        <v>33</v>
      </c>
      <c r="E121">
        <v>111</v>
      </c>
      <c r="F121">
        <v>77643.44</v>
      </c>
    </row>
    <row r="122" spans="1:6" hidden="1" x14ac:dyDescent="0.3">
      <c r="A122">
        <v>2022</v>
      </c>
      <c r="B122">
        <v>4</v>
      </c>
      <c r="C122" s="105" t="s">
        <v>40</v>
      </c>
      <c r="D122" s="105" t="s">
        <v>34</v>
      </c>
      <c r="E122">
        <v>131</v>
      </c>
      <c r="F122">
        <v>75070.8</v>
      </c>
    </row>
    <row r="123" spans="1:6" hidden="1" x14ac:dyDescent="0.3">
      <c r="A123">
        <v>2022</v>
      </c>
      <c r="B123">
        <v>4</v>
      </c>
      <c r="C123" s="105" t="s">
        <v>40</v>
      </c>
      <c r="D123" s="105" t="s">
        <v>35</v>
      </c>
      <c r="E123">
        <v>26</v>
      </c>
      <c r="F123">
        <v>16035.6</v>
      </c>
    </row>
    <row r="124" spans="1:6" hidden="1" x14ac:dyDescent="0.3">
      <c r="A124">
        <v>2022</v>
      </c>
      <c r="B124">
        <v>4</v>
      </c>
      <c r="C124" s="105" t="s">
        <v>40</v>
      </c>
      <c r="D124" s="105" t="s">
        <v>36</v>
      </c>
      <c r="E124">
        <v>141</v>
      </c>
      <c r="F124">
        <v>56749.8</v>
      </c>
    </row>
    <row r="125" spans="1:6" hidden="1" x14ac:dyDescent="0.3">
      <c r="A125">
        <v>2022</v>
      </c>
      <c r="B125">
        <v>4</v>
      </c>
      <c r="C125" s="105" t="s">
        <v>40</v>
      </c>
      <c r="D125" s="105" t="s">
        <v>37</v>
      </c>
      <c r="E125">
        <v>45</v>
      </c>
      <c r="F125">
        <v>36075.800000000003</v>
      </c>
    </row>
    <row r="126" spans="1:6" hidden="1" x14ac:dyDescent="0.3">
      <c r="A126">
        <v>2022</v>
      </c>
      <c r="B126">
        <v>5</v>
      </c>
      <c r="C126" s="105" t="s">
        <v>41</v>
      </c>
      <c r="D126" s="105" t="s">
        <v>7</v>
      </c>
      <c r="E126">
        <v>25</v>
      </c>
      <c r="F126">
        <v>17950.13</v>
      </c>
    </row>
    <row r="127" spans="1:6" hidden="1" x14ac:dyDescent="0.3">
      <c r="A127">
        <v>2022</v>
      </c>
      <c r="B127">
        <v>5</v>
      </c>
      <c r="C127" s="105" t="s">
        <v>41</v>
      </c>
      <c r="D127" s="105" t="s">
        <v>8</v>
      </c>
      <c r="E127">
        <v>24</v>
      </c>
      <c r="F127">
        <v>11149</v>
      </c>
    </row>
    <row r="128" spans="1:6" hidden="1" x14ac:dyDescent="0.3">
      <c r="A128">
        <v>2022</v>
      </c>
      <c r="B128">
        <v>5</v>
      </c>
      <c r="C128" s="105" t="s">
        <v>41</v>
      </c>
      <c r="D128" s="105" t="s">
        <v>9</v>
      </c>
      <c r="E128">
        <v>3</v>
      </c>
      <c r="F128">
        <v>2142</v>
      </c>
    </row>
    <row r="129" spans="1:6" hidden="1" x14ac:dyDescent="0.3">
      <c r="A129">
        <v>2022</v>
      </c>
      <c r="B129">
        <v>5</v>
      </c>
      <c r="C129" s="105" t="s">
        <v>41</v>
      </c>
      <c r="D129" s="105" t="s">
        <v>10</v>
      </c>
      <c r="E129">
        <v>36</v>
      </c>
      <c r="F129">
        <v>29503.27</v>
      </c>
    </row>
    <row r="130" spans="1:6" hidden="1" x14ac:dyDescent="0.3">
      <c r="A130">
        <v>2022</v>
      </c>
      <c r="B130">
        <v>5</v>
      </c>
      <c r="C130" s="105" t="s">
        <v>41</v>
      </c>
      <c r="D130" s="105" t="s">
        <v>11</v>
      </c>
      <c r="E130">
        <v>57</v>
      </c>
      <c r="F130">
        <v>34366.53</v>
      </c>
    </row>
    <row r="131" spans="1:6" hidden="1" x14ac:dyDescent="0.3">
      <c r="A131">
        <v>2022</v>
      </c>
      <c r="B131">
        <v>5</v>
      </c>
      <c r="C131" s="105" t="s">
        <v>41</v>
      </c>
      <c r="D131" s="105" t="s">
        <v>12</v>
      </c>
      <c r="E131">
        <v>29</v>
      </c>
      <c r="F131">
        <v>19466.02</v>
      </c>
    </row>
    <row r="132" spans="1:6" hidden="1" x14ac:dyDescent="0.3">
      <c r="A132">
        <v>2022</v>
      </c>
      <c r="B132">
        <v>5</v>
      </c>
      <c r="C132" s="105" t="s">
        <v>41</v>
      </c>
      <c r="D132" s="105" t="s">
        <v>13</v>
      </c>
      <c r="E132">
        <v>50</v>
      </c>
      <c r="F132">
        <v>34270.26</v>
      </c>
    </row>
    <row r="133" spans="1:6" hidden="1" x14ac:dyDescent="0.3">
      <c r="A133">
        <v>2022</v>
      </c>
      <c r="B133">
        <v>5</v>
      </c>
      <c r="C133" s="105" t="s">
        <v>41</v>
      </c>
      <c r="D133" s="105" t="s">
        <v>14</v>
      </c>
      <c r="E133">
        <v>36</v>
      </c>
      <c r="F133">
        <v>21980.09</v>
      </c>
    </row>
    <row r="134" spans="1:6" hidden="1" x14ac:dyDescent="0.3">
      <c r="A134">
        <v>2022</v>
      </c>
      <c r="B134">
        <v>5</v>
      </c>
      <c r="C134" s="105" t="s">
        <v>41</v>
      </c>
      <c r="D134" s="105" t="s">
        <v>15</v>
      </c>
      <c r="E134">
        <v>10</v>
      </c>
      <c r="F134">
        <v>4470</v>
      </c>
    </row>
    <row r="135" spans="1:6" hidden="1" x14ac:dyDescent="0.3">
      <c r="A135">
        <v>2022</v>
      </c>
      <c r="B135">
        <v>5</v>
      </c>
      <c r="C135" s="105" t="s">
        <v>41</v>
      </c>
      <c r="D135" s="105" t="s">
        <v>16</v>
      </c>
      <c r="E135">
        <v>3</v>
      </c>
      <c r="F135">
        <v>2551</v>
      </c>
    </row>
    <row r="136" spans="1:6" hidden="1" x14ac:dyDescent="0.3">
      <c r="A136">
        <v>2022</v>
      </c>
      <c r="B136">
        <v>5</v>
      </c>
      <c r="C136" s="105" t="s">
        <v>41</v>
      </c>
      <c r="D136" s="105" t="s">
        <v>17</v>
      </c>
      <c r="E136">
        <v>26</v>
      </c>
      <c r="F136">
        <v>20865.3</v>
      </c>
    </row>
    <row r="137" spans="1:6" hidden="1" x14ac:dyDescent="0.3">
      <c r="A137">
        <v>2022</v>
      </c>
      <c r="B137">
        <v>5</v>
      </c>
      <c r="C137" s="105" t="s">
        <v>41</v>
      </c>
      <c r="D137" s="105" t="s">
        <v>18</v>
      </c>
      <c r="E137">
        <v>53</v>
      </c>
      <c r="F137">
        <v>38756.53</v>
      </c>
    </row>
    <row r="138" spans="1:6" hidden="1" x14ac:dyDescent="0.3">
      <c r="A138">
        <v>2022</v>
      </c>
      <c r="B138">
        <v>5</v>
      </c>
      <c r="C138" s="105" t="s">
        <v>41</v>
      </c>
      <c r="D138" s="105" t="s">
        <v>19</v>
      </c>
      <c r="E138">
        <v>12</v>
      </c>
      <c r="F138">
        <v>7784</v>
      </c>
    </row>
    <row r="139" spans="1:6" x14ac:dyDescent="0.3">
      <c r="A139">
        <v>2022</v>
      </c>
      <c r="B139">
        <v>5</v>
      </c>
      <c r="C139" s="105" t="s">
        <v>41</v>
      </c>
      <c r="D139" s="105" t="s">
        <v>20</v>
      </c>
      <c r="E139">
        <v>73</v>
      </c>
      <c r="F139">
        <v>43730.36</v>
      </c>
    </row>
    <row r="140" spans="1:6" hidden="1" x14ac:dyDescent="0.3">
      <c r="A140">
        <v>2022</v>
      </c>
      <c r="B140">
        <v>5</v>
      </c>
      <c r="C140" s="105" t="s">
        <v>41</v>
      </c>
      <c r="D140" s="105" t="s">
        <v>21</v>
      </c>
      <c r="E140">
        <v>78</v>
      </c>
      <c r="F140">
        <v>58007.54</v>
      </c>
    </row>
    <row r="141" spans="1:6" hidden="1" x14ac:dyDescent="0.3">
      <c r="A141">
        <v>2022</v>
      </c>
      <c r="B141">
        <v>5</v>
      </c>
      <c r="C141" s="105" t="s">
        <v>41</v>
      </c>
      <c r="D141" s="105" t="s">
        <v>22</v>
      </c>
      <c r="E141">
        <v>36</v>
      </c>
      <c r="F141">
        <v>19902.740000000002</v>
      </c>
    </row>
    <row r="142" spans="1:6" hidden="1" x14ac:dyDescent="0.3">
      <c r="A142">
        <v>2022</v>
      </c>
      <c r="B142">
        <v>5</v>
      </c>
      <c r="C142" s="105" t="s">
        <v>41</v>
      </c>
      <c r="D142" s="105" t="s">
        <v>23</v>
      </c>
      <c r="E142">
        <v>9</v>
      </c>
      <c r="F142">
        <v>9220.7000000000007</v>
      </c>
    </row>
    <row r="143" spans="1:6" hidden="1" x14ac:dyDescent="0.3">
      <c r="A143">
        <v>2022</v>
      </c>
      <c r="B143">
        <v>5</v>
      </c>
      <c r="C143" s="105" t="s">
        <v>41</v>
      </c>
      <c r="D143" s="105" t="s">
        <v>24</v>
      </c>
      <c r="E143">
        <v>42</v>
      </c>
      <c r="F143">
        <v>33888.46</v>
      </c>
    </row>
    <row r="144" spans="1:6" hidden="1" x14ac:dyDescent="0.3">
      <c r="A144">
        <v>2022</v>
      </c>
      <c r="B144">
        <v>5</v>
      </c>
      <c r="C144" s="105" t="s">
        <v>41</v>
      </c>
      <c r="D144" s="105" t="s">
        <v>25</v>
      </c>
      <c r="E144">
        <v>88</v>
      </c>
      <c r="F144">
        <v>56400.800000000003</v>
      </c>
    </row>
    <row r="145" spans="1:6" hidden="1" x14ac:dyDescent="0.3">
      <c r="A145">
        <v>2022</v>
      </c>
      <c r="B145">
        <v>5</v>
      </c>
      <c r="C145" s="105" t="s">
        <v>41</v>
      </c>
      <c r="D145" s="105" t="s">
        <v>26</v>
      </c>
      <c r="E145">
        <v>11</v>
      </c>
      <c r="F145">
        <v>6506.93</v>
      </c>
    </row>
    <row r="146" spans="1:6" hidden="1" x14ac:dyDescent="0.3">
      <c r="A146">
        <v>2022</v>
      </c>
      <c r="B146">
        <v>5</v>
      </c>
      <c r="C146" s="105" t="s">
        <v>41</v>
      </c>
      <c r="D146" s="105" t="s">
        <v>27</v>
      </c>
      <c r="E146">
        <v>47</v>
      </c>
      <c r="F146">
        <v>25088.25</v>
      </c>
    </row>
    <row r="147" spans="1:6" hidden="1" x14ac:dyDescent="0.3">
      <c r="A147">
        <v>2022</v>
      </c>
      <c r="B147">
        <v>5</v>
      </c>
      <c r="C147" s="105" t="s">
        <v>41</v>
      </c>
      <c r="D147" s="105" t="s">
        <v>28</v>
      </c>
      <c r="E147">
        <v>1</v>
      </c>
      <c r="F147">
        <v>1059</v>
      </c>
    </row>
    <row r="148" spans="1:6" hidden="1" x14ac:dyDescent="0.3">
      <c r="A148">
        <v>2022</v>
      </c>
      <c r="B148">
        <v>5</v>
      </c>
      <c r="C148" s="105" t="s">
        <v>41</v>
      </c>
      <c r="D148" s="105" t="s">
        <v>29</v>
      </c>
      <c r="E148">
        <v>68</v>
      </c>
      <c r="F148">
        <v>42042.239999999998</v>
      </c>
    </row>
    <row r="149" spans="1:6" hidden="1" x14ac:dyDescent="0.3">
      <c r="A149">
        <v>2022</v>
      </c>
      <c r="B149">
        <v>5</v>
      </c>
      <c r="C149" s="105" t="s">
        <v>41</v>
      </c>
      <c r="D149" s="105" t="s">
        <v>30</v>
      </c>
      <c r="E149">
        <v>9</v>
      </c>
      <c r="F149">
        <v>5483</v>
      </c>
    </row>
    <row r="150" spans="1:6" hidden="1" x14ac:dyDescent="0.3">
      <c r="A150">
        <v>2022</v>
      </c>
      <c r="B150">
        <v>5</v>
      </c>
      <c r="C150" s="105" t="s">
        <v>41</v>
      </c>
      <c r="D150" s="105" t="s">
        <v>31</v>
      </c>
      <c r="E150">
        <v>77</v>
      </c>
      <c r="F150">
        <v>56022.34</v>
      </c>
    </row>
    <row r="151" spans="1:6" hidden="1" x14ac:dyDescent="0.3">
      <c r="A151">
        <v>2022</v>
      </c>
      <c r="B151">
        <v>5</v>
      </c>
      <c r="C151" s="105" t="s">
        <v>41</v>
      </c>
      <c r="D151" s="105" t="s">
        <v>32</v>
      </c>
      <c r="E151">
        <v>13</v>
      </c>
      <c r="F151">
        <v>10404</v>
      </c>
    </row>
    <row r="152" spans="1:6" hidden="1" x14ac:dyDescent="0.3">
      <c r="A152">
        <v>2022</v>
      </c>
      <c r="B152">
        <v>5</v>
      </c>
      <c r="C152" s="105" t="s">
        <v>41</v>
      </c>
      <c r="D152" s="105" t="s">
        <v>33</v>
      </c>
      <c r="E152">
        <v>94</v>
      </c>
      <c r="F152">
        <v>80606.28</v>
      </c>
    </row>
    <row r="153" spans="1:6" hidden="1" x14ac:dyDescent="0.3">
      <c r="A153">
        <v>2022</v>
      </c>
      <c r="B153">
        <v>5</v>
      </c>
      <c r="C153" s="105" t="s">
        <v>41</v>
      </c>
      <c r="D153" s="105" t="s">
        <v>34</v>
      </c>
      <c r="E153">
        <v>63</v>
      </c>
      <c r="F153">
        <v>38447.980000000003</v>
      </c>
    </row>
    <row r="154" spans="1:6" hidden="1" x14ac:dyDescent="0.3">
      <c r="A154">
        <v>2022</v>
      </c>
      <c r="B154">
        <v>5</v>
      </c>
      <c r="C154" s="105" t="s">
        <v>41</v>
      </c>
      <c r="D154" s="105" t="s">
        <v>35</v>
      </c>
      <c r="E154">
        <v>23</v>
      </c>
      <c r="F154">
        <v>14088</v>
      </c>
    </row>
    <row r="155" spans="1:6" hidden="1" x14ac:dyDescent="0.3">
      <c r="A155">
        <v>2022</v>
      </c>
      <c r="B155">
        <v>5</v>
      </c>
      <c r="C155" s="105" t="s">
        <v>41</v>
      </c>
      <c r="D155" s="105" t="s">
        <v>36</v>
      </c>
      <c r="E155">
        <v>59</v>
      </c>
      <c r="F155">
        <v>34301.89</v>
      </c>
    </row>
    <row r="156" spans="1:6" hidden="1" x14ac:dyDescent="0.3">
      <c r="A156">
        <v>2022</v>
      </c>
      <c r="B156">
        <v>5</v>
      </c>
      <c r="C156" s="105" t="s">
        <v>41</v>
      </c>
      <c r="D156" s="105" t="s">
        <v>37</v>
      </c>
      <c r="E156">
        <v>41</v>
      </c>
      <c r="F156">
        <v>25504.02</v>
      </c>
    </row>
    <row r="157" spans="1:6" hidden="1" x14ac:dyDescent="0.3">
      <c r="A157">
        <v>2022</v>
      </c>
      <c r="B157">
        <v>6</v>
      </c>
      <c r="C157" s="105" t="s">
        <v>42</v>
      </c>
      <c r="D157" s="105" t="s">
        <v>7</v>
      </c>
      <c r="E157">
        <v>38</v>
      </c>
      <c r="F157">
        <v>26090.52</v>
      </c>
    </row>
    <row r="158" spans="1:6" hidden="1" x14ac:dyDescent="0.3">
      <c r="A158">
        <v>2022</v>
      </c>
      <c r="B158">
        <v>6</v>
      </c>
      <c r="C158" s="105" t="s">
        <v>42</v>
      </c>
      <c r="D158" s="105" t="s">
        <v>8</v>
      </c>
      <c r="E158">
        <v>28</v>
      </c>
      <c r="F158">
        <v>15345.97</v>
      </c>
    </row>
    <row r="159" spans="1:6" hidden="1" x14ac:dyDescent="0.3">
      <c r="A159">
        <v>2022</v>
      </c>
      <c r="B159">
        <v>6</v>
      </c>
      <c r="C159" s="105" t="s">
        <v>42</v>
      </c>
      <c r="D159" s="105" t="s">
        <v>9</v>
      </c>
      <c r="E159">
        <v>12</v>
      </c>
      <c r="F159">
        <v>9513</v>
      </c>
    </row>
    <row r="160" spans="1:6" hidden="1" x14ac:dyDescent="0.3">
      <c r="A160">
        <v>2022</v>
      </c>
      <c r="B160">
        <v>6</v>
      </c>
      <c r="C160" s="105" t="s">
        <v>42</v>
      </c>
      <c r="D160" s="105" t="s">
        <v>10</v>
      </c>
      <c r="E160">
        <v>37</v>
      </c>
      <c r="F160">
        <v>31103.78</v>
      </c>
    </row>
    <row r="161" spans="1:6" hidden="1" x14ac:dyDescent="0.3">
      <c r="A161">
        <v>2022</v>
      </c>
      <c r="B161">
        <v>6</v>
      </c>
      <c r="C161" s="105" t="s">
        <v>42</v>
      </c>
      <c r="D161" s="105" t="s">
        <v>11</v>
      </c>
      <c r="E161">
        <v>66</v>
      </c>
      <c r="F161">
        <v>39583.32</v>
      </c>
    </row>
    <row r="162" spans="1:6" hidden="1" x14ac:dyDescent="0.3">
      <c r="A162">
        <v>2022</v>
      </c>
      <c r="B162">
        <v>6</v>
      </c>
      <c r="C162" s="105" t="s">
        <v>42</v>
      </c>
      <c r="D162" s="105" t="s">
        <v>12</v>
      </c>
      <c r="E162">
        <v>23</v>
      </c>
      <c r="F162">
        <v>15670.71</v>
      </c>
    </row>
    <row r="163" spans="1:6" hidden="1" x14ac:dyDescent="0.3">
      <c r="A163">
        <v>2022</v>
      </c>
      <c r="B163">
        <v>6</v>
      </c>
      <c r="C163" s="105" t="s">
        <v>42</v>
      </c>
      <c r="D163" s="105" t="s">
        <v>13</v>
      </c>
      <c r="E163">
        <v>80</v>
      </c>
      <c r="F163">
        <v>54216.77</v>
      </c>
    </row>
    <row r="164" spans="1:6" hidden="1" x14ac:dyDescent="0.3">
      <c r="A164">
        <v>2022</v>
      </c>
      <c r="B164">
        <v>6</v>
      </c>
      <c r="C164" s="105" t="s">
        <v>42</v>
      </c>
      <c r="D164" s="105" t="s">
        <v>14</v>
      </c>
      <c r="E164">
        <v>44</v>
      </c>
      <c r="F164">
        <v>24925.57</v>
      </c>
    </row>
    <row r="165" spans="1:6" hidden="1" x14ac:dyDescent="0.3">
      <c r="A165">
        <v>2022</v>
      </c>
      <c r="B165">
        <v>6</v>
      </c>
      <c r="C165" s="105" t="s">
        <v>42</v>
      </c>
      <c r="D165" s="105" t="s">
        <v>15</v>
      </c>
      <c r="E165">
        <v>5</v>
      </c>
      <c r="F165">
        <v>2400</v>
      </c>
    </row>
    <row r="166" spans="1:6" hidden="1" x14ac:dyDescent="0.3">
      <c r="A166">
        <v>2022</v>
      </c>
      <c r="B166">
        <v>6</v>
      </c>
      <c r="C166" s="105" t="s">
        <v>42</v>
      </c>
      <c r="D166" s="105" t="s">
        <v>16</v>
      </c>
      <c r="E166">
        <v>5</v>
      </c>
      <c r="F166">
        <v>2373</v>
      </c>
    </row>
    <row r="167" spans="1:6" hidden="1" x14ac:dyDescent="0.3">
      <c r="A167">
        <v>2022</v>
      </c>
      <c r="B167">
        <v>6</v>
      </c>
      <c r="C167" s="105" t="s">
        <v>42</v>
      </c>
      <c r="D167" s="105" t="s">
        <v>17</v>
      </c>
      <c r="E167">
        <v>39</v>
      </c>
      <c r="F167">
        <v>30621.68</v>
      </c>
    </row>
    <row r="168" spans="1:6" hidden="1" x14ac:dyDescent="0.3">
      <c r="A168">
        <v>2022</v>
      </c>
      <c r="B168">
        <v>6</v>
      </c>
      <c r="C168" s="105" t="s">
        <v>42</v>
      </c>
      <c r="D168" s="105" t="s">
        <v>18</v>
      </c>
      <c r="E168">
        <v>53</v>
      </c>
      <c r="F168">
        <v>43572.44</v>
      </c>
    </row>
    <row r="169" spans="1:6" hidden="1" x14ac:dyDescent="0.3">
      <c r="A169">
        <v>2022</v>
      </c>
      <c r="B169">
        <v>6</v>
      </c>
      <c r="C169" s="105" t="s">
        <v>42</v>
      </c>
      <c r="D169" s="105" t="s">
        <v>19</v>
      </c>
      <c r="E169">
        <v>9</v>
      </c>
      <c r="F169">
        <v>5516.88</v>
      </c>
    </row>
    <row r="170" spans="1:6" x14ac:dyDescent="0.3">
      <c r="A170">
        <v>2022</v>
      </c>
      <c r="B170">
        <v>6</v>
      </c>
      <c r="C170" s="105" t="s">
        <v>42</v>
      </c>
      <c r="D170" s="105" t="s">
        <v>20</v>
      </c>
      <c r="E170">
        <v>93</v>
      </c>
      <c r="F170">
        <v>55267.68</v>
      </c>
    </row>
    <row r="171" spans="1:6" hidden="1" x14ac:dyDescent="0.3">
      <c r="A171">
        <v>2022</v>
      </c>
      <c r="B171">
        <v>6</v>
      </c>
      <c r="C171" s="105" t="s">
        <v>42</v>
      </c>
      <c r="D171" s="105" t="s">
        <v>21</v>
      </c>
      <c r="E171">
        <v>76</v>
      </c>
      <c r="F171">
        <v>60262</v>
      </c>
    </row>
    <row r="172" spans="1:6" hidden="1" x14ac:dyDescent="0.3">
      <c r="A172">
        <v>2022</v>
      </c>
      <c r="B172">
        <v>6</v>
      </c>
      <c r="C172" s="105" t="s">
        <v>42</v>
      </c>
      <c r="D172" s="105" t="s">
        <v>22</v>
      </c>
      <c r="E172">
        <v>38</v>
      </c>
      <c r="F172">
        <v>20571.150000000001</v>
      </c>
    </row>
    <row r="173" spans="1:6" hidden="1" x14ac:dyDescent="0.3">
      <c r="A173">
        <v>2022</v>
      </c>
      <c r="B173">
        <v>6</v>
      </c>
      <c r="C173" s="105" t="s">
        <v>42</v>
      </c>
      <c r="D173" s="105" t="s">
        <v>23</v>
      </c>
      <c r="E173">
        <v>18</v>
      </c>
      <c r="F173">
        <v>14013</v>
      </c>
    </row>
    <row r="174" spans="1:6" hidden="1" x14ac:dyDescent="0.3">
      <c r="A174">
        <v>2022</v>
      </c>
      <c r="B174">
        <v>6</v>
      </c>
      <c r="C174" s="105" t="s">
        <v>42</v>
      </c>
      <c r="D174" s="105" t="s">
        <v>24</v>
      </c>
      <c r="E174">
        <v>61</v>
      </c>
      <c r="F174">
        <v>34449.18</v>
      </c>
    </row>
    <row r="175" spans="1:6" hidden="1" x14ac:dyDescent="0.3">
      <c r="A175">
        <v>2022</v>
      </c>
      <c r="B175">
        <v>6</v>
      </c>
      <c r="C175" s="105" t="s">
        <v>42</v>
      </c>
      <c r="D175" s="105" t="s">
        <v>25</v>
      </c>
      <c r="E175">
        <v>90</v>
      </c>
      <c r="F175">
        <v>62422.71</v>
      </c>
    </row>
    <row r="176" spans="1:6" hidden="1" x14ac:dyDescent="0.3">
      <c r="A176">
        <v>2022</v>
      </c>
      <c r="B176">
        <v>6</v>
      </c>
      <c r="C176" s="105" t="s">
        <v>42</v>
      </c>
      <c r="D176" s="105" t="s">
        <v>26</v>
      </c>
      <c r="E176">
        <v>8</v>
      </c>
      <c r="F176">
        <v>6123</v>
      </c>
    </row>
    <row r="177" spans="1:6" hidden="1" x14ac:dyDescent="0.3">
      <c r="A177">
        <v>2022</v>
      </c>
      <c r="B177">
        <v>6</v>
      </c>
      <c r="C177" s="105" t="s">
        <v>42</v>
      </c>
      <c r="D177" s="105" t="s">
        <v>27</v>
      </c>
      <c r="E177">
        <v>46</v>
      </c>
      <c r="F177">
        <v>31320.94</v>
      </c>
    </row>
    <row r="178" spans="1:6" hidden="1" x14ac:dyDescent="0.3">
      <c r="A178">
        <v>2022</v>
      </c>
      <c r="B178">
        <v>6</v>
      </c>
      <c r="C178" s="105" t="s">
        <v>42</v>
      </c>
      <c r="D178" s="105" t="s">
        <v>28</v>
      </c>
      <c r="E178">
        <v>10</v>
      </c>
      <c r="F178">
        <v>5489.24</v>
      </c>
    </row>
    <row r="179" spans="1:6" hidden="1" x14ac:dyDescent="0.3">
      <c r="A179">
        <v>2022</v>
      </c>
      <c r="B179">
        <v>6</v>
      </c>
      <c r="C179" s="105" t="s">
        <v>42</v>
      </c>
      <c r="D179" s="105" t="s">
        <v>29</v>
      </c>
      <c r="E179">
        <v>76</v>
      </c>
      <c r="F179">
        <v>46350.400000000001</v>
      </c>
    </row>
    <row r="180" spans="1:6" hidden="1" x14ac:dyDescent="0.3">
      <c r="A180">
        <v>2022</v>
      </c>
      <c r="B180">
        <v>6</v>
      </c>
      <c r="C180" s="105" t="s">
        <v>42</v>
      </c>
      <c r="D180" s="105" t="s">
        <v>30</v>
      </c>
      <c r="E180">
        <v>6</v>
      </c>
      <c r="F180">
        <v>2765</v>
      </c>
    </row>
    <row r="181" spans="1:6" hidden="1" x14ac:dyDescent="0.3">
      <c r="A181">
        <v>2022</v>
      </c>
      <c r="B181">
        <v>6</v>
      </c>
      <c r="C181" s="105" t="s">
        <v>42</v>
      </c>
      <c r="D181" s="105" t="s">
        <v>31</v>
      </c>
      <c r="E181">
        <v>107</v>
      </c>
      <c r="F181">
        <v>88370.01</v>
      </c>
    </row>
    <row r="182" spans="1:6" hidden="1" x14ac:dyDescent="0.3">
      <c r="A182">
        <v>2022</v>
      </c>
      <c r="B182">
        <v>6</v>
      </c>
      <c r="C182" s="105" t="s">
        <v>42</v>
      </c>
      <c r="D182" s="105" t="s">
        <v>32</v>
      </c>
      <c r="E182">
        <v>7</v>
      </c>
      <c r="F182">
        <v>6402</v>
      </c>
    </row>
    <row r="183" spans="1:6" hidden="1" x14ac:dyDescent="0.3">
      <c r="A183">
        <v>2022</v>
      </c>
      <c r="B183">
        <v>6</v>
      </c>
      <c r="C183" s="105" t="s">
        <v>42</v>
      </c>
      <c r="D183" s="105" t="s">
        <v>33</v>
      </c>
      <c r="E183">
        <v>102</v>
      </c>
      <c r="F183">
        <v>78587.990000000005</v>
      </c>
    </row>
    <row r="184" spans="1:6" hidden="1" x14ac:dyDescent="0.3">
      <c r="A184">
        <v>2022</v>
      </c>
      <c r="B184">
        <v>6</v>
      </c>
      <c r="C184" s="105" t="s">
        <v>42</v>
      </c>
      <c r="D184" s="105" t="s">
        <v>34</v>
      </c>
      <c r="E184">
        <v>148</v>
      </c>
      <c r="F184">
        <v>80973.25</v>
      </c>
    </row>
    <row r="185" spans="1:6" hidden="1" x14ac:dyDescent="0.3">
      <c r="A185">
        <v>2022</v>
      </c>
      <c r="B185">
        <v>6</v>
      </c>
      <c r="C185" s="105" t="s">
        <v>42</v>
      </c>
      <c r="D185" s="105" t="s">
        <v>35</v>
      </c>
      <c r="E185">
        <v>55</v>
      </c>
      <c r="F185">
        <v>26640.080000000002</v>
      </c>
    </row>
    <row r="186" spans="1:6" hidden="1" x14ac:dyDescent="0.3">
      <c r="A186">
        <v>2022</v>
      </c>
      <c r="B186">
        <v>6</v>
      </c>
      <c r="C186" s="105" t="s">
        <v>42</v>
      </c>
      <c r="D186" s="105" t="s">
        <v>36</v>
      </c>
      <c r="E186">
        <v>64</v>
      </c>
      <c r="F186">
        <v>38891.230000000003</v>
      </c>
    </row>
    <row r="187" spans="1:6" hidden="1" x14ac:dyDescent="0.3">
      <c r="A187">
        <v>2022</v>
      </c>
      <c r="B187">
        <v>6</v>
      </c>
      <c r="C187" s="105" t="s">
        <v>42</v>
      </c>
      <c r="D187" s="105" t="s">
        <v>37</v>
      </c>
      <c r="E187">
        <v>73</v>
      </c>
      <c r="F187">
        <v>46068.38</v>
      </c>
    </row>
    <row r="188" spans="1:6" hidden="1" x14ac:dyDescent="0.3">
      <c r="A188">
        <v>2022</v>
      </c>
      <c r="B188">
        <v>7</v>
      </c>
      <c r="C188" s="105" t="s">
        <v>43</v>
      </c>
      <c r="D188" s="105" t="s">
        <v>7</v>
      </c>
      <c r="E188">
        <v>43</v>
      </c>
      <c r="F188">
        <v>27050.74</v>
      </c>
    </row>
    <row r="189" spans="1:6" hidden="1" x14ac:dyDescent="0.3">
      <c r="A189">
        <v>2022</v>
      </c>
      <c r="B189">
        <v>7</v>
      </c>
      <c r="C189" s="105" t="s">
        <v>43</v>
      </c>
      <c r="D189" s="105" t="s">
        <v>8</v>
      </c>
      <c r="E189">
        <v>50</v>
      </c>
      <c r="F189">
        <v>20997.5</v>
      </c>
    </row>
    <row r="190" spans="1:6" hidden="1" x14ac:dyDescent="0.3">
      <c r="A190">
        <v>2022</v>
      </c>
      <c r="B190">
        <v>7</v>
      </c>
      <c r="C190" s="105" t="s">
        <v>43</v>
      </c>
      <c r="D190" s="105" t="s">
        <v>9</v>
      </c>
      <c r="E190">
        <v>11</v>
      </c>
      <c r="F190">
        <v>6044.73</v>
      </c>
    </row>
    <row r="191" spans="1:6" hidden="1" x14ac:dyDescent="0.3">
      <c r="A191">
        <v>2022</v>
      </c>
      <c r="B191">
        <v>7</v>
      </c>
      <c r="C191" s="105" t="s">
        <v>43</v>
      </c>
      <c r="D191" s="105" t="s">
        <v>10</v>
      </c>
      <c r="E191">
        <v>57</v>
      </c>
      <c r="F191">
        <v>54754.09</v>
      </c>
    </row>
    <row r="192" spans="1:6" hidden="1" x14ac:dyDescent="0.3">
      <c r="A192">
        <v>2022</v>
      </c>
      <c r="B192">
        <v>7</v>
      </c>
      <c r="C192" s="105" t="s">
        <v>43</v>
      </c>
      <c r="D192" s="105" t="s">
        <v>11</v>
      </c>
      <c r="E192">
        <v>52</v>
      </c>
      <c r="F192">
        <v>32335.02</v>
      </c>
    </row>
    <row r="193" spans="1:6" hidden="1" x14ac:dyDescent="0.3">
      <c r="A193">
        <v>2022</v>
      </c>
      <c r="B193">
        <v>7</v>
      </c>
      <c r="C193" s="105" t="s">
        <v>43</v>
      </c>
      <c r="D193" s="105" t="s">
        <v>12</v>
      </c>
      <c r="E193">
        <v>35</v>
      </c>
      <c r="F193">
        <v>22994.98</v>
      </c>
    </row>
    <row r="194" spans="1:6" hidden="1" x14ac:dyDescent="0.3">
      <c r="A194">
        <v>2022</v>
      </c>
      <c r="B194">
        <v>7</v>
      </c>
      <c r="C194" s="105" t="s">
        <v>43</v>
      </c>
      <c r="D194" s="105" t="s">
        <v>13</v>
      </c>
      <c r="E194">
        <v>100</v>
      </c>
      <c r="F194">
        <v>61366.93</v>
      </c>
    </row>
    <row r="195" spans="1:6" hidden="1" x14ac:dyDescent="0.3">
      <c r="A195">
        <v>2022</v>
      </c>
      <c r="B195">
        <v>7</v>
      </c>
      <c r="C195" s="105" t="s">
        <v>43</v>
      </c>
      <c r="D195" s="105" t="s">
        <v>14</v>
      </c>
      <c r="E195">
        <v>69</v>
      </c>
      <c r="F195">
        <v>28216.54</v>
      </c>
    </row>
    <row r="196" spans="1:6" hidden="1" x14ac:dyDescent="0.3">
      <c r="A196">
        <v>2022</v>
      </c>
      <c r="B196">
        <v>7</v>
      </c>
      <c r="C196" s="105" t="s">
        <v>43</v>
      </c>
      <c r="D196" s="105" t="s">
        <v>15</v>
      </c>
      <c r="E196">
        <v>13</v>
      </c>
      <c r="F196">
        <v>4863.1000000000004</v>
      </c>
    </row>
    <row r="197" spans="1:6" hidden="1" x14ac:dyDescent="0.3">
      <c r="A197">
        <v>2022</v>
      </c>
      <c r="B197">
        <v>7</v>
      </c>
      <c r="C197" s="105" t="s">
        <v>43</v>
      </c>
      <c r="D197" s="105" t="s">
        <v>16</v>
      </c>
      <c r="E197">
        <v>10</v>
      </c>
      <c r="F197">
        <v>6757</v>
      </c>
    </row>
    <row r="198" spans="1:6" hidden="1" x14ac:dyDescent="0.3">
      <c r="A198">
        <v>2022</v>
      </c>
      <c r="B198">
        <v>7</v>
      </c>
      <c r="C198" s="105" t="s">
        <v>43</v>
      </c>
      <c r="D198" s="105" t="s">
        <v>17</v>
      </c>
      <c r="E198">
        <v>54</v>
      </c>
      <c r="F198">
        <v>31172.6</v>
      </c>
    </row>
    <row r="199" spans="1:6" hidden="1" x14ac:dyDescent="0.3">
      <c r="A199">
        <v>2022</v>
      </c>
      <c r="B199">
        <v>7</v>
      </c>
      <c r="C199" s="105" t="s">
        <v>43</v>
      </c>
      <c r="D199" s="105" t="s">
        <v>18</v>
      </c>
      <c r="E199">
        <v>93</v>
      </c>
      <c r="F199">
        <v>62083.93</v>
      </c>
    </row>
    <row r="200" spans="1:6" hidden="1" x14ac:dyDescent="0.3">
      <c r="A200">
        <v>2022</v>
      </c>
      <c r="B200">
        <v>7</v>
      </c>
      <c r="C200" s="105" t="s">
        <v>43</v>
      </c>
      <c r="D200" s="105" t="s">
        <v>19</v>
      </c>
      <c r="E200">
        <v>11</v>
      </c>
      <c r="F200">
        <v>5583</v>
      </c>
    </row>
    <row r="201" spans="1:6" x14ac:dyDescent="0.3">
      <c r="A201">
        <v>2022</v>
      </c>
      <c r="B201">
        <v>7</v>
      </c>
      <c r="C201" s="105" t="s">
        <v>43</v>
      </c>
      <c r="D201" s="105" t="s">
        <v>20</v>
      </c>
      <c r="E201">
        <v>87</v>
      </c>
      <c r="F201">
        <v>46370.99</v>
      </c>
    </row>
    <row r="202" spans="1:6" hidden="1" x14ac:dyDescent="0.3">
      <c r="A202">
        <v>2022</v>
      </c>
      <c r="B202">
        <v>7</v>
      </c>
      <c r="C202" s="105" t="s">
        <v>43</v>
      </c>
      <c r="D202" s="105" t="s">
        <v>21</v>
      </c>
      <c r="E202">
        <v>125</v>
      </c>
      <c r="F202">
        <v>63591.3</v>
      </c>
    </row>
    <row r="203" spans="1:6" hidden="1" x14ac:dyDescent="0.3">
      <c r="A203">
        <v>2022</v>
      </c>
      <c r="B203">
        <v>7</v>
      </c>
      <c r="C203" s="105" t="s">
        <v>43</v>
      </c>
      <c r="D203" s="105" t="s">
        <v>22</v>
      </c>
      <c r="E203">
        <v>39</v>
      </c>
      <c r="F203">
        <v>17037.16</v>
      </c>
    </row>
    <row r="204" spans="1:6" hidden="1" x14ac:dyDescent="0.3">
      <c r="A204">
        <v>2022</v>
      </c>
      <c r="B204">
        <v>7</v>
      </c>
      <c r="C204" s="105" t="s">
        <v>43</v>
      </c>
      <c r="D204" s="105" t="s">
        <v>23</v>
      </c>
      <c r="E204">
        <v>21</v>
      </c>
      <c r="F204">
        <v>15409.5</v>
      </c>
    </row>
    <row r="205" spans="1:6" hidden="1" x14ac:dyDescent="0.3">
      <c r="A205">
        <v>2022</v>
      </c>
      <c r="B205">
        <v>7</v>
      </c>
      <c r="C205" s="105" t="s">
        <v>43</v>
      </c>
      <c r="D205" s="105" t="s">
        <v>24</v>
      </c>
      <c r="E205">
        <v>87</v>
      </c>
      <c r="F205">
        <v>31647.040000000001</v>
      </c>
    </row>
    <row r="206" spans="1:6" hidden="1" x14ac:dyDescent="0.3">
      <c r="A206">
        <v>2022</v>
      </c>
      <c r="B206">
        <v>7</v>
      </c>
      <c r="C206" s="105" t="s">
        <v>43</v>
      </c>
      <c r="D206" s="105" t="s">
        <v>25</v>
      </c>
      <c r="E206">
        <v>167</v>
      </c>
      <c r="F206">
        <v>66587.55</v>
      </c>
    </row>
    <row r="207" spans="1:6" hidden="1" x14ac:dyDescent="0.3">
      <c r="A207">
        <v>2022</v>
      </c>
      <c r="B207">
        <v>7</v>
      </c>
      <c r="C207" s="105" t="s">
        <v>43</v>
      </c>
      <c r="D207" s="105" t="s">
        <v>26</v>
      </c>
      <c r="E207">
        <v>11</v>
      </c>
      <c r="F207">
        <v>7648.09</v>
      </c>
    </row>
    <row r="208" spans="1:6" hidden="1" x14ac:dyDescent="0.3">
      <c r="A208">
        <v>2022</v>
      </c>
      <c r="B208">
        <v>7</v>
      </c>
      <c r="C208" s="105" t="s">
        <v>43</v>
      </c>
      <c r="D208" s="105" t="s">
        <v>27</v>
      </c>
      <c r="E208">
        <v>73</v>
      </c>
      <c r="F208">
        <v>35569.01</v>
      </c>
    </row>
    <row r="209" spans="1:6" hidden="1" x14ac:dyDescent="0.3">
      <c r="A209">
        <v>2022</v>
      </c>
      <c r="B209">
        <v>7</v>
      </c>
      <c r="C209" s="105" t="s">
        <v>43</v>
      </c>
      <c r="D209" s="105" t="s">
        <v>28</v>
      </c>
      <c r="E209">
        <v>11</v>
      </c>
      <c r="F209">
        <v>2607</v>
      </c>
    </row>
    <row r="210" spans="1:6" hidden="1" x14ac:dyDescent="0.3">
      <c r="A210">
        <v>2022</v>
      </c>
      <c r="B210">
        <v>7</v>
      </c>
      <c r="C210" s="105" t="s">
        <v>43</v>
      </c>
      <c r="D210" s="105" t="s">
        <v>29</v>
      </c>
      <c r="E210">
        <v>96</v>
      </c>
      <c r="F210">
        <v>57225.39</v>
      </c>
    </row>
    <row r="211" spans="1:6" hidden="1" x14ac:dyDescent="0.3">
      <c r="A211">
        <v>2022</v>
      </c>
      <c r="B211">
        <v>7</v>
      </c>
      <c r="C211" s="105" t="s">
        <v>43</v>
      </c>
      <c r="D211" s="105" t="s">
        <v>30</v>
      </c>
      <c r="E211">
        <v>9</v>
      </c>
      <c r="F211">
        <v>3615.6</v>
      </c>
    </row>
    <row r="212" spans="1:6" hidden="1" x14ac:dyDescent="0.3">
      <c r="A212">
        <v>2022</v>
      </c>
      <c r="B212">
        <v>7</v>
      </c>
      <c r="C212" s="105" t="s">
        <v>43</v>
      </c>
      <c r="D212" s="105" t="s">
        <v>31</v>
      </c>
      <c r="E212">
        <v>135</v>
      </c>
      <c r="F212">
        <v>108762.27</v>
      </c>
    </row>
    <row r="213" spans="1:6" hidden="1" x14ac:dyDescent="0.3">
      <c r="A213">
        <v>2022</v>
      </c>
      <c r="B213">
        <v>7</v>
      </c>
      <c r="C213" s="105" t="s">
        <v>43</v>
      </c>
      <c r="D213" s="105" t="s">
        <v>32</v>
      </c>
      <c r="E213">
        <v>11</v>
      </c>
      <c r="F213">
        <v>6095.56</v>
      </c>
    </row>
    <row r="214" spans="1:6" hidden="1" x14ac:dyDescent="0.3">
      <c r="A214">
        <v>2022</v>
      </c>
      <c r="B214">
        <v>7</v>
      </c>
      <c r="C214" s="105" t="s">
        <v>43</v>
      </c>
      <c r="D214" s="105" t="s">
        <v>33</v>
      </c>
      <c r="E214">
        <v>157</v>
      </c>
      <c r="F214">
        <v>121283.09</v>
      </c>
    </row>
    <row r="215" spans="1:6" hidden="1" x14ac:dyDescent="0.3">
      <c r="A215">
        <v>2022</v>
      </c>
      <c r="B215">
        <v>7</v>
      </c>
      <c r="C215" s="105" t="s">
        <v>43</v>
      </c>
      <c r="D215" s="105" t="s">
        <v>34</v>
      </c>
      <c r="E215">
        <v>87</v>
      </c>
      <c r="F215">
        <v>56118.42</v>
      </c>
    </row>
    <row r="216" spans="1:6" hidden="1" x14ac:dyDescent="0.3">
      <c r="A216">
        <v>2022</v>
      </c>
      <c r="B216">
        <v>7</v>
      </c>
      <c r="C216" s="105" t="s">
        <v>43</v>
      </c>
      <c r="D216" s="105" t="s">
        <v>35</v>
      </c>
      <c r="E216">
        <v>43</v>
      </c>
      <c r="F216">
        <v>24217.78</v>
      </c>
    </row>
    <row r="217" spans="1:6" hidden="1" x14ac:dyDescent="0.3">
      <c r="A217">
        <v>2022</v>
      </c>
      <c r="B217">
        <v>7</v>
      </c>
      <c r="C217" s="105" t="s">
        <v>43</v>
      </c>
      <c r="D217" s="105" t="s">
        <v>36</v>
      </c>
      <c r="E217">
        <v>159</v>
      </c>
      <c r="F217">
        <v>52194.13</v>
      </c>
    </row>
    <row r="218" spans="1:6" hidden="1" x14ac:dyDescent="0.3">
      <c r="A218">
        <v>2022</v>
      </c>
      <c r="B218">
        <v>7</v>
      </c>
      <c r="C218" s="105" t="s">
        <v>43</v>
      </c>
      <c r="D218" s="105" t="s">
        <v>37</v>
      </c>
      <c r="E218">
        <v>113</v>
      </c>
      <c r="F218">
        <v>49236.11</v>
      </c>
    </row>
    <row r="219" spans="1:6" hidden="1" x14ac:dyDescent="0.3">
      <c r="A219">
        <v>2022</v>
      </c>
      <c r="B219">
        <v>8</v>
      </c>
      <c r="C219" s="105" t="s">
        <v>44</v>
      </c>
      <c r="D219" s="105" t="s">
        <v>7</v>
      </c>
      <c r="E219">
        <v>57</v>
      </c>
      <c r="F219">
        <v>28447.02</v>
      </c>
    </row>
    <row r="220" spans="1:6" hidden="1" x14ac:dyDescent="0.3">
      <c r="A220">
        <v>2022</v>
      </c>
      <c r="B220">
        <v>8</v>
      </c>
      <c r="C220" s="105" t="s">
        <v>44</v>
      </c>
      <c r="D220" s="105" t="s">
        <v>8</v>
      </c>
      <c r="E220">
        <v>30</v>
      </c>
      <c r="F220">
        <v>17148.62</v>
      </c>
    </row>
    <row r="221" spans="1:6" hidden="1" x14ac:dyDescent="0.3">
      <c r="A221">
        <v>2022</v>
      </c>
      <c r="B221">
        <v>8</v>
      </c>
      <c r="C221" s="105" t="s">
        <v>44</v>
      </c>
      <c r="D221" s="105" t="s">
        <v>9</v>
      </c>
      <c r="E221">
        <v>8</v>
      </c>
      <c r="F221">
        <v>4797.55</v>
      </c>
    </row>
    <row r="222" spans="1:6" hidden="1" x14ac:dyDescent="0.3">
      <c r="A222">
        <v>2022</v>
      </c>
      <c r="B222">
        <v>8</v>
      </c>
      <c r="C222" s="105" t="s">
        <v>44</v>
      </c>
      <c r="D222" s="105" t="s">
        <v>10</v>
      </c>
      <c r="E222">
        <v>58</v>
      </c>
      <c r="F222">
        <v>47719.38</v>
      </c>
    </row>
    <row r="223" spans="1:6" hidden="1" x14ac:dyDescent="0.3">
      <c r="A223">
        <v>2022</v>
      </c>
      <c r="B223">
        <v>8</v>
      </c>
      <c r="C223" s="105" t="s">
        <v>44</v>
      </c>
      <c r="D223" s="105" t="s">
        <v>11</v>
      </c>
      <c r="E223">
        <v>78</v>
      </c>
      <c r="F223">
        <v>43667.11</v>
      </c>
    </row>
    <row r="224" spans="1:6" hidden="1" x14ac:dyDescent="0.3">
      <c r="A224">
        <v>2022</v>
      </c>
      <c r="B224">
        <v>8</v>
      </c>
      <c r="C224" s="105" t="s">
        <v>44</v>
      </c>
      <c r="D224" s="105" t="s">
        <v>12</v>
      </c>
      <c r="E224">
        <v>42</v>
      </c>
      <c r="F224">
        <v>26170.5</v>
      </c>
    </row>
    <row r="225" spans="1:6" hidden="1" x14ac:dyDescent="0.3">
      <c r="A225">
        <v>2022</v>
      </c>
      <c r="B225">
        <v>8</v>
      </c>
      <c r="C225" s="105" t="s">
        <v>44</v>
      </c>
      <c r="D225" s="105" t="s">
        <v>13</v>
      </c>
      <c r="E225">
        <v>83</v>
      </c>
      <c r="F225">
        <v>53760.99</v>
      </c>
    </row>
    <row r="226" spans="1:6" hidden="1" x14ac:dyDescent="0.3">
      <c r="A226">
        <v>2022</v>
      </c>
      <c r="B226">
        <v>8</v>
      </c>
      <c r="C226" s="105" t="s">
        <v>44</v>
      </c>
      <c r="D226" s="105" t="s">
        <v>14</v>
      </c>
      <c r="E226">
        <v>61</v>
      </c>
      <c r="F226">
        <v>36317.5</v>
      </c>
    </row>
    <row r="227" spans="1:6" hidden="1" x14ac:dyDescent="0.3">
      <c r="A227">
        <v>2022</v>
      </c>
      <c r="B227">
        <v>8</v>
      </c>
      <c r="C227" s="105" t="s">
        <v>44</v>
      </c>
      <c r="D227" s="105" t="s">
        <v>15</v>
      </c>
      <c r="E227">
        <v>13</v>
      </c>
      <c r="F227">
        <v>8432</v>
      </c>
    </row>
    <row r="228" spans="1:6" hidden="1" x14ac:dyDescent="0.3">
      <c r="A228">
        <v>2022</v>
      </c>
      <c r="B228">
        <v>8</v>
      </c>
      <c r="C228" s="105" t="s">
        <v>44</v>
      </c>
      <c r="D228" s="105" t="s">
        <v>16</v>
      </c>
      <c r="E228">
        <v>22</v>
      </c>
      <c r="F228">
        <v>13730.35</v>
      </c>
    </row>
    <row r="229" spans="1:6" hidden="1" x14ac:dyDescent="0.3">
      <c r="A229">
        <v>2022</v>
      </c>
      <c r="B229">
        <v>8</v>
      </c>
      <c r="C229" s="105" t="s">
        <v>44</v>
      </c>
      <c r="D229" s="105" t="s">
        <v>17</v>
      </c>
      <c r="E229">
        <v>58</v>
      </c>
      <c r="F229">
        <v>47001.5</v>
      </c>
    </row>
    <row r="230" spans="1:6" hidden="1" x14ac:dyDescent="0.3">
      <c r="A230">
        <v>2022</v>
      </c>
      <c r="B230">
        <v>8</v>
      </c>
      <c r="C230" s="105" t="s">
        <v>44</v>
      </c>
      <c r="D230" s="105" t="s">
        <v>18</v>
      </c>
      <c r="E230">
        <v>129</v>
      </c>
      <c r="F230">
        <v>83663.240000000005</v>
      </c>
    </row>
    <row r="231" spans="1:6" hidden="1" x14ac:dyDescent="0.3">
      <c r="A231">
        <v>2022</v>
      </c>
      <c r="B231">
        <v>8</v>
      </c>
      <c r="C231" s="105" t="s">
        <v>44</v>
      </c>
      <c r="D231" s="105" t="s">
        <v>19</v>
      </c>
      <c r="E231">
        <v>9</v>
      </c>
      <c r="F231">
        <v>4212</v>
      </c>
    </row>
    <row r="232" spans="1:6" x14ac:dyDescent="0.3">
      <c r="A232">
        <v>2022</v>
      </c>
      <c r="B232">
        <v>8</v>
      </c>
      <c r="C232" s="105" t="s">
        <v>44</v>
      </c>
      <c r="D232" s="105" t="s">
        <v>20</v>
      </c>
      <c r="E232">
        <v>80</v>
      </c>
      <c r="F232">
        <v>51444.12</v>
      </c>
    </row>
    <row r="233" spans="1:6" hidden="1" x14ac:dyDescent="0.3">
      <c r="A233">
        <v>2022</v>
      </c>
      <c r="B233">
        <v>8</v>
      </c>
      <c r="C233" s="105" t="s">
        <v>44</v>
      </c>
      <c r="D233" s="105" t="s">
        <v>21</v>
      </c>
      <c r="E233">
        <v>149</v>
      </c>
      <c r="F233">
        <v>71229.8</v>
      </c>
    </row>
    <row r="234" spans="1:6" hidden="1" x14ac:dyDescent="0.3">
      <c r="A234">
        <v>2022</v>
      </c>
      <c r="B234">
        <v>8</v>
      </c>
      <c r="C234" s="105" t="s">
        <v>44</v>
      </c>
      <c r="D234" s="105" t="s">
        <v>22</v>
      </c>
      <c r="E234">
        <v>31</v>
      </c>
      <c r="F234">
        <v>19991.52</v>
      </c>
    </row>
    <row r="235" spans="1:6" hidden="1" x14ac:dyDescent="0.3">
      <c r="A235">
        <v>2022</v>
      </c>
      <c r="B235">
        <v>8</v>
      </c>
      <c r="C235" s="105" t="s">
        <v>44</v>
      </c>
      <c r="D235" s="105" t="s">
        <v>23</v>
      </c>
      <c r="E235">
        <v>11</v>
      </c>
      <c r="F235">
        <v>8149.78</v>
      </c>
    </row>
    <row r="236" spans="1:6" hidden="1" x14ac:dyDescent="0.3">
      <c r="A236">
        <v>2022</v>
      </c>
      <c r="B236">
        <v>8</v>
      </c>
      <c r="C236" s="105" t="s">
        <v>44</v>
      </c>
      <c r="D236" s="105" t="s">
        <v>24</v>
      </c>
      <c r="E236">
        <v>48</v>
      </c>
      <c r="F236">
        <v>32013.85</v>
      </c>
    </row>
    <row r="237" spans="1:6" hidden="1" x14ac:dyDescent="0.3">
      <c r="A237">
        <v>2022</v>
      </c>
      <c r="B237">
        <v>8</v>
      </c>
      <c r="C237" s="105" t="s">
        <v>44</v>
      </c>
      <c r="D237" s="105" t="s">
        <v>25</v>
      </c>
      <c r="E237">
        <v>124</v>
      </c>
      <c r="F237">
        <v>87643.1</v>
      </c>
    </row>
    <row r="238" spans="1:6" hidden="1" x14ac:dyDescent="0.3">
      <c r="A238">
        <v>2022</v>
      </c>
      <c r="B238">
        <v>8</v>
      </c>
      <c r="C238" s="105" t="s">
        <v>44</v>
      </c>
      <c r="D238" s="105" t="s">
        <v>26</v>
      </c>
      <c r="E238">
        <v>27</v>
      </c>
      <c r="F238">
        <v>15114.5</v>
      </c>
    </row>
    <row r="239" spans="1:6" hidden="1" x14ac:dyDescent="0.3">
      <c r="A239">
        <v>2022</v>
      </c>
      <c r="B239">
        <v>8</v>
      </c>
      <c r="C239" s="105" t="s">
        <v>44</v>
      </c>
      <c r="D239" s="105" t="s">
        <v>27</v>
      </c>
      <c r="E239">
        <v>64</v>
      </c>
      <c r="F239">
        <v>39259.5</v>
      </c>
    </row>
    <row r="240" spans="1:6" hidden="1" x14ac:dyDescent="0.3">
      <c r="A240">
        <v>2022</v>
      </c>
      <c r="B240">
        <v>8</v>
      </c>
      <c r="C240" s="105" t="s">
        <v>44</v>
      </c>
      <c r="D240" s="105" t="s">
        <v>28</v>
      </c>
      <c r="E240">
        <v>4</v>
      </c>
      <c r="F240">
        <v>2882</v>
      </c>
    </row>
    <row r="241" spans="1:6" hidden="1" x14ac:dyDescent="0.3">
      <c r="A241">
        <v>2022</v>
      </c>
      <c r="B241">
        <v>8</v>
      </c>
      <c r="C241" s="105" t="s">
        <v>44</v>
      </c>
      <c r="D241" s="105" t="s">
        <v>29</v>
      </c>
      <c r="E241">
        <v>119</v>
      </c>
      <c r="F241">
        <v>58710.07</v>
      </c>
    </row>
    <row r="242" spans="1:6" hidden="1" x14ac:dyDescent="0.3">
      <c r="A242">
        <v>2022</v>
      </c>
      <c r="B242">
        <v>8</v>
      </c>
      <c r="C242" s="105" t="s">
        <v>44</v>
      </c>
      <c r="D242" s="105" t="s">
        <v>30</v>
      </c>
      <c r="E242">
        <v>11</v>
      </c>
      <c r="F242">
        <v>6954.45</v>
      </c>
    </row>
    <row r="243" spans="1:6" hidden="1" x14ac:dyDescent="0.3">
      <c r="A243">
        <v>2022</v>
      </c>
      <c r="B243">
        <v>8</v>
      </c>
      <c r="C243" s="105" t="s">
        <v>44</v>
      </c>
      <c r="D243" s="105" t="s">
        <v>31</v>
      </c>
      <c r="E243">
        <v>132</v>
      </c>
      <c r="F243">
        <v>108803.18</v>
      </c>
    </row>
    <row r="244" spans="1:6" hidden="1" x14ac:dyDescent="0.3">
      <c r="A244">
        <v>2022</v>
      </c>
      <c r="B244">
        <v>8</v>
      </c>
      <c r="C244" s="105" t="s">
        <v>44</v>
      </c>
      <c r="D244" s="105" t="s">
        <v>32</v>
      </c>
      <c r="E244">
        <v>21</v>
      </c>
      <c r="F244">
        <v>10760</v>
      </c>
    </row>
    <row r="245" spans="1:6" hidden="1" x14ac:dyDescent="0.3">
      <c r="A245">
        <v>2022</v>
      </c>
      <c r="B245">
        <v>8</v>
      </c>
      <c r="C245" s="105" t="s">
        <v>44</v>
      </c>
      <c r="D245" s="105" t="s">
        <v>33</v>
      </c>
      <c r="E245">
        <v>126</v>
      </c>
      <c r="F245">
        <v>102082.35</v>
      </c>
    </row>
    <row r="246" spans="1:6" hidden="1" x14ac:dyDescent="0.3">
      <c r="A246">
        <v>2022</v>
      </c>
      <c r="B246">
        <v>8</v>
      </c>
      <c r="C246" s="105" t="s">
        <v>44</v>
      </c>
      <c r="D246" s="105" t="s">
        <v>34</v>
      </c>
      <c r="E246">
        <v>115</v>
      </c>
      <c r="F246">
        <v>70221.5</v>
      </c>
    </row>
    <row r="247" spans="1:6" hidden="1" x14ac:dyDescent="0.3">
      <c r="A247">
        <v>2022</v>
      </c>
      <c r="B247">
        <v>8</v>
      </c>
      <c r="C247" s="105" t="s">
        <v>44</v>
      </c>
      <c r="D247" s="105" t="s">
        <v>35</v>
      </c>
      <c r="E247">
        <v>79</v>
      </c>
      <c r="F247">
        <v>37702.85</v>
      </c>
    </row>
    <row r="248" spans="1:6" hidden="1" x14ac:dyDescent="0.3">
      <c r="A248">
        <v>2022</v>
      </c>
      <c r="B248">
        <v>8</v>
      </c>
      <c r="C248" s="105" t="s">
        <v>44</v>
      </c>
      <c r="D248" s="105" t="s">
        <v>36</v>
      </c>
      <c r="E248">
        <v>118</v>
      </c>
      <c r="F248">
        <v>64029.89</v>
      </c>
    </row>
    <row r="249" spans="1:6" hidden="1" x14ac:dyDescent="0.3">
      <c r="A249">
        <v>2022</v>
      </c>
      <c r="B249">
        <v>8</v>
      </c>
      <c r="C249" s="105" t="s">
        <v>44</v>
      </c>
      <c r="D249" s="105" t="s">
        <v>37</v>
      </c>
      <c r="E249">
        <v>99</v>
      </c>
      <c r="F249">
        <v>56385.62</v>
      </c>
    </row>
    <row r="250" spans="1:6" hidden="1" x14ac:dyDescent="0.3">
      <c r="A250">
        <v>2022</v>
      </c>
      <c r="B250">
        <v>9</v>
      </c>
      <c r="C250" s="105" t="s">
        <v>45</v>
      </c>
      <c r="D250" s="105" t="s">
        <v>7</v>
      </c>
      <c r="E250">
        <v>27</v>
      </c>
      <c r="F250">
        <v>21684.39</v>
      </c>
    </row>
    <row r="251" spans="1:6" hidden="1" x14ac:dyDescent="0.3">
      <c r="A251">
        <v>2022</v>
      </c>
      <c r="B251">
        <v>9</v>
      </c>
      <c r="C251" s="105" t="s">
        <v>45</v>
      </c>
      <c r="D251" s="105" t="s">
        <v>8</v>
      </c>
      <c r="E251">
        <v>19</v>
      </c>
      <c r="F251">
        <v>11389.71</v>
      </c>
    </row>
    <row r="252" spans="1:6" hidden="1" x14ac:dyDescent="0.3">
      <c r="A252">
        <v>2022</v>
      </c>
      <c r="B252">
        <v>9</v>
      </c>
      <c r="C252" s="105" t="s">
        <v>45</v>
      </c>
      <c r="D252" s="105" t="s">
        <v>9</v>
      </c>
      <c r="E252">
        <v>18</v>
      </c>
      <c r="F252">
        <v>8208.77</v>
      </c>
    </row>
    <row r="253" spans="1:6" hidden="1" x14ac:dyDescent="0.3">
      <c r="A253">
        <v>2022</v>
      </c>
      <c r="B253">
        <v>9</v>
      </c>
      <c r="C253" s="105" t="s">
        <v>45</v>
      </c>
      <c r="D253" s="105" t="s">
        <v>10</v>
      </c>
      <c r="E253">
        <v>57</v>
      </c>
      <c r="F253">
        <v>49648.42</v>
      </c>
    </row>
    <row r="254" spans="1:6" hidden="1" x14ac:dyDescent="0.3">
      <c r="A254">
        <v>2022</v>
      </c>
      <c r="B254">
        <v>9</v>
      </c>
      <c r="C254" s="105" t="s">
        <v>45</v>
      </c>
      <c r="D254" s="105" t="s">
        <v>11</v>
      </c>
      <c r="E254">
        <v>126</v>
      </c>
      <c r="F254">
        <v>67161.179999999993</v>
      </c>
    </row>
    <row r="255" spans="1:6" hidden="1" x14ac:dyDescent="0.3">
      <c r="A255">
        <v>2022</v>
      </c>
      <c r="B255">
        <v>9</v>
      </c>
      <c r="C255" s="105" t="s">
        <v>45</v>
      </c>
      <c r="D255" s="105" t="s">
        <v>12</v>
      </c>
      <c r="E255">
        <v>50</v>
      </c>
      <c r="F255">
        <v>31010.11</v>
      </c>
    </row>
    <row r="256" spans="1:6" hidden="1" x14ac:dyDescent="0.3">
      <c r="A256">
        <v>2022</v>
      </c>
      <c r="B256">
        <v>9</v>
      </c>
      <c r="C256" s="105" t="s">
        <v>45</v>
      </c>
      <c r="D256" s="105" t="s">
        <v>13</v>
      </c>
      <c r="E256">
        <v>125</v>
      </c>
      <c r="F256">
        <v>61454.34</v>
      </c>
    </row>
    <row r="257" spans="1:6" hidden="1" x14ac:dyDescent="0.3">
      <c r="A257">
        <v>2022</v>
      </c>
      <c r="B257">
        <v>9</v>
      </c>
      <c r="C257" s="105" t="s">
        <v>45</v>
      </c>
      <c r="D257" s="105" t="s">
        <v>14</v>
      </c>
      <c r="E257">
        <v>56</v>
      </c>
      <c r="F257">
        <v>30930.77</v>
      </c>
    </row>
    <row r="258" spans="1:6" hidden="1" x14ac:dyDescent="0.3">
      <c r="A258">
        <v>2022</v>
      </c>
      <c r="B258">
        <v>9</v>
      </c>
      <c r="C258" s="105" t="s">
        <v>45</v>
      </c>
      <c r="D258" s="105" t="s">
        <v>15</v>
      </c>
      <c r="E258">
        <v>8</v>
      </c>
      <c r="F258">
        <v>4226</v>
      </c>
    </row>
    <row r="259" spans="1:6" hidden="1" x14ac:dyDescent="0.3">
      <c r="A259">
        <v>2022</v>
      </c>
      <c r="B259">
        <v>9</v>
      </c>
      <c r="C259" s="105" t="s">
        <v>45</v>
      </c>
      <c r="D259" s="105" t="s">
        <v>16</v>
      </c>
      <c r="E259">
        <v>17</v>
      </c>
      <c r="F259">
        <v>9294</v>
      </c>
    </row>
    <row r="260" spans="1:6" hidden="1" x14ac:dyDescent="0.3">
      <c r="A260">
        <v>2022</v>
      </c>
      <c r="B260">
        <v>9</v>
      </c>
      <c r="C260" s="105" t="s">
        <v>45</v>
      </c>
      <c r="D260" s="105" t="s">
        <v>17</v>
      </c>
      <c r="E260">
        <v>120</v>
      </c>
      <c r="F260">
        <v>67465.69</v>
      </c>
    </row>
    <row r="261" spans="1:6" hidden="1" x14ac:dyDescent="0.3">
      <c r="A261">
        <v>2022</v>
      </c>
      <c r="B261">
        <v>9</v>
      </c>
      <c r="C261" s="105" t="s">
        <v>45</v>
      </c>
      <c r="D261" s="105" t="s">
        <v>18</v>
      </c>
      <c r="E261">
        <v>518</v>
      </c>
      <c r="F261">
        <v>269916.56</v>
      </c>
    </row>
    <row r="262" spans="1:6" hidden="1" x14ac:dyDescent="0.3">
      <c r="A262">
        <v>2022</v>
      </c>
      <c r="B262">
        <v>9</v>
      </c>
      <c r="C262" s="105" t="s">
        <v>45</v>
      </c>
      <c r="D262" s="105" t="s">
        <v>19</v>
      </c>
      <c r="E262">
        <v>10</v>
      </c>
      <c r="F262">
        <v>5411</v>
      </c>
    </row>
    <row r="263" spans="1:6" x14ac:dyDescent="0.3">
      <c r="A263">
        <v>2022</v>
      </c>
      <c r="B263">
        <v>9</v>
      </c>
      <c r="C263" s="105" t="s">
        <v>45</v>
      </c>
      <c r="D263" s="105" t="s">
        <v>20</v>
      </c>
      <c r="E263">
        <v>68</v>
      </c>
      <c r="F263">
        <v>44583.33</v>
      </c>
    </row>
    <row r="264" spans="1:6" hidden="1" x14ac:dyDescent="0.3">
      <c r="A264">
        <v>2022</v>
      </c>
      <c r="B264">
        <v>9</v>
      </c>
      <c r="C264" s="105" t="s">
        <v>45</v>
      </c>
      <c r="D264" s="105" t="s">
        <v>21</v>
      </c>
      <c r="E264">
        <v>164</v>
      </c>
      <c r="F264">
        <v>79315.69</v>
      </c>
    </row>
    <row r="265" spans="1:6" hidden="1" x14ac:dyDescent="0.3">
      <c r="A265">
        <v>2022</v>
      </c>
      <c r="B265">
        <v>9</v>
      </c>
      <c r="C265" s="105" t="s">
        <v>45</v>
      </c>
      <c r="D265" s="105" t="s">
        <v>22</v>
      </c>
      <c r="E265">
        <v>31</v>
      </c>
      <c r="F265">
        <v>18111.8</v>
      </c>
    </row>
    <row r="266" spans="1:6" hidden="1" x14ac:dyDescent="0.3">
      <c r="A266">
        <v>2022</v>
      </c>
      <c r="B266">
        <v>9</v>
      </c>
      <c r="C266" s="105" t="s">
        <v>45</v>
      </c>
      <c r="D266" s="105" t="s">
        <v>23</v>
      </c>
      <c r="E266">
        <v>15</v>
      </c>
      <c r="F266">
        <v>14235.65</v>
      </c>
    </row>
    <row r="267" spans="1:6" hidden="1" x14ac:dyDescent="0.3">
      <c r="A267">
        <v>2022</v>
      </c>
      <c r="B267">
        <v>9</v>
      </c>
      <c r="C267" s="105" t="s">
        <v>45</v>
      </c>
      <c r="D267" s="105" t="s">
        <v>24</v>
      </c>
      <c r="E267">
        <v>61</v>
      </c>
      <c r="F267">
        <v>37567.94</v>
      </c>
    </row>
    <row r="268" spans="1:6" hidden="1" x14ac:dyDescent="0.3">
      <c r="A268">
        <v>2022</v>
      </c>
      <c r="B268">
        <v>9</v>
      </c>
      <c r="C268" s="105" t="s">
        <v>45</v>
      </c>
      <c r="D268" s="105" t="s">
        <v>25</v>
      </c>
      <c r="E268">
        <v>97</v>
      </c>
      <c r="F268">
        <v>67672.2</v>
      </c>
    </row>
    <row r="269" spans="1:6" hidden="1" x14ac:dyDescent="0.3">
      <c r="A269">
        <v>2022</v>
      </c>
      <c r="B269">
        <v>9</v>
      </c>
      <c r="C269" s="105" t="s">
        <v>45</v>
      </c>
      <c r="D269" s="105" t="s">
        <v>26</v>
      </c>
      <c r="E269">
        <v>43</v>
      </c>
      <c r="F269">
        <v>18126.84</v>
      </c>
    </row>
    <row r="270" spans="1:6" hidden="1" x14ac:dyDescent="0.3">
      <c r="A270">
        <v>2022</v>
      </c>
      <c r="B270">
        <v>9</v>
      </c>
      <c r="C270" s="105" t="s">
        <v>45</v>
      </c>
      <c r="D270" s="105" t="s">
        <v>27</v>
      </c>
      <c r="E270">
        <v>57</v>
      </c>
      <c r="F270">
        <v>36663.269999999997</v>
      </c>
    </row>
    <row r="271" spans="1:6" hidden="1" x14ac:dyDescent="0.3">
      <c r="A271">
        <v>2022</v>
      </c>
      <c r="B271">
        <v>9</v>
      </c>
      <c r="C271" s="105" t="s">
        <v>45</v>
      </c>
      <c r="D271" s="105" t="s">
        <v>28</v>
      </c>
      <c r="E271">
        <v>6</v>
      </c>
      <c r="F271">
        <v>3322</v>
      </c>
    </row>
    <row r="272" spans="1:6" hidden="1" x14ac:dyDescent="0.3">
      <c r="A272">
        <v>2022</v>
      </c>
      <c r="B272">
        <v>9</v>
      </c>
      <c r="C272" s="105" t="s">
        <v>45</v>
      </c>
      <c r="D272" s="105" t="s">
        <v>29</v>
      </c>
      <c r="E272">
        <v>119</v>
      </c>
      <c r="F272">
        <v>53671.85</v>
      </c>
    </row>
    <row r="273" spans="1:6" hidden="1" x14ac:dyDescent="0.3">
      <c r="A273">
        <v>2022</v>
      </c>
      <c r="B273">
        <v>9</v>
      </c>
      <c r="C273" s="105" t="s">
        <v>45</v>
      </c>
      <c r="D273" s="105" t="s">
        <v>30</v>
      </c>
      <c r="E273">
        <v>11</v>
      </c>
      <c r="F273">
        <v>6213.5</v>
      </c>
    </row>
    <row r="274" spans="1:6" hidden="1" x14ac:dyDescent="0.3">
      <c r="A274">
        <v>2022</v>
      </c>
      <c r="B274">
        <v>9</v>
      </c>
      <c r="C274" s="105" t="s">
        <v>45</v>
      </c>
      <c r="D274" s="105" t="s">
        <v>31</v>
      </c>
      <c r="E274">
        <v>238</v>
      </c>
      <c r="F274">
        <v>166848.22</v>
      </c>
    </row>
    <row r="275" spans="1:6" hidden="1" x14ac:dyDescent="0.3">
      <c r="A275">
        <v>2022</v>
      </c>
      <c r="B275">
        <v>9</v>
      </c>
      <c r="C275" s="105" t="s">
        <v>45</v>
      </c>
      <c r="D275" s="105" t="s">
        <v>32</v>
      </c>
      <c r="E275">
        <v>22</v>
      </c>
      <c r="F275">
        <v>16094.88</v>
      </c>
    </row>
    <row r="276" spans="1:6" hidden="1" x14ac:dyDescent="0.3">
      <c r="A276">
        <v>2022</v>
      </c>
      <c r="B276">
        <v>9</v>
      </c>
      <c r="C276" s="105" t="s">
        <v>45</v>
      </c>
      <c r="D276" s="105" t="s">
        <v>33</v>
      </c>
      <c r="E276">
        <v>128</v>
      </c>
      <c r="F276">
        <v>108317.68</v>
      </c>
    </row>
    <row r="277" spans="1:6" hidden="1" x14ac:dyDescent="0.3">
      <c r="A277">
        <v>2022</v>
      </c>
      <c r="B277">
        <v>9</v>
      </c>
      <c r="C277" s="105" t="s">
        <v>45</v>
      </c>
      <c r="D277" s="105" t="s">
        <v>34</v>
      </c>
      <c r="E277">
        <v>135</v>
      </c>
      <c r="F277">
        <v>68257.86</v>
      </c>
    </row>
    <row r="278" spans="1:6" hidden="1" x14ac:dyDescent="0.3">
      <c r="A278">
        <v>2022</v>
      </c>
      <c r="B278">
        <v>9</v>
      </c>
      <c r="C278" s="105" t="s">
        <v>45</v>
      </c>
      <c r="D278" s="105" t="s">
        <v>35</v>
      </c>
      <c r="E278">
        <v>77</v>
      </c>
      <c r="F278">
        <v>37704.94</v>
      </c>
    </row>
    <row r="279" spans="1:6" hidden="1" x14ac:dyDescent="0.3">
      <c r="A279">
        <v>2022</v>
      </c>
      <c r="B279">
        <v>9</v>
      </c>
      <c r="C279" s="105" t="s">
        <v>45</v>
      </c>
      <c r="D279" s="105" t="s">
        <v>36</v>
      </c>
      <c r="E279">
        <v>74</v>
      </c>
      <c r="F279">
        <v>43728.959999999999</v>
      </c>
    </row>
    <row r="280" spans="1:6" hidden="1" x14ac:dyDescent="0.3">
      <c r="A280">
        <v>2022</v>
      </c>
      <c r="B280">
        <v>9</v>
      </c>
      <c r="C280" s="105" t="s">
        <v>45</v>
      </c>
      <c r="D280" s="105" t="s">
        <v>37</v>
      </c>
      <c r="E280">
        <v>113</v>
      </c>
      <c r="F280">
        <v>56873.599999999999</v>
      </c>
    </row>
    <row r="281" spans="1:6" hidden="1" x14ac:dyDescent="0.3">
      <c r="A281">
        <v>2022</v>
      </c>
      <c r="B281">
        <v>10</v>
      </c>
      <c r="C281" s="105" t="s">
        <v>46</v>
      </c>
      <c r="D281" s="105" t="s">
        <v>7</v>
      </c>
      <c r="E281">
        <v>59</v>
      </c>
      <c r="F281">
        <v>38957.910000000003</v>
      </c>
    </row>
    <row r="282" spans="1:6" hidden="1" x14ac:dyDescent="0.3">
      <c r="A282">
        <v>2022</v>
      </c>
      <c r="B282">
        <v>10</v>
      </c>
      <c r="C282" s="105" t="s">
        <v>46</v>
      </c>
      <c r="D282" s="105" t="s">
        <v>8</v>
      </c>
      <c r="E282">
        <v>33</v>
      </c>
      <c r="F282">
        <v>17581</v>
      </c>
    </row>
    <row r="283" spans="1:6" hidden="1" x14ac:dyDescent="0.3">
      <c r="A283">
        <v>2022</v>
      </c>
      <c r="B283">
        <v>10</v>
      </c>
      <c r="C283" s="105" t="s">
        <v>46</v>
      </c>
      <c r="D283" s="105" t="s">
        <v>9</v>
      </c>
      <c r="E283">
        <v>13</v>
      </c>
      <c r="F283">
        <v>8459</v>
      </c>
    </row>
    <row r="284" spans="1:6" hidden="1" x14ac:dyDescent="0.3">
      <c r="A284">
        <v>2022</v>
      </c>
      <c r="B284">
        <v>10</v>
      </c>
      <c r="C284" s="105" t="s">
        <v>46</v>
      </c>
      <c r="D284" s="105" t="s">
        <v>10</v>
      </c>
      <c r="E284">
        <v>113</v>
      </c>
      <c r="F284">
        <v>57127.79</v>
      </c>
    </row>
    <row r="285" spans="1:6" hidden="1" x14ac:dyDescent="0.3">
      <c r="A285">
        <v>2022</v>
      </c>
      <c r="B285">
        <v>10</v>
      </c>
      <c r="C285" s="105" t="s">
        <v>46</v>
      </c>
      <c r="D285" s="105" t="s">
        <v>11</v>
      </c>
      <c r="E285">
        <v>88</v>
      </c>
      <c r="F285">
        <v>46658.6</v>
      </c>
    </row>
    <row r="286" spans="1:6" hidden="1" x14ac:dyDescent="0.3">
      <c r="A286">
        <v>2022</v>
      </c>
      <c r="B286">
        <v>10</v>
      </c>
      <c r="C286" s="105" t="s">
        <v>46</v>
      </c>
      <c r="D286" s="105" t="s">
        <v>12</v>
      </c>
      <c r="E286">
        <v>63</v>
      </c>
      <c r="F286">
        <v>34879.58</v>
      </c>
    </row>
    <row r="287" spans="1:6" hidden="1" x14ac:dyDescent="0.3">
      <c r="A287">
        <v>2022</v>
      </c>
      <c r="B287">
        <v>10</v>
      </c>
      <c r="C287" s="105" t="s">
        <v>46</v>
      </c>
      <c r="D287" s="105" t="s">
        <v>13</v>
      </c>
      <c r="E287">
        <v>117</v>
      </c>
      <c r="F287">
        <v>60103.92</v>
      </c>
    </row>
    <row r="288" spans="1:6" hidden="1" x14ac:dyDescent="0.3">
      <c r="A288">
        <v>2022</v>
      </c>
      <c r="B288">
        <v>10</v>
      </c>
      <c r="C288" s="105" t="s">
        <v>46</v>
      </c>
      <c r="D288" s="105" t="s">
        <v>14</v>
      </c>
      <c r="E288">
        <v>58</v>
      </c>
      <c r="F288">
        <v>35310.370000000003</v>
      </c>
    </row>
    <row r="289" spans="1:6" hidden="1" x14ac:dyDescent="0.3">
      <c r="A289">
        <v>2022</v>
      </c>
      <c r="B289">
        <v>10</v>
      </c>
      <c r="C289" s="105" t="s">
        <v>46</v>
      </c>
      <c r="D289" s="105" t="s">
        <v>15</v>
      </c>
      <c r="E289">
        <v>9</v>
      </c>
      <c r="F289">
        <v>7513</v>
      </c>
    </row>
    <row r="290" spans="1:6" hidden="1" x14ac:dyDescent="0.3">
      <c r="A290">
        <v>2022</v>
      </c>
      <c r="B290">
        <v>10</v>
      </c>
      <c r="C290" s="105" t="s">
        <v>46</v>
      </c>
      <c r="D290" s="105" t="s">
        <v>16</v>
      </c>
      <c r="E290">
        <v>16</v>
      </c>
      <c r="F290">
        <v>10985.84</v>
      </c>
    </row>
    <row r="291" spans="1:6" hidden="1" x14ac:dyDescent="0.3">
      <c r="A291">
        <v>2022</v>
      </c>
      <c r="B291">
        <v>10</v>
      </c>
      <c r="C291" s="105" t="s">
        <v>46</v>
      </c>
      <c r="D291" s="105" t="s">
        <v>17</v>
      </c>
      <c r="E291">
        <v>53</v>
      </c>
      <c r="F291">
        <v>40177.599999999999</v>
      </c>
    </row>
    <row r="292" spans="1:6" hidden="1" x14ac:dyDescent="0.3">
      <c r="A292">
        <v>2022</v>
      </c>
      <c r="B292">
        <v>10</v>
      </c>
      <c r="C292" s="105" t="s">
        <v>46</v>
      </c>
      <c r="D292" s="105" t="s">
        <v>18</v>
      </c>
      <c r="E292">
        <v>136</v>
      </c>
      <c r="F292">
        <v>87887.26</v>
      </c>
    </row>
    <row r="293" spans="1:6" hidden="1" x14ac:dyDescent="0.3">
      <c r="A293">
        <v>2022</v>
      </c>
      <c r="B293">
        <v>10</v>
      </c>
      <c r="C293" s="105" t="s">
        <v>46</v>
      </c>
      <c r="D293" s="105" t="s">
        <v>19</v>
      </c>
      <c r="E293">
        <v>5</v>
      </c>
      <c r="F293">
        <v>2255</v>
      </c>
    </row>
    <row r="294" spans="1:6" x14ac:dyDescent="0.3">
      <c r="A294">
        <v>2022</v>
      </c>
      <c r="B294">
        <v>10</v>
      </c>
      <c r="C294" s="105" t="s">
        <v>46</v>
      </c>
      <c r="D294" s="105" t="s">
        <v>20</v>
      </c>
      <c r="E294">
        <v>97</v>
      </c>
      <c r="F294">
        <v>62504.86</v>
      </c>
    </row>
    <row r="295" spans="1:6" hidden="1" x14ac:dyDescent="0.3">
      <c r="A295">
        <v>2022</v>
      </c>
      <c r="B295">
        <v>10</v>
      </c>
      <c r="C295" s="105" t="s">
        <v>46</v>
      </c>
      <c r="D295" s="105" t="s">
        <v>21</v>
      </c>
      <c r="E295">
        <v>118</v>
      </c>
      <c r="F295">
        <v>81537.679999999993</v>
      </c>
    </row>
    <row r="296" spans="1:6" hidden="1" x14ac:dyDescent="0.3">
      <c r="A296">
        <v>2022</v>
      </c>
      <c r="B296">
        <v>10</v>
      </c>
      <c r="C296" s="105" t="s">
        <v>46</v>
      </c>
      <c r="D296" s="105" t="s">
        <v>22</v>
      </c>
      <c r="E296">
        <v>25</v>
      </c>
      <c r="F296">
        <v>14431.86</v>
      </c>
    </row>
    <row r="297" spans="1:6" hidden="1" x14ac:dyDescent="0.3">
      <c r="A297">
        <v>2022</v>
      </c>
      <c r="B297">
        <v>10</v>
      </c>
      <c r="C297" s="105" t="s">
        <v>46</v>
      </c>
      <c r="D297" s="105" t="s">
        <v>23</v>
      </c>
      <c r="E297">
        <v>23</v>
      </c>
      <c r="F297">
        <v>17616.25</v>
      </c>
    </row>
    <row r="298" spans="1:6" hidden="1" x14ac:dyDescent="0.3">
      <c r="A298">
        <v>2022</v>
      </c>
      <c r="B298">
        <v>10</v>
      </c>
      <c r="C298" s="105" t="s">
        <v>46</v>
      </c>
      <c r="D298" s="105" t="s">
        <v>24</v>
      </c>
      <c r="E298">
        <v>45</v>
      </c>
      <c r="F298">
        <v>27389.9</v>
      </c>
    </row>
    <row r="299" spans="1:6" hidden="1" x14ac:dyDescent="0.3">
      <c r="A299">
        <v>2022</v>
      </c>
      <c r="B299">
        <v>10</v>
      </c>
      <c r="C299" s="105" t="s">
        <v>46</v>
      </c>
      <c r="D299" s="105" t="s">
        <v>25</v>
      </c>
      <c r="E299">
        <v>76</v>
      </c>
      <c r="F299">
        <v>47303.35</v>
      </c>
    </row>
    <row r="300" spans="1:6" hidden="1" x14ac:dyDescent="0.3">
      <c r="A300">
        <v>2022</v>
      </c>
      <c r="B300">
        <v>10</v>
      </c>
      <c r="C300" s="105" t="s">
        <v>46</v>
      </c>
      <c r="D300" s="105" t="s">
        <v>26</v>
      </c>
      <c r="E300">
        <v>47</v>
      </c>
      <c r="F300">
        <v>21861.97</v>
      </c>
    </row>
    <row r="301" spans="1:6" hidden="1" x14ac:dyDescent="0.3">
      <c r="A301">
        <v>2022</v>
      </c>
      <c r="B301">
        <v>10</v>
      </c>
      <c r="C301" s="105" t="s">
        <v>46</v>
      </c>
      <c r="D301" s="105" t="s">
        <v>27</v>
      </c>
      <c r="E301">
        <v>51</v>
      </c>
      <c r="F301">
        <v>33680.28</v>
      </c>
    </row>
    <row r="302" spans="1:6" hidden="1" x14ac:dyDescent="0.3">
      <c r="A302">
        <v>2022</v>
      </c>
      <c r="B302">
        <v>10</v>
      </c>
      <c r="C302" s="105" t="s">
        <v>46</v>
      </c>
      <c r="D302" s="105" t="s">
        <v>28</v>
      </c>
      <c r="E302">
        <v>6</v>
      </c>
      <c r="F302">
        <v>3790</v>
      </c>
    </row>
    <row r="303" spans="1:6" hidden="1" x14ac:dyDescent="0.3">
      <c r="A303">
        <v>2022</v>
      </c>
      <c r="B303">
        <v>10</v>
      </c>
      <c r="C303" s="105" t="s">
        <v>46</v>
      </c>
      <c r="D303" s="105" t="s">
        <v>29</v>
      </c>
      <c r="E303">
        <v>102</v>
      </c>
      <c r="F303">
        <v>68687.05</v>
      </c>
    </row>
    <row r="304" spans="1:6" hidden="1" x14ac:dyDescent="0.3">
      <c r="A304">
        <v>2022</v>
      </c>
      <c r="B304">
        <v>10</v>
      </c>
      <c r="C304" s="105" t="s">
        <v>46</v>
      </c>
      <c r="D304" s="105" t="s">
        <v>30</v>
      </c>
      <c r="E304">
        <v>13</v>
      </c>
      <c r="F304">
        <v>8221.75</v>
      </c>
    </row>
    <row r="305" spans="1:6" hidden="1" x14ac:dyDescent="0.3">
      <c r="A305">
        <v>2022</v>
      </c>
      <c r="B305">
        <v>10</v>
      </c>
      <c r="C305" s="105" t="s">
        <v>46</v>
      </c>
      <c r="D305" s="105" t="s">
        <v>31</v>
      </c>
      <c r="E305">
        <v>508</v>
      </c>
      <c r="F305">
        <v>325454.90999999997</v>
      </c>
    </row>
    <row r="306" spans="1:6" hidden="1" x14ac:dyDescent="0.3">
      <c r="A306">
        <v>2022</v>
      </c>
      <c r="B306">
        <v>10</v>
      </c>
      <c r="C306" s="105" t="s">
        <v>46</v>
      </c>
      <c r="D306" s="105" t="s">
        <v>32</v>
      </c>
      <c r="E306">
        <v>15</v>
      </c>
      <c r="F306">
        <v>11937.85</v>
      </c>
    </row>
    <row r="307" spans="1:6" hidden="1" x14ac:dyDescent="0.3">
      <c r="A307">
        <v>2022</v>
      </c>
      <c r="B307">
        <v>10</v>
      </c>
      <c r="C307" s="105" t="s">
        <v>46</v>
      </c>
      <c r="D307" s="105" t="s">
        <v>33</v>
      </c>
      <c r="E307">
        <v>146</v>
      </c>
      <c r="F307">
        <v>124402.5</v>
      </c>
    </row>
    <row r="308" spans="1:6" hidden="1" x14ac:dyDescent="0.3">
      <c r="A308">
        <v>2022</v>
      </c>
      <c r="B308">
        <v>10</v>
      </c>
      <c r="C308" s="105" t="s">
        <v>46</v>
      </c>
      <c r="D308" s="105" t="s">
        <v>34</v>
      </c>
      <c r="E308">
        <v>124</v>
      </c>
      <c r="F308">
        <v>66770.64</v>
      </c>
    </row>
    <row r="309" spans="1:6" hidden="1" x14ac:dyDescent="0.3">
      <c r="A309">
        <v>2022</v>
      </c>
      <c r="B309">
        <v>10</v>
      </c>
      <c r="C309" s="105" t="s">
        <v>46</v>
      </c>
      <c r="D309" s="105" t="s">
        <v>35</v>
      </c>
      <c r="E309">
        <v>69</v>
      </c>
      <c r="F309">
        <v>32828.120000000003</v>
      </c>
    </row>
    <row r="310" spans="1:6" hidden="1" x14ac:dyDescent="0.3">
      <c r="A310">
        <v>2022</v>
      </c>
      <c r="B310">
        <v>10</v>
      </c>
      <c r="C310" s="105" t="s">
        <v>46</v>
      </c>
      <c r="D310" s="105" t="s">
        <v>36</v>
      </c>
      <c r="E310">
        <v>75</v>
      </c>
      <c r="F310">
        <v>51135.91</v>
      </c>
    </row>
    <row r="311" spans="1:6" hidden="1" x14ac:dyDescent="0.3">
      <c r="A311">
        <v>2022</v>
      </c>
      <c r="B311">
        <v>10</v>
      </c>
      <c r="C311" s="105" t="s">
        <v>46</v>
      </c>
      <c r="D311" s="105" t="s">
        <v>37</v>
      </c>
      <c r="E311">
        <v>82</v>
      </c>
      <c r="F311">
        <v>53780.97</v>
      </c>
    </row>
    <row r="312" spans="1:6" hidden="1" x14ac:dyDescent="0.3">
      <c r="A312">
        <v>2022</v>
      </c>
      <c r="B312">
        <v>11</v>
      </c>
      <c r="C312" s="105" t="s">
        <v>47</v>
      </c>
      <c r="D312" s="105" t="s">
        <v>7</v>
      </c>
      <c r="E312">
        <v>18</v>
      </c>
      <c r="F312">
        <v>14993.22</v>
      </c>
    </row>
    <row r="313" spans="1:6" hidden="1" x14ac:dyDescent="0.3">
      <c r="A313">
        <v>2022</v>
      </c>
      <c r="B313">
        <v>11</v>
      </c>
      <c r="C313" s="105" t="s">
        <v>47</v>
      </c>
      <c r="D313" s="105" t="s">
        <v>8</v>
      </c>
      <c r="E313">
        <v>18</v>
      </c>
      <c r="F313">
        <v>10133.84</v>
      </c>
    </row>
    <row r="314" spans="1:6" hidden="1" x14ac:dyDescent="0.3">
      <c r="A314">
        <v>2022</v>
      </c>
      <c r="B314">
        <v>11</v>
      </c>
      <c r="C314" s="105" t="s">
        <v>47</v>
      </c>
      <c r="D314" s="105" t="s">
        <v>9</v>
      </c>
      <c r="E314">
        <v>8</v>
      </c>
      <c r="F314">
        <v>6050.8</v>
      </c>
    </row>
    <row r="315" spans="1:6" hidden="1" x14ac:dyDescent="0.3">
      <c r="A315">
        <v>2022</v>
      </c>
      <c r="B315">
        <v>11</v>
      </c>
      <c r="C315" s="105" t="s">
        <v>47</v>
      </c>
      <c r="D315" s="105" t="s">
        <v>10</v>
      </c>
      <c r="E315">
        <v>178</v>
      </c>
      <c r="F315">
        <v>75349.100000000006</v>
      </c>
    </row>
    <row r="316" spans="1:6" hidden="1" x14ac:dyDescent="0.3">
      <c r="A316">
        <v>2022</v>
      </c>
      <c r="B316">
        <v>11</v>
      </c>
      <c r="C316" s="105" t="s">
        <v>47</v>
      </c>
      <c r="D316" s="105" t="s">
        <v>11</v>
      </c>
      <c r="E316">
        <v>58</v>
      </c>
      <c r="F316">
        <v>40710.370000000003</v>
      </c>
    </row>
    <row r="317" spans="1:6" hidden="1" x14ac:dyDescent="0.3">
      <c r="A317">
        <v>2022</v>
      </c>
      <c r="B317">
        <v>11</v>
      </c>
      <c r="C317" s="105" t="s">
        <v>47</v>
      </c>
      <c r="D317" s="105" t="s">
        <v>12</v>
      </c>
      <c r="E317">
        <v>44</v>
      </c>
      <c r="F317">
        <v>26481</v>
      </c>
    </row>
    <row r="318" spans="1:6" hidden="1" x14ac:dyDescent="0.3">
      <c r="A318">
        <v>2022</v>
      </c>
      <c r="B318">
        <v>11</v>
      </c>
      <c r="C318" s="105" t="s">
        <v>47</v>
      </c>
      <c r="D318" s="105" t="s">
        <v>13</v>
      </c>
      <c r="E318">
        <v>75</v>
      </c>
      <c r="F318">
        <v>46784.21</v>
      </c>
    </row>
    <row r="319" spans="1:6" hidden="1" x14ac:dyDescent="0.3">
      <c r="A319">
        <v>2022</v>
      </c>
      <c r="B319">
        <v>11</v>
      </c>
      <c r="C319" s="105" t="s">
        <v>47</v>
      </c>
      <c r="D319" s="105" t="s">
        <v>14</v>
      </c>
      <c r="E319">
        <v>34</v>
      </c>
      <c r="F319">
        <v>17569.29</v>
      </c>
    </row>
    <row r="320" spans="1:6" hidden="1" x14ac:dyDescent="0.3">
      <c r="A320">
        <v>2022</v>
      </c>
      <c r="B320">
        <v>11</v>
      </c>
      <c r="C320" s="105" t="s">
        <v>47</v>
      </c>
      <c r="D320" s="105" t="s">
        <v>15</v>
      </c>
      <c r="E320">
        <v>29</v>
      </c>
      <c r="F320">
        <v>11099.5</v>
      </c>
    </row>
    <row r="321" spans="1:6" hidden="1" x14ac:dyDescent="0.3">
      <c r="A321">
        <v>2022</v>
      </c>
      <c r="B321">
        <v>11</v>
      </c>
      <c r="C321" s="105" t="s">
        <v>47</v>
      </c>
      <c r="D321" s="105" t="s">
        <v>16</v>
      </c>
      <c r="E321">
        <v>18</v>
      </c>
      <c r="F321">
        <v>6914</v>
      </c>
    </row>
    <row r="322" spans="1:6" hidden="1" x14ac:dyDescent="0.3">
      <c r="A322">
        <v>2022</v>
      </c>
      <c r="B322">
        <v>11</v>
      </c>
      <c r="C322" s="105" t="s">
        <v>47</v>
      </c>
      <c r="D322" s="105" t="s">
        <v>17</v>
      </c>
      <c r="E322">
        <v>92</v>
      </c>
      <c r="F322">
        <v>47949.08</v>
      </c>
    </row>
    <row r="323" spans="1:6" hidden="1" x14ac:dyDescent="0.3">
      <c r="A323">
        <v>2022</v>
      </c>
      <c r="B323">
        <v>11</v>
      </c>
      <c r="C323" s="105" t="s">
        <v>47</v>
      </c>
      <c r="D323" s="105" t="s">
        <v>18</v>
      </c>
      <c r="E323">
        <v>91</v>
      </c>
      <c r="F323">
        <v>70730.34</v>
      </c>
    </row>
    <row r="324" spans="1:6" hidden="1" x14ac:dyDescent="0.3">
      <c r="A324">
        <v>2022</v>
      </c>
      <c r="B324">
        <v>11</v>
      </c>
      <c r="C324" s="105" t="s">
        <v>47</v>
      </c>
      <c r="D324" s="105" t="s">
        <v>19</v>
      </c>
      <c r="E324">
        <v>16</v>
      </c>
      <c r="F324">
        <v>8807.73</v>
      </c>
    </row>
    <row r="325" spans="1:6" x14ac:dyDescent="0.3">
      <c r="A325">
        <v>2022</v>
      </c>
      <c r="B325">
        <v>11</v>
      </c>
      <c r="C325" s="105" t="s">
        <v>47</v>
      </c>
      <c r="D325" s="105" t="s">
        <v>20</v>
      </c>
      <c r="E325">
        <v>66</v>
      </c>
      <c r="F325">
        <v>45792.12</v>
      </c>
    </row>
    <row r="326" spans="1:6" hidden="1" x14ac:dyDescent="0.3">
      <c r="A326">
        <v>2022</v>
      </c>
      <c r="B326">
        <v>11</v>
      </c>
      <c r="C326" s="105" t="s">
        <v>47</v>
      </c>
      <c r="D326" s="105" t="s">
        <v>21</v>
      </c>
      <c r="E326">
        <v>100</v>
      </c>
      <c r="F326">
        <v>77952.67</v>
      </c>
    </row>
    <row r="327" spans="1:6" hidden="1" x14ac:dyDescent="0.3">
      <c r="A327">
        <v>2022</v>
      </c>
      <c r="B327">
        <v>11</v>
      </c>
      <c r="C327" s="105" t="s">
        <v>47</v>
      </c>
      <c r="D327" s="105" t="s">
        <v>22</v>
      </c>
      <c r="E327">
        <v>28</v>
      </c>
      <c r="F327">
        <v>18627.27</v>
      </c>
    </row>
    <row r="328" spans="1:6" hidden="1" x14ac:dyDescent="0.3">
      <c r="A328">
        <v>2022</v>
      </c>
      <c r="B328">
        <v>11</v>
      </c>
      <c r="C328" s="105" t="s">
        <v>47</v>
      </c>
      <c r="D328" s="105" t="s">
        <v>23</v>
      </c>
      <c r="E328">
        <v>18</v>
      </c>
      <c r="F328">
        <v>18447.43</v>
      </c>
    </row>
    <row r="329" spans="1:6" hidden="1" x14ac:dyDescent="0.3">
      <c r="A329">
        <v>2022</v>
      </c>
      <c r="B329">
        <v>11</v>
      </c>
      <c r="C329" s="105" t="s">
        <v>47</v>
      </c>
      <c r="D329" s="105" t="s">
        <v>24</v>
      </c>
      <c r="E329">
        <v>47</v>
      </c>
      <c r="F329">
        <v>26812.9</v>
      </c>
    </row>
    <row r="330" spans="1:6" hidden="1" x14ac:dyDescent="0.3">
      <c r="A330">
        <v>2022</v>
      </c>
      <c r="B330">
        <v>11</v>
      </c>
      <c r="C330" s="105" t="s">
        <v>47</v>
      </c>
      <c r="D330" s="105" t="s">
        <v>25</v>
      </c>
      <c r="E330">
        <v>72</v>
      </c>
      <c r="F330">
        <v>57638.43</v>
      </c>
    </row>
    <row r="331" spans="1:6" hidden="1" x14ac:dyDescent="0.3">
      <c r="A331">
        <v>2022</v>
      </c>
      <c r="B331">
        <v>11</v>
      </c>
      <c r="C331" s="105" t="s">
        <v>47</v>
      </c>
      <c r="D331" s="105" t="s">
        <v>26</v>
      </c>
      <c r="E331">
        <v>26</v>
      </c>
      <c r="F331">
        <v>12234.16</v>
      </c>
    </row>
    <row r="332" spans="1:6" hidden="1" x14ac:dyDescent="0.3">
      <c r="A332">
        <v>2022</v>
      </c>
      <c r="B332">
        <v>11</v>
      </c>
      <c r="C332" s="105" t="s">
        <v>47</v>
      </c>
      <c r="D332" s="105" t="s">
        <v>27</v>
      </c>
      <c r="E332">
        <v>32</v>
      </c>
      <c r="F332">
        <v>23146.15</v>
      </c>
    </row>
    <row r="333" spans="1:6" hidden="1" x14ac:dyDescent="0.3">
      <c r="A333">
        <v>2022</v>
      </c>
      <c r="B333">
        <v>11</v>
      </c>
      <c r="C333" s="105" t="s">
        <v>47</v>
      </c>
      <c r="D333" s="105" t="s">
        <v>28</v>
      </c>
      <c r="E333">
        <v>7</v>
      </c>
      <c r="F333">
        <v>3783.25</v>
      </c>
    </row>
    <row r="334" spans="1:6" hidden="1" x14ac:dyDescent="0.3">
      <c r="A334">
        <v>2022</v>
      </c>
      <c r="B334">
        <v>11</v>
      </c>
      <c r="C334" s="105" t="s">
        <v>47</v>
      </c>
      <c r="D334" s="105" t="s">
        <v>29</v>
      </c>
      <c r="E334">
        <v>70</v>
      </c>
      <c r="F334">
        <v>49668.54</v>
      </c>
    </row>
    <row r="335" spans="1:6" hidden="1" x14ac:dyDescent="0.3">
      <c r="A335">
        <v>2022</v>
      </c>
      <c r="B335">
        <v>11</v>
      </c>
      <c r="C335" s="105" t="s">
        <v>47</v>
      </c>
      <c r="D335" s="105" t="s">
        <v>30</v>
      </c>
      <c r="E335">
        <v>10</v>
      </c>
      <c r="F335">
        <v>6015.55</v>
      </c>
    </row>
    <row r="336" spans="1:6" hidden="1" x14ac:dyDescent="0.3">
      <c r="A336">
        <v>2022</v>
      </c>
      <c r="B336">
        <v>11</v>
      </c>
      <c r="C336" s="105" t="s">
        <v>47</v>
      </c>
      <c r="D336" s="105" t="s">
        <v>31</v>
      </c>
      <c r="E336">
        <v>307</v>
      </c>
      <c r="F336">
        <v>139998.26999999999</v>
      </c>
    </row>
    <row r="337" spans="1:6" hidden="1" x14ac:dyDescent="0.3">
      <c r="A337">
        <v>2022</v>
      </c>
      <c r="B337">
        <v>11</v>
      </c>
      <c r="C337" s="105" t="s">
        <v>47</v>
      </c>
      <c r="D337" s="105" t="s">
        <v>32</v>
      </c>
      <c r="E337">
        <v>29</v>
      </c>
      <c r="F337">
        <v>16991</v>
      </c>
    </row>
    <row r="338" spans="1:6" hidden="1" x14ac:dyDescent="0.3">
      <c r="A338">
        <v>2022</v>
      </c>
      <c r="B338">
        <v>11</v>
      </c>
      <c r="C338" s="105" t="s">
        <v>47</v>
      </c>
      <c r="D338" s="105" t="s">
        <v>33</v>
      </c>
      <c r="E338">
        <v>809</v>
      </c>
      <c r="F338">
        <v>327503.35999999999</v>
      </c>
    </row>
    <row r="339" spans="1:6" hidden="1" x14ac:dyDescent="0.3">
      <c r="A339">
        <v>2022</v>
      </c>
      <c r="B339">
        <v>11</v>
      </c>
      <c r="C339" s="105" t="s">
        <v>47</v>
      </c>
      <c r="D339" s="105" t="s">
        <v>34</v>
      </c>
      <c r="E339">
        <v>58</v>
      </c>
      <c r="F339">
        <v>45976.09</v>
      </c>
    </row>
    <row r="340" spans="1:6" hidden="1" x14ac:dyDescent="0.3">
      <c r="A340">
        <v>2022</v>
      </c>
      <c r="B340">
        <v>11</v>
      </c>
      <c r="C340" s="105" t="s">
        <v>47</v>
      </c>
      <c r="D340" s="105" t="s">
        <v>35</v>
      </c>
      <c r="E340">
        <v>33</v>
      </c>
      <c r="F340">
        <v>22358.37</v>
      </c>
    </row>
    <row r="341" spans="1:6" hidden="1" x14ac:dyDescent="0.3">
      <c r="A341">
        <v>2022</v>
      </c>
      <c r="B341">
        <v>11</v>
      </c>
      <c r="C341" s="105" t="s">
        <v>47</v>
      </c>
      <c r="D341" s="105" t="s">
        <v>36</v>
      </c>
      <c r="E341">
        <v>68</v>
      </c>
      <c r="F341">
        <v>43786.5</v>
      </c>
    </row>
    <row r="342" spans="1:6" hidden="1" x14ac:dyDescent="0.3">
      <c r="A342">
        <v>2022</v>
      </c>
      <c r="B342">
        <v>11</v>
      </c>
      <c r="C342" s="105" t="s">
        <v>47</v>
      </c>
      <c r="D342" s="105" t="s">
        <v>37</v>
      </c>
      <c r="E342">
        <v>55</v>
      </c>
      <c r="F342">
        <v>46858.29</v>
      </c>
    </row>
    <row r="343" spans="1:6" hidden="1" x14ac:dyDescent="0.3">
      <c r="A343">
        <v>2022</v>
      </c>
      <c r="B343">
        <v>12</v>
      </c>
      <c r="C343" s="105" t="s">
        <v>48</v>
      </c>
      <c r="D343" s="105" t="s">
        <v>7</v>
      </c>
      <c r="E343">
        <v>107</v>
      </c>
      <c r="F343">
        <v>41090.51</v>
      </c>
    </row>
    <row r="344" spans="1:6" hidden="1" x14ac:dyDescent="0.3">
      <c r="A344">
        <v>2022</v>
      </c>
      <c r="B344">
        <v>12</v>
      </c>
      <c r="C344" s="105" t="s">
        <v>48</v>
      </c>
      <c r="D344" s="105" t="s">
        <v>8</v>
      </c>
      <c r="E344">
        <v>20</v>
      </c>
      <c r="F344">
        <v>12506.47</v>
      </c>
    </row>
    <row r="345" spans="1:6" hidden="1" x14ac:dyDescent="0.3">
      <c r="A345">
        <v>2022</v>
      </c>
      <c r="B345">
        <v>12</v>
      </c>
      <c r="C345" s="105" t="s">
        <v>48</v>
      </c>
      <c r="D345" s="105" t="s">
        <v>9</v>
      </c>
      <c r="E345">
        <v>13</v>
      </c>
      <c r="F345">
        <v>10745.16</v>
      </c>
    </row>
    <row r="346" spans="1:6" hidden="1" x14ac:dyDescent="0.3">
      <c r="A346">
        <v>2022</v>
      </c>
      <c r="B346">
        <v>12</v>
      </c>
      <c r="C346" s="105" t="s">
        <v>48</v>
      </c>
      <c r="D346" s="105" t="s">
        <v>10</v>
      </c>
      <c r="E346">
        <v>39</v>
      </c>
      <c r="F346">
        <v>39663.99</v>
      </c>
    </row>
    <row r="347" spans="1:6" hidden="1" x14ac:dyDescent="0.3">
      <c r="A347">
        <v>2022</v>
      </c>
      <c r="B347">
        <v>12</v>
      </c>
      <c r="C347" s="105" t="s">
        <v>48</v>
      </c>
      <c r="D347" s="105" t="s">
        <v>11</v>
      </c>
      <c r="E347">
        <v>53</v>
      </c>
      <c r="F347">
        <v>40664.67</v>
      </c>
    </row>
    <row r="348" spans="1:6" hidden="1" x14ac:dyDescent="0.3">
      <c r="A348">
        <v>2022</v>
      </c>
      <c r="B348">
        <v>12</v>
      </c>
      <c r="C348" s="105" t="s">
        <v>48</v>
      </c>
      <c r="D348" s="105" t="s">
        <v>12</v>
      </c>
      <c r="E348">
        <v>33</v>
      </c>
      <c r="F348">
        <v>20909.39</v>
      </c>
    </row>
    <row r="349" spans="1:6" hidden="1" x14ac:dyDescent="0.3">
      <c r="A349">
        <v>2022</v>
      </c>
      <c r="B349">
        <v>12</v>
      </c>
      <c r="C349" s="105" t="s">
        <v>48</v>
      </c>
      <c r="D349" s="105" t="s">
        <v>13</v>
      </c>
      <c r="E349">
        <v>95</v>
      </c>
      <c r="F349">
        <v>63821.46</v>
      </c>
    </row>
    <row r="350" spans="1:6" hidden="1" x14ac:dyDescent="0.3">
      <c r="A350">
        <v>2022</v>
      </c>
      <c r="B350">
        <v>12</v>
      </c>
      <c r="C350" s="105" t="s">
        <v>48</v>
      </c>
      <c r="D350" s="105" t="s">
        <v>14</v>
      </c>
      <c r="E350">
        <v>55</v>
      </c>
      <c r="F350">
        <v>29457.08</v>
      </c>
    </row>
    <row r="351" spans="1:6" hidden="1" x14ac:dyDescent="0.3">
      <c r="A351">
        <v>2022</v>
      </c>
      <c r="B351">
        <v>12</v>
      </c>
      <c r="C351" s="105" t="s">
        <v>48</v>
      </c>
      <c r="D351" s="105" t="s">
        <v>15</v>
      </c>
      <c r="E351">
        <v>10</v>
      </c>
      <c r="F351">
        <v>5871</v>
      </c>
    </row>
    <row r="352" spans="1:6" hidden="1" x14ac:dyDescent="0.3">
      <c r="A352">
        <v>2022</v>
      </c>
      <c r="B352">
        <v>12</v>
      </c>
      <c r="C352" s="105" t="s">
        <v>48</v>
      </c>
      <c r="D352" s="105" t="s">
        <v>16</v>
      </c>
      <c r="E352">
        <v>14</v>
      </c>
      <c r="F352">
        <v>10623.87</v>
      </c>
    </row>
    <row r="353" spans="1:6" hidden="1" x14ac:dyDescent="0.3">
      <c r="A353">
        <v>2022</v>
      </c>
      <c r="B353">
        <v>12</v>
      </c>
      <c r="C353" s="105" t="s">
        <v>48</v>
      </c>
      <c r="D353" s="105" t="s">
        <v>17</v>
      </c>
      <c r="E353">
        <v>208</v>
      </c>
      <c r="F353">
        <v>95927.02</v>
      </c>
    </row>
    <row r="354" spans="1:6" hidden="1" x14ac:dyDescent="0.3">
      <c r="A354">
        <v>2022</v>
      </c>
      <c r="B354">
        <v>12</v>
      </c>
      <c r="C354" s="105" t="s">
        <v>48</v>
      </c>
      <c r="D354" s="105" t="s">
        <v>18</v>
      </c>
      <c r="E354">
        <v>69</v>
      </c>
      <c r="F354">
        <v>56539.16</v>
      </c>
    </row>
    <row r="355" spans="1:6" hidden="1" x14ac:dyDescent="0.3">
      <c r="A355">
        <v>2022</v>
      </c>
      <c r="B355">
        <v>12</v>
      </c>
      <c r="C355" s="105" t="s">
        <v>48</v>
      </c>
      <c r="D355" s="105" t="s">
        <v>19</v>
      </c>
      <c r="E355">
        <v>11</v>
      </c>
      <c r="F355">
        <v>6695.08</v>
      </c>
    </row>
    <row r="356" spans="1:6" x14ac:dyDescent="0.3">
      <c r="A356">
        <v>2022</v>
      </c>
      <c r="B356">
        <v>12</v>
      </c>
      <c r="C356" s="105" t="s">
        <v>48</v>
      </c>
      <c r="D356" s="105" t="s">
        <v>20</v>
      </c>
      <c r="E356">
        <v>59</v>
      </c>
      <c r="F356">
        <v>39896.949999999997</v>
      </c>
    </row>
    <row r="357" spans="1:6" hidden="1" x14ac:dyDescent="0.3">
      <c r="A357">
        <v>2022</v>
      </c>
      <c r="B357">
        <v>12</v>
      </c>
      <c r="C357" s="105" t="s">
        <v>48</v>
      </c>
      <c r="D357" s="105" t="s">
        <v>21</v>
      </c>
      <c r="E357">
        <v>104</v>
      </c>
      <c r="F357">
        <v>90309</v>
      </c>
    </row>
    <row r="358" spans="1:6" hidden="1" x14ac:dyDescent="0.3">
      <c r="A358">
        <v>2022</v>
      </c>
      <c r="B358">
        <v>12</v>
      </c>
      <c r="C358" s="105" t="s">
        <v>48</v>
      </c>
      <c r="D358" s="105" t="s">
        <v>22</v>
      </c>
      <c r="E358">
        <v>32</v>
      </c>
      <c r="F358">
        <v>18800.599999999999</v>
      </c>
    </row>
    <row r="359" spans="1:6" hidden="1" x14ac:dyDescent="0.3">
      <c r="A359">
        <v>2022</v>
      </c>
      <c r="B359">
        <v>12</v>
      </c>
      <c r="C359" s="105" t="s">
        <v>48</v>
      </c>
      <c r="D359" s="105" t="s">
        <v>23</v>
      </c>
      <c r="E359">
        <v>16</v>
      </c>
      <c r="F359">
        <v>15883.2</v>
      </c>
    </row>
    <row r="360" spans="1:6" hidden="1" x14ac:dyDescent="0.3">
      <c r="A360">
        <v>2022</v>
      </c>
      <c r="B360">
        <v>12</v>
      </c>
      <c r="C360" s="105" t="s">
        <v>48</v>
      </c>
      <c r="D360" s="105" t="s">
        <v>24</v>
      </c>
      <c r="E360">
        <v>56</v>
      </c>
      <c r="F360">
        <v>35559.800000000003</v>
      </c>
    </row>
    <row r="361" spans="1:6" hidden="1" x14ac:dyDescent="0.3">
      <c r="A361">
        <v>2022</v>
      </c>
      <c r="B361">
        <v>12</v>
      </c>
      <c r="C361" s="105" t="s">
        <v>48</v>
      </c>
      <c r="D361" s="105" t="s">
        <v>25</v>
      </c>
      <c r="E361">
        <v>62</v>
      </c>
      <c r="F361">
        <v>46777.68</v>
      </c>
    </row>
    <row r="362" spans="1:6" hidden="1" x14ac:dyDescent="0.3">
      <c r="A362">
        <v>2022</v>
      </c>
      <c r="B362">
        <v>12</v>
      </c>
      <c r="C362" s="105" t="s">
        <v>48</v>
      </c>
      <c r="D362" s="105" t="s">
        <v>26</v>
      </c>
      <c r="E362">
        <v>18</v>
      </c>
      <c r="F362">
        <v>12049</v>
      </c>
    </row>
    <row r="363" spans="1:6" hidden="1" x14ac:dyDescent="0.3">
      <c r="A363">
        <v>2022</v>
      </c>
      <c r="B363">
        <v>12</v>
      </c>
      <c r="C363" s="105" t="s">
        <v>48</v>
      </c>
      <c r="D363" s="105" t="s">
        <v>27</v>
      </c>
      <c r="E363">
        <v>39</v>
      </c>
      <c r="F363">
        <v>25228.89</v>
      </c>
    </row>
    <row r="364" spans="1:6" hidden="1" x14ac:dyDescent="0.3">
      <c r="A364">
        <v>2022</v>
      </c>
      <c r="B364">
        <v>12</v>
      </c>
      <c r="C364" s="105" t="s">
        <v>48</v>
      </c>
      <c r="D364" s="105" t="s">
        <v>28</v>
      </c>
      <c r="E364">
        <v>8</v>
      </c>
      <c r="F364">
        <v>6588</v>
      </c>
    </row>
    <row r="365" spans="1:6" hidden="1" x14ac:dyDescent="0.3">
      <c r="A365">
        <v>2022</v>
      </c>
      <c r="B365">
        <v>12</v>
      </c>
      <c r="C365" s="105" t="s">
        <v>48</v>
      </c>
      <c r="D365" s="105" t="s">
        <v>29</v>
      </c>
      <c r="E365">
        <v>78</v>
      </c>
      <c r="F365">
        <v>60116.45</v>
      </c>
    </row>
    <row r="366" spans="1:6" hidden="1" x14ac:dyDescent="0.3">
      <c r="A366">
        <v>2022</v>
      </c>
      <c r="B366">
        <v>12</v>
      </c>
      <c r="C366" s="105" t="s">
        <v>48</v>
      </c>
      <c r="D366" s="105" t="s">
        <v>30</v>
      </c>
      <c r="E366">
        <v>8</v>
      </c>
      <c r="F366">
        <v>3982.5</v>
      </c>
    </row>
    <row r="367" spans="1:6" hidden="1" x14ac:dyDescent="0.3">
      <c r="A367">
        <v>2022</v>
      </c>
      <c r="B367">
        <v>12</v>
      </c>
      <c r="C367" s="105" t="s">
        <v>48</v>
      </c>
      <c r="D367" s="105" t="s">
        <v>31</v>
      </c>
      <c r="E367">
        <v>94</v>
      </c>
      <c r="F367">
        <v>73312.070000000007</v>
      </c>
    </row>
    <row r="368" spans="1:6" hidden="1" x14ac:dyDescent="0.3">
      <c r="A368">
        <v>2022</v>
      </c>
      <c r="B368">
        <v>12</v>
      </c>
      <c r="C368" s="105" t="s">
        <v>48</v>
      </c>
      <c r="D368" s="105" t="s">
        <v>32</v>
      </c>
      <c r="E368">
        <v>17</v>
      </c>
      <c r="F368">
        <v>10570.28</v>
      </c>
    </row>
    <row r="369" spans="1:6" hidden="1" x14ac:dyDescent="0.3">
      <c r="A369">
        <v>2022</v>
      </c>
      <c r="B369">
        <v>12</v>
      </c>
      <c r="C369" s="105" t="s">
        <v>48</v>
      </c>
      <c r="D369" s="105" t="s">
        <v>33</v>
      </c>
      <c r="E369">
        <v>119</v>
      </c>
      <c r="F369">
        <v>112311.56</v>
      </c>
    </row>
    <row r="370" spans="1:6" hidden="1" x14ac:dyDescent="0.3">
      <c r="A370">
        <v>2022</v>
      </c>
      <c r="B370">
        <v>12</v>
      </c>
      <c r="C370" s="105" t="s">
        <v>48</v>
      </c>
      <c r="D370" s="105" t="s">
        <v>34</v>
      </c>
      <c r="E370">
        <v>75</v>
      </c>
      <c r="F370">
        <v>58997.71</v>
      </c>
    </row>
    <row r="371" spans="1:6" hidden="1" x14ac:dyDescent="0.3">
      <c r="A371">
        <v>2022</v>
      </c>
      <c r="B371">
        <v>12</v>
      </c>
      <c r="C371" s="105" t="s">
        <v>48</v>
      </c>
      <c r="D371" s="105" t="s">
        <v>35</v>
      </c>
      <c r="E371">
        <v>34</v>
      </c>
      <c r="F371">
        <v>27068.799999999999</v>
      </c>
    </row>
    <row r="372" spans="1:6" hidden="1" x14ac:dyDescent="0.3">
      <c r="A372">
        <v>2022</v>
      </c>
      <c r="B372">
        <v>12</v>
      </c>
      <c r="C372" s="105" t="s">
        <v>48</v>
      </c>
      <c r="D372" s="105" t="s">
        <v>36</v>
      </c>
      <c r="E372">
        <v>56</v>
      </c>
      <c r="F372">
        <v>37474.1</v>
      </c>
    </row>
    <row r="373" spans="1:6" hidden="1" x14ac:dyDescent="0.3">
      <c r="A373">
        <v>2022</v>
      </c>
      <c r="B373">
        <v>12</v>
      </c>
      <c r="C373" s="105" t="s">
        <v>48</v>
      </c>
      <c r="D373" s="105" t="s">
        <v>37</v>
      </c>
      <c r="E373">
        <v>81</v>
      </c>
      <c r="F373">
        <v>50332.04</v>
      </c>
    </row>
    <row r="374" spans="1:6" hidden="1" x14ac:dyDescent="0.3">
      <c r="A374">
        <v>2023</v>
      </c>
      <c r="B374">
        <v>1</v>
      </c>
      <c r="C374" s="105" t="s">
        <v>6</v>
      </c>
      <c r="D374" s="105" t="s">
        <v>7</v>
      </c>
      <c r="E374">
        <v>31</v>
      </c>
      <c r="F374">
        <v>22432.26</v>
      </c>
    </row>
    <row r="375" spans="1:6" hidden="1" x14ac:dyDescent="0.3">
      <c r="A375">
        <v>2023</v>
      </c>
      <c r="B375">
        <v>1</v>
      </c>
      <c r="C375" s="105" t="s">
        <v>6</v>
      </c>
      <c r="D375" s="105" t="s">
        <v>8</v>
      </c>
      <c r="E375">
        <v>20</v>
      </c>
      <c r="F375">
        <v>13555.81</v>
      </c>
    </row>
    <row r="376" spans="1:6" hidden="1" x14ac:dyDescent="0.3">
      <c r="A376">
        <v>2023</v>
      </c>
      <c r="B376">
        <v>1</v>
      </c>
      <c r="C376" s="105" t="s">
        <v>6</v>
      </c>
      <c r="D376" s="105" t="s">
        <v>9</v>
      </c>
      <c r="E376">
        <v>16</v>
      </c>
      <c r="F376">
        <v>11602.5</v>
      </c>
    </row>
    <row r="377" spans="1:6" hidden="1" x14ac:dyDescent="0.3">
      <c r="A377">
        <v>2023</v>
      </c>
      <c r="B377">
        <v>1</v>
      </c>
      <c r="C377" s="105" t="s">
        <v>6</v>
      </c>
      <c r="D377" s="105" t="s">
        <v>10</v>
      </c>
      <c r="E377">
        <v>56</v>
      </c>
      <c r="F377">
        <v>56672.59</v>
      </c>
    </row>
    <row r="378" spans="1:6" hidden="1" x14ac:dyDescent="0.3">
      <c r="A378">
        <v>2023</v>
      </c>
      <c r="B378">
        <v>1</v>
      </c>
      <c r="C378" s="105" t="s">
        <v>6</v>
      </c>
      <c r="D378" s="105" t="s">
        <v>11</v>
      </c>
      <c r="E378">
        <v>47</v>
      </c>
      <c r="F378">
        <v>35143.35</v>
      </c>
    </row>
    <row r="379" spans="1:6" hidden="1" x14ac:dyDescent="0.3">
      <c r="A379">
        <v>2023</v>
      </c>
      <c r="B379">
        <v>1</v>
      </c>
      <c r="C379" s="105" t="s">
        <v>6</v>
      </c>
      <c r="D379" s="105" t="s">
        <v>12</v>
      </c>
      <c r="E379">
        <v>67</v>
      </c>
      <c r="F379">
        <v>39759.06</v>
      </c>
    </row>
    <row r="380" spans="1:6" hidden="1" x14ac:dyDescent="0.3">
      <c r="A380">
        <v>2023</v>
      </c>
      <c r="B380">
        <v>1</v>
      </c>
      <c r="C380" s="105" t="s">
        <v>6</v>
      </c>
      <c r="D380" s="105" t="s">
        <v>13</v>
      </c>
      <c r="E380">
        <v>91</v>
      </c>
      <c r="F380">
        <v>65669.460000000006</v>
      </c>
    </row>
    <row r="381" spans="1:6" hidden="1" x14ac:dyDescent="0.3">
      <c r="A381">
        <v>2023</v>
      </c>
      <c r="B381">
        <v>1</v>
      </c>
      <c r="C381" s="105" t="s">
        <v>6</v>
      </c>
      <c r="D381" s="105" t="s">
        <v>14</v>
      </c>
      <c r="E381">
        <v>54</v>
      </c>
      <c r="F381">
        <v>31050.74</v>
      </c>
    </row>
    <row r="382" spans="1:6" hidden="1" x14ac:dyDescent="0.3">
      <c r="A382">
        <v>2023</v>
      </c>
      <c r="B382">
        <v>1</v>
      </c>
      <c r="C382" s="105" t="s">
        <v>6</v>
      </c>
      <c r="D382" s="105" t="s">
        <v>15</v>
      </c>
      <c r="E382">
        <v>10</v>
      </c>
      <c r="F382">
        <v>7946</v>
      </c>
    </row>
    <row r="383" spans="1:6" hidden="1" x14ac:dyDescent="0.3">
      <c r="A383">
        <v>2023</v>
      </c>
      <c r="B383">
        <v>1</v>
      </c>
      <c r="C383" s="105" t="s">
        <v>6</v>
      </c>
      <c r="D383" s="105" t="s">
        <v>16</v>
      </c>
      <c r="E383">
        <v>12</v>
      </c>
      <c r="F383">
        <v>10285.879999999999</v>
      </c>
    </row>
    <row r="384" spans="1:6" hidden="1" x14ac:dyDescent="0.3">
      <c r="A384">
        <v>2023</v>
      </c>
      <c r="B384">
        <v>1</v>
      </c>
      <c r="C384" s="105" t="s">
        <v>6</v>
      </c>
      <c r="D384" s="105" t="s">
        <v>17</v>
      </c>
      <c r="E384">
        <v>47</v>
      </c>
      <c r="F384">
        <v>40207.29</v>
      </c>
    </row>
    <row r="385" spans="1:6" hidden="1" x14ac:dyDescent="0.3">
      <c r="A385">
        <v>2023</v>
      </c>
      <c r="B385">
        <v>1</v>
      </c>
      <c r="C385" s="105" t="s">
        <v>6</v>
      </c>
      <c r="D385" s="105" t="s">
        <v>18</v>
      </c>
      <c r="E385">
        <v>79</v>
      </c>
      <c r="F385">
        <v>62111.74</v>
      </c>
    </row>
    <row r="386" spans="1:6" hidden="1" x14ac:dyDescent="0.3">
      <c r="A386">
        <v>2023</v>
      </c>
      <c r="B386">
        <v>1</v>
      </c>
      <c r="C386" s="105" t="s">
        <v>6</v>
      </c>
      <c r="D386" s="105" t="s">
        <v>19</v>
      </c>
      <c r="E386">
        <v>11</v>
      </c>
      <c r="F386">
        <v>7033.45</v>
      </c>
    </row>
    <row r="387" spans="1:6" x14ac:dyDescent="0.3">
      <c r="A387">
        <v>2023</v>
      </c>
      <c r="B387">
        <v>1</v>
      </c>
      <c r="C387" s="105" t="s">
        <v>6</v>
      </c>
      <c r="D387" s="105" t="s">
        <v>20</v>
      </c>
      <c r="E387">
        <v>81</v>
      </c>
      <c r="F387">
        <v>50680.03</v>
      </c>
    </row>
    <row r="388" spans="1:6" hidden="1" x14ac:dyDescent="0.3">
      <c r="A388">
        <v>2023</v>
      </c>
      <c r="B388">
        <v>1</v>
      </c>
      <c r="C388" s="105" t="s">
        <v>6</v>
      </c>
      <c r="D388" s="105" t="s">
        <v>21</v>
      </c>
      <c r="E388">
        <v>95</v>
      </c>
      <c r="F388">
        <v>83043.95</v>
      </c>
    </row>
    <row r="389" spans="1:6" hidden="1" x14ac:dyDescent="0.3">
      <c r="A389">
        <v>2023</v>
      </c>
      <c r="B389">
        <v>1</v>
      </c>
      <c r="C389" s="105" t="s">
        <v>6</v>
      </c>
      <c r="D389" s="105" t="s">
        <v>22</v>
      </c>
      <c r="E389">
        <v>37</v>
      </c>
      <c r="F389">
        <v>25299.05</v>
      </c>
    </row>
    <row r="390" spans="1:6" hidden="1" x14ac:dyDescent="0.3">
      <c r="A390">
        <v>2023</v>
      </c>
      <c r="B390">
        <v>1</v>
      </c>
      <c r="C390" s="105" t="s">
        <v>6</v>
      </c>
      <c r="D390" s="105" t="s">
        <v>23</v>
      </c>
      <c r="E390">
        <v>8</v>
      </c>
      <c r="F390">
        <v>7245</v>
      </c>
    </row>
    <row r="391" spans="1:6" hidden="1" x14ac:dyDescent="0.3">
      <c r="A391">
        <v>2023</v>
      </c>
      <c r="B391">
        <v>1</v>
      </c>
      <c r="C391" s="105" t="s">
        <v>6</v>
      </c>
      <c r="D391" s="105" t="s">
        <v>24</v>
      </c>
      <c r="E391">
        <v>53</v>
      </c>
      <c r="F391">
        <v>30859.02</v>
      </c>
    </row>
    <row r="392" spans="1:6" hidden="1" x14ac:dyDescent="0.3">
      <c r="A392">
        <v>2023</v>
      </c>
      <c r="B392">
        <v>1</v>
      </c>
      <c r="C392" s="105" t="s">
        <v>6</v>
      </c>
      <c r="D392" s="105" t="s">
        <v>25</v>
      </c>
      <c r="E392">
        <v>102</v>
      </c>
      <c r="F392">
        <v>66831.570000000007</v>
      </c>
    </row>
    <row r="393" spans="1:6" hidden="1" x14ac:dyDescent="0.3">
      <c r="A393">
        <v>2023</v>
      </c>
      <c r="B393">
        <v>1</v>
      </c>
      <c r="C393" s="105" t="s">
        <v>6</v>
      </c>
      <c r="D393" s="105" t="s">
        <v>26</v>
      </c>
      <c r="E393">
        <v>19</v>
      </c>
      <c r="F393">
        <v>15614.2</v>
      </c>
    </row>
    <row r="394" spans="1:6" hidden="1" x14ac:dyDescent="0.3">
      <c r="A394">
        <v>2023</v>
      </c>
      <c r="B394">
        <v>1</v>
      </c>
      <c r="C394" s="105" t="s">
        <v>6</v>
      </c>
      <c r="D394" s="105" t="s">
        <v>27</v>
      </c>
      <c r="E394">
        <v>52</v>
      </c>
      <c r="F394">
        <v>37164.69</v>
      </c>
    </row>
    <row r="395" spans="1:6" hidden="1" x14ac:dyDescent="0.3">
      <c r="A395">
        <v>2023</v>
      </c>
      <c r="B395">
        <v>1</v>
      </c>
      <c r="C395" s="105" t="s">
        <v>6</v>
      </c>
      <c r="D395" s="105" t="s">
        <v>28</v>
      </c>
      <c r="E395">
        <v>7</v>
      </c>
      <c r="F395">
        <v>3962.83</v>
      </c>
    </row>
    <row r="396" spans="1:6" hidden="1" x14ac:dyDescent="0.3">
      <c r="A396">
        <v>2023</v>
      </c>
      <c r="B396">
        <v>1</v>
      </c>
      <c r="C396" s="105" t="s">
        <v>6</v>
      </c>
      <c r="D396" s="105" t="s">
        <v>29</v>
      </c>
      <c r="E396">
        <v>54</v>
      </c>
      <c r="F396">
        <v>41650.21</v>
      </c>
    </row>
    <row r="397" spans="1:6" hidden="1" x14ac:dyDescent="0.3">
      <c r="A397">
        <v>2023</v>
      </c>
      <c r="B397">
        <v>1</v>
      </c>
      <c r="C397" s="105" t="s">
        <v>6</v>
      </c>
      <c r="D397" s="105" t="s">
        <v>30</v>
      </c>
      <c r="E397">
        <v>11</v>
      </c>
      <c r="F397">
        <v>7002</v>
      </c>
    </row>
    <row r="398" spans="1:6" hidden="1" x14ac:dyDescent="0.3">
      <c r="A398">
        <v>2023</v>
      </c>
      <c r="B398">
        <v>1</v>
      </c>
      <c r="C398" s="105" t="s">
        <v>6</v>
      </c>
      <c r="D398" s="105" t="s">
        <v>31</v>
      </c>
      <c r="E398">
        <v>117</v>
      </c>
      <c r="F398">
        <v>92542.15</v>
      </c>
    </row>
    <row r="399" spans="1:6" hidden="1" x14ac:dyDescent="0.3">
      <c r="A399">
        <v>2023</v>
      </c>
      <c r="B399">
        <v>1</v>
      </c>
      <c r="C399" s="105" t="s">
        <v>6</v>
      </c>
      <c r="D399" s="105" t="s">
        <v>32</v>
      </c>
      <c r="E399">
        <v>11</v>
      </c>
      <c r="F399">
        <v>9299</v>
      </c>
    </row>
    <row r="400" spans="1:6" hidden="1" x14ac:dyDescent="0.3">
      <c r="A400">
        <v>2023</v>
      </c>
      <c r="B400">
        <v>1</v>
      </c>
      <c r="C400" s="105" t="s">
        <v>6</v>
      </c>
      <c r="D400" s="105" t="s">
        <v>33</v>
      </c>
      <c r="E400">
        <v>179</v>
      </c>
      <c r="F400">
        <v>140509.66</v>
      </c>
    </row>
    <row r="401" spans="1:6" hidden="1" x14ac:dyDescent="0.3">
      <c r="A401">
        <v>2023</v>
      </c>
      <c r="B401">
        <v>1</v>
      </c>
      <c r="C401" s="105" t="s">
        <v>6</v>
      </c>
      <c r="D401" s="105" t="s">
        <v>34</v>
      </c>
      <c r="E401">
        <v>92</v>
      </c>
      <c r="F401">
        <v>69274.880000000005</v>
      </c>
    </row>
    <row r="402" spans="1:6" hidden="1" x14ac:dyDescent="0.3">
      <c r="A402">
        <v>2023</v>
      </c>
      <c r="B402">
        <v>1</v>
      </c>
      <c r="C402" s="105" t="s">
        <v>6</v>
      </c>
      <c r="D402" s="105" t="s">
        <v>35</v>
      </c>
      <c r="E402">
        <v>26</v>
      </c>
      <c r="F402">
        <v>20595.599999999999</v>
      </c>
    </row>
    <row r="403" spans="1:6" hidden="1" x14ac:dyDescent="0.3">
      <c r="A403">
        <v>2023</v>
      </c>
      <c r="B403">
        <v>1</v>
      </c>
      <c r="C403" s="105" t="s">
        <v>6</v>
      </c>
      <c r="D403" s="105" t="s">
        <v>36</v>
      </c>
      <c r="E403">
        <v>59</v>
      </c>
      <c r="F403">
        <v>36311.58</v>
      </c>
    </row>
    <row r="404" spans="1:6" hidden="1" x14ac:dyDescent="0.3">
      <c r="A404">
        <v>2023</v>
      </c>
      <c r="B404">
        <v>1</v>
      </c>
      <c r="C404" s="105" t="s">
        <v>6</v>
      </c>
      <c r="D404" s="105" t="s">
        <v>37</v>
      </c>
      <c r="E404">
        <v>40</v>
      </c>
      <c r="F404">
        <v>35778.080000000002</v>
      </c>
    </row>
    <row r="405" spans="1:6" hidden="1" x14ac:dyDescent="0.3">
      <c r="A405">
        <v>2023</v>
      </c>
      <c r="B405">
        <v>2</v>
      </c>
      <c r="C405" s="105" t="s">
        <v>38</v>
      </c>
      <c r="D405" s="105" t="s">
        <v>7</v>
      </c>
      <c r="E405">
        <v>14</v>
      </c>
      <c r="F405">
        <v>11818.86</v>
      </c>
    </row>
    <row r="406" spans="1:6" hidden="1" x14ac:dyDescent="0.3">
      <c r="A406">
        <v>2023</v>
      </c>
      <c r="B406">
        <v>2</v>
      </c>
      <c r="C406" s="105" t="s">
        <v>38</v>
      </c>
      <c r="D406" s="105" t="s">
        <v>8</v>
      </c>
      <c r="E406">
        <v>33</v>
      </c>
      <c r="F406">
        <v>21041.84</v>
      </c>
    </row>
    <row r="407" spans="1:6" hidden="1" x14ac:dyDescent="0.3">
      <c r="A407">
        <v>2023</v>
      </c>
      <c r="B407">
        <v>2</v>
      </c>
      <c r="C407" s="105" t="s">
        <v>38</v>
      </c>
      <c r="D407" s="105" t="s">
        <v>9</v>
      </c>
      <c r="E407">
        <v>14</v>
      </c>
      <c r="F407">
        <v>8096.2</v>
      </c>
    </row>
    <row r="408" spans="1:6" hidden="1" x14ac:dyDescent="0.3">
      <c r="A408">
        <v>2023</v>
      </c>
      <c r="B408">
        <v>2</v>
      </c>
      <c r="C408" s="105" t="s">
        <v>38</v>
      </c>
      <c r="D408" s="105" t="s">
        <v>10</v>
      </c>
      <c r="E408">
        <v>40</v>
      </c>
      <c r="F408">
        <v>29957.42</v>
      </c>
    </row>
    <row r="409" spans="1:6" hidden="1" x14ac:dyDescent="0.3">
      <c r="A409">
        <v>2023</v>
      </c>
      <c r="B409">
        <v>2</v>
      </c>
      <c r="C409" s="105" t="s">
        <v>38</v>
      </c>
      <c r="D409" s="105" t="s">
        <v>11</v>
      </c>
      <c r="E409">
        <v>31</v>
      </c>
      <c r="F409">
        <v>22664.880000000001</v>
      </c>
    </row>
    <row r="410" spans="1:6" hidden="1" x14ac:dyDescent="0.3">
      <c r="A410">
        <v>2023</v>
      </c>
      <c r="B410">
        <v>2</v>
      </c>
      <c r="C410" s="105" t="s">
        <v>38</v>
      </c>
      <c r="D410" s="105" t="s">
        <v>12</v>
      </c>
      <c r="E410">
        <v>81</v>
      </c>
      <c r="F410">
        <v>42769.1</v>
      </c>
    </row>
    <row r="411" spans="1:6" hidden="1" x14ac:dyDescent="0.3">
      <c r="A411">
        <v>2023</v>
      </c>
      <c r="B411">
        <v>2</v>
      </c>
      <c r="C411" s="105" t="s">
        <v>38</v>
      </c>
      <c r="D411" s="105" t="s">
        <v>13</v>
      </c>
      <c r="E411">
        <v>95</v>
      </c>
      <c r="F411">
        <v>46503.66</v>
      </c>
    </row>
    <row r="412" spans="1:6" hidden="1" x14ac:dyDescent="0.3">
      <c r="A412">
        <v>2023</v>
      </c>
      <c r="B412">
        <v>2</v>
      </c>
      <c r="C412" s="105" t="s">
        <v>38</v>
      </c>
      <c r="D412" s="105" t="s">
        <v>14</v>
      </c>
      <c r="E412">
        <v>44</v>
      </c>
      <c r="F412">
        <v>21928.89</v>
      </c>
    </row>
    <row r="413" spans="1:6" hidden="1" x14ac:dyDescent="0.3">
      <c r="A413">
        <v>2023</v>
      </c>
      <c r="B413">
        <v>2</v>
      </c>
      <c r="C413" s="105" t="s">
        <v>38</v>
      </c>
      <c r="D413" s="105" t="s">
        <v>15</v>
      </c>
      <c r="E413">
        <v>10</v>
      </c>
      <c r="F413">
        <v>6835</v>
      </c>
    </row>
    <row r="414" spans="1:6" hidden="1" x14ac:dyDescent="0.3">
      <c r="A414">
        <v>2023</v>
      </c>
      <c r="B414">
        <v>2</v>
      </c>
      <c r="C414" s="105" t="s">
        <v>38</v>
      </c>
      <c r="D414" s="105" t="s">
        <v>16</v>
      </c>
      <c r="E414">
        <v>14</v>
      </c>
      <c r="F414">
        <v>9085</v>
      </c>
    </row>
    <row r="415" spans="1:6" hidden="1" x14ac:dyDescent="0.3">
      <c r="A415">
        <v>2023</v>
      </c>
      <c r="B415">
        <v>2</v>
      </c>
      <c r="C415" s="105" t="s">
        <v>38</v>
      </c>
      <c r="D415" s="105" t="s">
        <v>17</v>
      </c>
      <c r="E415">
        <v>45</v>
      </c>
      <c r="F415">
        <v>32452.68</v>
      </c>
    </row>
    <row r="416" spans="1:6" hidden="1" x14ac:dyDescent="0.3">
      <c r="A416">
        <v>2023</v>
      </c>
      <c r="B416">
        <v>2</v>
      </c>
      <c r="C416" s="105" t="s">
        <v>38</v>
      </c>
      <c r="D416" s="105" t="s">
        <v>18</v>
      </c>
      <c r="E416">
        <v>71</v>
      </c>
      <c r="F416">
        <v>71380.78</v>
      </c>
    </row>
    <row r="417" spans="1:6" hidden="1" x14ac:dyDescent="0.3">
      <c r="A417">
        <v>2023</v>
      </c>
      <c r="B417">
        <v>2</v>
      </c>
      <c r="C417" s="105" t="s">
        <v>38</v>
      </c>
      <c r="D417" s="105" t="s">
        <v>19</v>
      </c>
      <c r="E417">
        <v>6</v>
      </c>
      <c r="F417">
        <v>4335.1000000000004</v>
      </c>
    </row>
    <row r="418" spans="1:6" x14ac:dyDescent="0.3">
      <c r="A418">
        <v>2023</v>
      </c>
      <c r="B418">
        <v>2</v>
      </c>
      <c r="C418" s="105" t="s">
        <v>38</v>
      </c>
      <c r="D418" s="105" t="s">
        <v>20</v>
      </c>
      <c r="E418">
        <v>142</v>
      </c>
      <c r="F418">
        <v>85510.2</v>
      </c>
    </row>
    <row r="419" spans="1:6" hidden="1" x14ac:dyDescent="0.3">
      <c r="A419">
        <v>2023</v>
      </c>
      <c r="B419">
        <v>2</v>
      </c>
      <c r="C419" s="105" t="s">
        <v>38</v>
      </c>
      <c r="D419" s="105" t="s">
        <v>21</v>
      </c>
      <c r="E419">
        <v>71</v>
      </c>
      <c r="F419">
        <v>56798.12</v>
      </c>
    </row>
    <row r="420" spans="1:6" hidden="1" x14ac:dyDescent="0.3">
      <c r="A420">
        <v>2023</v>
      </c>
      <c r="B420">
        <v>2</v>
      </c>
      <c r="C420" s="105" t="s">
        <v>38</v>
      </c>
      <c r="D420" s="105" t="s">
        <v>22</v>
      </c>
      <c r="E420">
        <v>31</v>
      </c>
      <c r="F420">
        <v>17675.5</v>
      </c>
    </row>
    <row r="421" spans="1:6" hidden="1" x14ac:dyDescent="0.3">
      <c r="A421">
        <v>2023</v>
      </c>
      <c r="B421">
        <v>2</v>
      </c>
      <c r="C421" s="105" t="s">
        <v>38</v>
      </c>
      <c r="D421" s="105" t="s">
        <v>23</v>
      </c>
      <c r="E421">
        <v>15</v>
      </c>
      <c r="F421">
        <v>15571</v>
      </c>
    </row>
    <row r="422" spans="1:6" hidden="1" x14ac:dyDescent="0.3">
      <c r="A422">
        <v>2023</v>
      </c>
      <c r="B422">
        <v>2</v>
      </c>
      <c r="C422" s="105" t="s">
        <v>38</v>
      </c>
      <c r="D422" s="105" t="s">
        <v>24</v>
      </c>
      <c r="E422">
        <v>50</v>
      </c>
      <c r="F422">
        <v>30564.13</v>
      </c>
    </row>
    <row r="423" spans="1:6" hidden="1" x14ac:dyDescent="0.3">
      <c r="A423">
        <v>2023</v>
      </c>
      <c r="B423">
        <v>2</v>
      </c>
      <c r="C423" s="105" t="s">
        <v>38</v>
      </c>
      <c r="D423" s="105" t="s">
        <v>25</v>
      </c>
      <c r="E423">
        <v>83</v>
      </c>
      <c r="F423">
        <v>62872.49</v>
      </c>
    </row>
    <row r="424" spans="1:6" hidden="1" x14ac:dyDescent="0.3">
      <c r="A424">
        <v>2023</v>
      </c>
      <c r="B424">
        <v>2</v>
      </c>
      <c r="C424" s="105" t="s">
        <v>38</v>
      </c>
      <c r="D424" s="105" t="s">
        <v>26</v>
      </c>
      <c r="E424">
        <v>9</v>
      </c>
      <c r="F424">
        <v>8149.52</v>
      </c>
    </row>
    <row r="425" spans="1:6" hidden="1" x14ac:dyDescent="0.3">
      <c r="A425">
        <v>2023</v>
      </c>
      <c r="B425">
        <v>2</v>
      </c>
      <c r="C425" s="105" t="s">
        <v>38</v>
      </c>
      <c r="D425" s="105" t="s">
        <v>27</v>
      </c>
      <c r="E425">
        <v>51</v>
      </c>
      <c r="F425">
        <v>38192.6</v>
      </c>
    </row>
    <row r="426" spans="1:6" hidden="1" x14ac:dyDescent="0.3">
      <c r="A426">
        <v>2023</v>
      </c>
      <c r="B426">
        <v>2</v>
      </c>
      <c r="C426" s="105" t="s">
        <v>38</v>
      </c>
      <c r="D426" s="105" t="s">
        <v>28</v>
      </c>
      <c r="E426">
        <v>9</v>
      </c>
      <c r="F426">
        <v>5253.83</v>
      </c>
    </row>
    <row r="427" spans="1:6" hidden="1" x14ac:dyDescent="0.3">
      <c r="A427">
        <v>2023</v>
      </c>
      <c r="B427">
        <v>2</v>
      </c>
      <c r="C427" s="105" t="s">
        <v>38</v>
      </c>
      <c r="D427" s="105" t="s">
        <v>29</v>
      </c>
      <c r="E427">
        <v>45</v>
      </c>
      <c r="F427">
        <v>35915.08</v>
      </c>
    </row>
    <row r="428" spans="1:6" hidden="1" x14ac:dyDescent="0.3">
      <c r="A428">
        <v>2023</v>
      </c>
      <c r="B428">
        <v>2</v>
      </c>
      <c r="C428" s="105" t="s">
        <v>38</v>
      </c>
      <c r="D428" s="105" t="s">
        <v>30</v>
      </c>
      <c r="E428">
        <v>22</v>
      </c>
      <c r="F428">
        <v>12608.25</v>
      </c>
    </row>
    <row r="429" spans="1:6" hidden="1" x14ac:dyDescent="0.3">
      <c r="A429">
        <v>2023</v>
      </c>
      <c r="B429">
        <v>2</v>
      </c>
      <c r="C429" s="105" t="s">
        <v>38</v>
      </c>
      <c r="D429" s="105" t="s">
        <v>31</v>
      </c>
      <c r="E429">
        <v>88</v>
      </c>
      <c r="F429">
        <v>76643.429999999993</v>
      </c>
    </row>
    <row r="430" spans="1:6" hidden="1" x14ac:dyDescent="0.3">
      <c r="A430">
        <v>2023</v>
      </c>
      <c r="B430">
        <v>2</v>
      </c>
      <c r="C430" s="105" t="s">
        <v>38</v>
      </c>
      <c r="D430" s="105" t="s">
        <v>32</v>
      </c>
      <c r="E430">
        <v>11</v>
      </c>
      <c r="F430">
        <v>9481</v>
      </c>
    </row>
    <row r="431" spans="1:6" hidden="1" x14ac:dyDescent="0.3">
      <c r="A431">
        <v>2023</v>
      </c>
      <c r="B431">
        <v>2</v>
      </c>
      <c r="C431" s="105" t="s">
        <v>38</v>
      </c>
      <c r="D431" s="105" t="s">
        <v>33</v>
      </c>
      <c r="E431">
        <v>101</v>
      </c>
      <c r="F431">
        <v>88158.11</v>
      </c>
    </row>
    <row r="432" spans="1:6" hidden="1" x14ac:dyDescent="0.3">
      <c r="A432">
        <v>2023</v>
      </c>
      <c r="B432">
        <v>2</v>
      </c>
      <c r="C432" s="105" t="s">
        <v>38</v>
      </c>
      <c r="D432" s="105" t="s">
        <v>34</v>
      </c>
      <c r="E432">
        <v>55</v>
      </c>
      <c r="F432">
        <v>47885.91</v>
      </c>
    </row>
    <row r="433" spans="1:6" hidden="1" x14ac:dyDescent="0.3">
      <c r="A433">
        <v>2023</v>
      </c>
      <c r="B433">
        <v>2</v>
      </c>
      <c r="C433" s="105" t="s">
        <v>38</v>
      </c>
      <c r="D433" s="105" t="s">
        <v>35</v>
      </c>
      <c r="E433">
        <v>28</v>
      </c>
      <c r="F433">
        <v>20497.349999999999</v>
      </c>
    </row>
    <row r="434" spans="1:6" hidden="1" x14ac:dyDescent="0.3">
      <c r="A434">
        <v>2023</v>
      </c>
      <c r="B434">
        <v>2</v>
      </c>
      <c r="C434" s="105" t="s">
        <v>38</v>
      </c>
      <c r="D434" s="105" t="s">
        <v>36</v>
      </c>
      <c r="E434">
        <v>50</v>
      </c>
      <c r="F434">
        <v>38811.18</v>
      </c>
    </row>
    <row r="435" spans="1:6" hidden="1" x14ac:dyDescent="0.3">
      <c r="A435">
        <v>2023</v>
      </c>
      <c r="B435">
        <v>2</v>
      </c>
      <c r="C435" s="105" t="s">
        <v>38</v>
      </c>
      <c r="D435" s="105" t="s">
        <v>37</v>
      </c>
      <c r="E435">
        <v>50</v>
      </c>
      <c r="F435">
        <v>41579.879999999997</v>
      </c>
    </row>
    <row r="436" spans="1:6" hidden="1" x14ac:dyDescent="0.3">
      <c r="A436">
        <v>2023</v>
      </c>
      <c r="B436">
        <v>3</v>
      </c>
      <c r="C436" s="105" t="s">
        <v>39</v>
      </c>
      <c r="D436" s="105" t="s">
        <v>7</v>
      </c>
      <c r="E436">
        <v>24</v>
      </c>
      <c r="F436">
        <v>19782.259999999998</v>
      </c>
    </row>
    <row r="437" spans="1:6" hidden="1" x14ac:dyDescent="0.3">
      <c r="A437">
        <v>2023</v>
      </c>
      <c r="B437">
        <v>3</v>
      </c>
      <c r="C437" s="105" t="s">
        <v>39</v>
      </c>
      <c r="D437" s="105" t="s">
        <v>8</v>
      </c>
      <c r="E437">
        <v>21</v>
      </c>
      <c r="F437">
        <v>13867.67</v>
      </c>
    </row>
    <row r="438" spans="1:6" hidden="1" x14ac:dyDescent="0.3">
      <c r="A438">
        <v>2023</v>
      </c>
      <c r="B438">
        <v>3</v>
      </c>
      <c r="C438" s="105" t="s">
        <v>39</v>
      </c>
      <c r="D438" s="105" t="s">
        <v>9</v>
      </c>
      <c r="E438">
        <v>6</v>
      </c>
      <c r="F438">
        <v>4319.92</v>
      </c>
    </row>
    <row r="439" spans="1:6" hidden="1" x14ac:dyDescent="0.3">
      <c r="A439">
        <v>2023</v>
      </c>
      <c r="B439">
        <v>3</v>
      </c>
      <c r="C439" s="105" t="s">
        <v>39</v>
      </c>
      <c r="D439" s="105" t="s">
        <v>10</v>
      </c>
      <c r="E439">
        <v>39</v>
      </c>
      <c r="F439">
        <v>33692.910000000003</v>
      </c>
    </row>
    <row r="440" spans="1:6" hidden="1" x14ac:dyDescent="0.3">
      <c r="A440">
        <v>2023</v>
      </c>
      <c r="B440">
        <v>3</v>
      </c>
      <c r="C440" s="105" t="s">
        <v>39</v>
      </c>
      <c r="D440" s="105" t="s">
        <v>11</v>
      </c>
      <c r="E440">
        <v>40</v>
      </c>
      <c r="F440">
        <v>33362.75</v>
      </c>
    </row>
    <row r="441" spans="1:6" hidden="1" x14ac:dyDescent="0.3">
      <c r="A441">
        <v>2023</v>
      </c>
      <c r="B441">
        <v>3</v>
      </c>
      <c r="C441" s="105" t="s">
        <v>39</v>
      </c>
      <c r="D441" s="105" t="s">
        <v>12</v>
      </c>
      <c r="E441">
        <v>37</v>
      </c>
      <c r="F441">
        <v>25140.75</v>
      </c>
    </row>
    <row r="442" spans="1:6" hidden="1" x14ac:dyDescent="0.3">
      <c r="A442">
        <v>2023</v>
      </c>
      <c r="B442">
        <v>3</v>
      </c>
      <c r="C442" s="105" t="s">
        <v>39</v>
      </c>
      <c r="D442" s="105" t="s">
        <v>13</v>
      </c>
      <c r="E442">
        <v>69</v>
      </c>
      <c r="F442">
        <v>46119.23</v>
      </c>
    </row>
    <row r="443" spans="1:6" hidden="1" x14ac:dyDescent="0.3">
      <c r="A443">
        <v>2023</v>
      </c>
      <c r="B443">
        <v>3</v>
      </c>
      <c r="C443" s="105" t="s">
        <v>39</v>
      </c>
      <c r="D443" s="105" t="s">
        <v>14</v>
      </c>
      <c r="E443">
        <v>60</v>
      </c>
      <c r="F443">
        <v>34338.959999999999</v>
      </c>
    </row>
    <row r="444" spans="1:6" hidden="1" x14ac:dyDescent="0.3">
      <c r="A444">
        <v>2023</v>
      </c>
      <c r="B444">
        <v>3</v>
      </c>
      <c r="C444" s="105" t="s">
        <v>39</v>
      </c>
      <c r="D444" s="105" t="s">
        <v>15</v>
      </c>
      <c r="E444">
        <v>10</v>
      </c>
      <c r="F444">
        <v>6804</v>
      </c>
    </row>
    <row r="445" spans="1:6" hidden="1" x14ac:dyDescent="0.3">
      <c r="A445">
        <v>2023</v>
      </c>
      <c r="B445">
        <v>3</v>
      </c>
      <c r="C445" s="105" t="s">
        <v>39</v>
      </c>
      <c r="D445" s="105" t="s">
        <v>16</v>
      </c>
      <c r="E445">
        <v>5</v>
      </c>
      <c r="F445">
        <v>3865</v>
      </c>
    </row>
    <row r="446" spans="1:6" hidden="1" x14ac:dyDescent="0.3">
      <c r="A446">
        <v>2023</v>
      </c>
      <c r="B446">
        <v>3</v>
      </c>
      <c r="C446" s="105" t="s">
        <v>39</v>
      </c>
      <c r="D446" s="105" t="s">
        <v>17</v>
      </c>
      <c r="E446">
        <v>30</v>
      </c>
      <c r="F446">
        <v>20569.59</v>
      </c>
    </row>
    <row r="447" spans="1:6" hidden="1" x14ac:dyDescent="0.3">
      <c r="A447">
        <v>2023</v>
      </c>
      <c r="B447">
        <v>3</v>
      </c>
      <c r="C447" s="105" t="s">
        <v>39</v>
      </c>
      <c r="D447" s="105" t="s">
        <v>18</v>
      </c>
      <c r="E447">
        <v>60</v>
      </c>
      <c r="F447">
        <v>49539.19</v>
      </c>
    </row>
    <row r="448" spans="1:6" hidden="1" x14ac:dyDescent="0.3">
      <c r="A448">
        <v>2023</v>
      </c>
      <c r="B448">
        <v>3</v>
      </c>
      <c r="C448" s="105" t="s">
        <v>39</v>
      </c>
      <c r="D448" s="105" t="s">
        <v>19</v>
      </c>
      <c r="E448">
        <v>13</v>
      </c>
      <c r="F448">
        <v>11189</v>
      </c>
    </row>
    <row r="449" spans="1:6" x14ac:dyDescent="0.3">
      <c r="A449">
        <v>2023</v>
      </c>
      <c r="B449">
        <v>3</v>
      </c>
      <c r="C449" s="105" t="s">
        <v>39</v>
      </c>
      <c r="D449" s="105" t="s">
        <v>20</v>
      </c>
      <c r="E449">
        <v>85</v>
      </c>
      <c r="F449">
        <v>61682.49</v>
      </c>
    </row>
    <row r="450" spans="1:6" hidden="1" x14ac:dyDescent="0.3">
      <c r="A450">
        <v>2023</v>
      </c>
      <c r="B450">
        <v>3</v>
      </c>
      <c r="C450" s="105" t="s">
        <v>39</v>
      </c>
      <c r="D450" s="105" t="s">
        <v>21</v>
      </c>
      <c r="E450">
        <v>81</v>
      </c>
      <c r="F450">
        <v>72275.62</v>
      </c>
    </row>
    <row r="451" spans="1:6" hidden="1" x14ac:dyDescent="0.3">
      <c r="A451">
        <v>2023</v>
      </c>
      <c r="B451">
        <v>3</v>
      </c>
      <c r="C451" s="105" t="s">
        <v>39</v>
      </c>
      <c r="D451" s="105" t="s">
        <v>22</v>
      </c>
      <c r="E451">
        <v>39</v>
      </c>
      <c r="F451">
        <v>23930.400000000001</v>
      </c>
    </row>
    <row r="452" spans="1:6" hidden="1" x14ac:dyDescent="0.3">
      <c r="A452">
        <v>2023</v>
      </c>
      <c r="B452">
        <v>3</v>
      </c>
      <c r="C452" s="105" t="s">
        <v>39</v>
      </c>
      <c r="D452" s="105" t="s">
        <v>23</v>
      </c>
      <c r="E452">
        <v>13</v>
      </c>
      <c r="F452">
        <v>15208</v>
      </c>
    </row>
    <row r="453" spans="1:6" hidden="1" x14ac:dyDescent="0.3">
      <c r="A453">
        <v>2023</v>
      </c>
      <c r="B453">
        <v>3</v>
      </c>
      <c r="C453" s="105" t="s">
        <v>39</v>
      </c>
      <c r="D453" s="105" t="s">
        <v>24</v>
      </c>
      <c r="E453">
        <v>46</v>
      </c>
      <c r="F453">
        <v>28519.33</v>
      </c>
    </row>
    <row r="454" spans="1:6" hidden="1" x14ac:dyDescent="0.3">
      <c r="A454">
        <v>2023</v>
      </c>
      <c r="B454">
        <v>3</v>
      </c>
      <c r="C454" s="105" t="s">
        <v>39</v>
      </c>
      <c r="D454" s="105" t="s">
        <v>25</v>
      </c>
      <c r="E454">
        <v>71</v>
      </c>
      <c r="F454">
        <v>60783.4</v>
      </c>
    </row>
    <row r="455" spans="1:6" hidden="1" x14ac:dyDescent="0.3">
      <c r="A455">
        <v>2023</v>
      </c>
      <c r="B455">
        <v>3</v>
      </c>
      <c r="C455" s="105" t="s">
        <v>39</v>
      </c>
      <c r="D455" s="105" t="s">
        <v>26</v>
      </c>
      <c r="E455">
        <v>13</v>
      </c>
      <c r="F455">
        <v>10781.8</v>
      </c>
    </row>
    <row r="456" spans="1:6" hidden="1" x14ac:dyDescent="0.3">
      <c r="A456">
        <v>2023</v>
      </c>
      <c r="B456">
        <v>3</v>
      </c>
      <c r="C456" s="105" t="s">
        <v>39</v>
      </c>
      <c r="D456" s="105" t="s">
        <v>27</v>
      </c>
      <c r="E456">
        <v>38</v>
      </c>
      <c r="F456">
        <v>30514.2</v>
      </c>
    </row>
    <row r="457" spans="1:6" hidden="1" x14ac:dyDescent="0.3">
      <c r="A457">
        <v>2023</v>
      </c>
      <c r="B457">
        <v>3</v>
      </c>
      <c r="C457" s="105" t="s">
        <v>39</v>
      </c>
      <c r="D457" s="105" t="s">
        <v>28</v>
      </c>
      <c r="E457">
        <v>12</v>
      </c>
      <c r="F457">
        <v>8193</v>
      </c>
    </row>
    <row r="458" spans="1:6" hidden="1" x14ac:dyDescent="0.3">
      <c r="A458">
        <v>2023</v>
      </c>
      <c r="B458">
        <v>3</v>
      </c>
      <c r="C458" s="105" t="s">
        <v>39</v>
      </c>
      <c r="D458" s="105" t="s">
        <v>29</v>
      </c>
      <c r="E458">
        <v>69</v>
      </c>
      <c r="F458">
        <v>49937.19</v>
      </c>
    </row>
    <row r="459" spans="1:6" hidden="1" x14ac:dyDescent="0.3">
      <c r="A459">
        <v>2023</v>
      </c>
      <c r="B459">
        <v>3</v>
      </c>
      <c r="C459" s="105" t="s">
        <v>39</v>
      </c>
      <c r="D459" s="105" t="s">
        <v>30</v>
      </c>
      <c r="E459">
        <v>12</v>
      </c>
      <c r="F459">
        <v>8109.2</v>
      </c>
    </row>
    <row r="460" spans="1:6" hidden="1" x14ac:dyDescent="0.3">
      <c r="A460">
        <v>2023</v>
      </c>
      <c r="B460">
        <v>3</v>
      </c>
      <c r="C460" s="105" t="s">
        <v>39</v>
      </c>
      <c r="D460" s="105" t="s">
        <v>31</v>
      </c>
      <c r="E460">
        <v>85</v>
      </c>
      <c r="F460">
        <v>76457.070000000007</v>
      </c>
    </row>
    <row r="461" spans="1:6" hidden="1" x14ac:dyDescent="0.3">
      <c r="A461">
        <v>2023</v>
      </c>
      <c r="B461">
        <v>3</v>
      </c>
      <c r="C461" s="105" t="s">
        <v>39</v>
      </c>
      <c r="D461" s="105" t="s">
        <v>32</v>
      </c>
      <c r="E461">
        <v>17</v>
      </c>
      <c r="F461">
        <v>13446</v>
      </c>
    </row>
    <row r="462" spans="1:6" hidden="1" x14ac:dyDescent="0.3">
      <c r="A462">
        <v>2023</v>
      </c>
      <c r="B462">
        <v>3</v>
      </c>
      <c r="C462" s="105" t="s">
        <v>39</v>
      </c>
      <c r="D462" s="105" t="s">
        <v>33</v>
      </c>
      <c r="E462">
        <v>114</v>
      </c>
      <c r="F462">
        <v>104476.51</v>
      </c>
    </row>
    <row r="463" spans="1:6" hidden="1" x14ac:dyDescent="0.3">
      <c r="A463">
        <v>2023</v>
      </c>
      <c r="B463">
        <v>3</v>
      </c>
      <c r="C463" s="105" t="s">
        <v>39</v>
      </c>
      <c r="D463" s="105" t="s">
        <v>34</v>
      </c>
      <c r="E463">
        <v>60</v>
      </c>
      <c r="F463">
        <v>48973.71</v>
      </c>
    </row>
    <row r="464" spans="1:6" hidden="1" x14ac:dyDescent="0.3">
      <c r="A464">
        <v>2023</v>
      </c>
      <c r="B464">
        <v>3</v>
      </c>
      <c r="C464" s="105" t="s">
        <v>39</v>
      </c>
      <c r="D464" s="105" t="s">
        <v>35</v>
      </c>
      <c r="E464">
        <v>28</v>
      </c>
      <c r="F464">
        <v>22891.25</v>
      </c>
    </row>
    <row r="465" spans="1:6" hidden="1" x14ac:dyDescent="0.3">
      <c r="A465">
        <v>2023</v>
      </c>
      <c r="B465">
        <v>3</v>
      </c>
      <c r="C465" s="105" t="s">
        <v>39</v>
      </c>
      <c r="D465" s="105" t="s">
        <v>36</v>
      </c>
      <c r="E465">
        <v>39</v>
      </c>
      <c r="F465">
        <v>26906.32</v>
      </c>
    </row>
    <row r="466" spans="1:6" hidden="1" x14ac:dyDescent="0.3">
      <c r="A466">
        <v>2023</v>
      </c>
      <c r="B466">
        <v>3</v>
      </c>
      <c r="C466" s="105" t="s">
        <v>39</v>
      </c>
      <c r="D466" s="105" t="s">
        <v>37</v>
      </c>
      <c r="E466">
        <v>53</v>
      </c>
      <c r="F466">
        <v>45269.1</v>
      </c>
    </row>
    <row r="467" spans="1:6" hidden="1" x14ac:dyDescent="0.3">
      <c r="A467">
        <v>2023</v>
      </c>
      <c r="B467">
        <v>4</v>
      </c>
      <c r="C467" s="105" t="s">
        <v>40</v>
      </c>
      <c r="D467" s="105" t="s">
        <v>7</v>
      </c>
      <c r="E467">
        <v>21</v>
      </c>
      <c r="F467">
        <v>19161.150000000001</v>
      </c>
    </row>
    <row r="468" spans="1:6" hidden="1" x14ac:dyDescent="0.3">
      <c r="A468">
        <v>2023</v>
      </c>
      <c r="B468">
        <v>4</v>
      </c>
      <c r="C468" s="105" t="s">
        <v>40</v>
      </c>
      <c r="D468" s="105" t="s">
        <v>8</v>
      </c>
      <c r="E468">
        <v>16</v>
      </c>
      <c r="F468">
        <v>12562.72</v>
      </c>
    </row>
    <row r="469" spans="1:6" hidden="1" x14ac:dyDescent="0.3">
      <c r="A469">
        <v>2023</v>
      </c>
      <c r="B469">
        <v>4</v>
      </c>
      <c r="C469" s="105" t="s">
        <v>40</v>
      </c>
      <c r="D469" s="105" t="s">
        <v>9</v>
      </c>
      <c r="E469">
        <v>10</v>
      </c>
      <c r="F469">
        <v>6731</v>
      </c>
    </row>
    <row r="470" spans="1:6" hidden="1" x14ac:dyDescent="0.3">
      <c r="A470">
        <v>2023</v>
      </c>
      <c r="B470">
        <v>4</v>
      </c>
      <c r="C470" s="105" t="s">
        <v>40</v>
      </c>
      <c r="D470" s="105" t="s">
        <v>10</v>
      </c>
      <c r="E470">
        <v>30</v>
      </c>
      <c r="F470">
        <v>26608.21</v>
      </c>
    </row>
    <row r="471" spans="1:6" hidden="1" x14ac:dyDescent="0.3">
      <c r="A471">
        <v>2023</v>
      </c>
      <c r="B471">
        <v>4</v>
      </c>
      <c r="C471" s="105" t="s">
        <v>40</v>
      </c>
      <c r="D471" s="105" t="s">
        <v>11</v>
      </c>
      <c r="E471">
        <v>45</v>
      </c>
      <c r="F471">
        <v>33526.61</v>
      </c>
    </row>
    <row r="472" spans="1:6" hidden="1" x14ac:dyDescent="0.3">
      <c r="A472">
        <v>2023</v>
      </c>
      <c r="B472">
        <v>4</v>
      </c>
      <c r="C472" s="105" t="s">
        <v>40</v>
      </c>
      <c r="D472" s="105" t="s">
        <v>12</v>
      </c>
      <c r="E472">
        <v>34</v>
      </c>
      <c r="F472">
        <v>26924.45</v>
      </c>
    </row>
    <row r="473" spans="1:6" hidden="1" x14ac:dyDescent="0.3">
      <c r="A473">
        <v>2023</v>
      </c>
      <c r="B473">
        <v>4</v>
      </c>
      <c r="C473" s="105" t="s">
        <v>40</v>
      </c>
      <c r="D473" s="105" t="s">
        <v>13</v>
      </c>
      <c r="E473">
        <v>71</v>
      </c>
      <c r="F473">
        <v>52837.23</v>
      </c>
    </row>
    <row r="474" spans="1:6" hidden="1" x14ac:dyDescent="0.3">
      <c r="A474">
        <v>2023</v>
      </c>
      <c r="B474">
        <v>4</v>
      </c>
      <c r="C474" s="105" t="s">
        <v>40</v>
      </c>
      <c r="D474" s="105" t="s">
        <v>14</v>
      </c>
      <c r="E474">
        <v>41</v>
      </c>
      <c r="F474">
        <v>26156.22</v>
      </c>
    </row>
    <row r="475" spans="1:6" hidden="1" x14ac:dyDescent="0.3">
      <c r="A475">
        <v>2023</v>
      </c>
      <c r="B475">
        <v>4</v>
      </c>
      <c r="C475" s="105" t="s">
        <v>40</v>
      </c>
      <c r="D475" s="105" t="s">
        <v>15</v>
      </c>
      <c r="E475">
        <v>7</v>
      </c>
      <c r="F475">
        <v>3949</v>
      </c>
    </row>
    <row r="476" spans="1:6" hidden="1" x14ac:dyDescent="0.3">
      <c r="A476">
        <v>2023</v>
      </c>
      <c r="B476">
        <v>4</v>
      </c>
      <c r="C476" s="105" t="s">
        <v>40</v>
      </c>
      <c r="D476" s="105" t="s">
        <v>16</v>
      </c>
      <c r="E476">
        <v>9</v>
      </c>
      <c r="F476">
        <v>6613.66</v>
      </c>
    </row>
    <row r="477" spans="1:6" hidden="1" x14ac:dyDescent="0.3">
      <c r="A477">
        <v>2023</v>
      </c>
      <c r="B477">
        <v>4</v>
      </c>
      <c r="C477" s="105" t="s">
        <v>40</v>
      </c>
      <c r="D477" s="105" t="s">
        <v>17</v>
      </c>
      <c r="E477">
        <v>39</v>
      </c>
      <c r="F477">
        <v>30588.44</v>
      </c>
    </row>
    <row r="478" spans="1:6" hidden="1" x14ac:dyDescent="0.3">
      <c r="A478">
        <v>2023</v>
      </c>
      <c r="B478">
        <v>4</v>
      </c>
      <c r="C478" s="105" t="s">
        <v>40</v>
      </c>
      <c r="D478" s="105" t="s">
        <v>18</v>
      </c>
      <c r="E478">
        <v>59</v>
      </c>
      <c r="F478">
        <v>54147.87</v>
      </c>
    </row>
    <row r="479" spans="1:6" hidden="1" x14ac:dyDescent="0.3">
      <c r="A479">
        <v>2023</v>
      </c>
      <c r="B479">
        <v>4</v>
      </c>
      <c r="C479" s="105" t="s">
        <v>40</v>
      </c>
      <c r="D479" s="105" t="s">
        <v>19</v>
      </c>
      <c r="E479">
        <v>8</v>
      </c>
      <c r="F479">
        <v>4634.6000000000004</v>
      </c>
    </row>
    <row r="480" spans="1:6" x14ac:dyDescent="0.3">
      <c r="A480">
        <v>2023</v>
      </c>
      <c r="B480">
        <v>4</v>
      </c>
      <c r="C480" s="105" t="s">
        <v>40</v>
      </c>
      <c r="D480" s="105" t="s">
        <v>20</v>
      </c>
      <c r="E480">
        <v>61</v>
      </c>
      <c r="F480">
        <v>44036.81</v>
      </c>
    </row>
    <row r="481" spans="1:6" hidden="1" x14ac:dyDescent="0.3">
      <c r="A481">
        <v>2023</v>
      </c>
      <c r="B481">
        <v>4</v>
      </c>
      <c r="C481" s="105" t="s">
        <v>40</v>
      </c>
      <c r="D481" s="105" t="s">
        <v>21</v>
      </c>
      <c r="E481">
        <v>240</v>
      </c>
      <c r="F481">
        <v>101170.02</v>
      </c>
    </row>
    <row r="482" spans="1:6" hidden="1" x14ac:dyDescent="0.3">
      <c r="A482">
        <v>2023</v>
      </c>
      <c r="B482">
        <v>4</v>
      </c>
      <c r="C482" s="105" t="s">
        <v>40</v>
      </c>
      <c r="D482" s="105" t="s">
        <v>22</v>
      </c>
      <c r="E482">
        <v>17</v>
      </c>
      <c r="F482">
        <v>10385.68</v>
      </c>
    </row>
    <row r="483" spans="1:6" hidden="1" x14ac:dyDescent="0.3">
      <c r="A483">
        <v>2023</v>
      </c>
      <c r="B483">
        <v>4</v>
      </c>
      <c r="C483" s="105" t="s">
        <v>40</v>
      </c>
      <c r="D483" s="105" t="s">
        <v>23</v>
      </c>
      <c r="E483">
        <v>14</v>
      </c>
      <c r="F483">
        <v>10051.780000000001</v>
      </c>
    </row>
    <row r="484" spans="1:6" hidden="1" x14ac:dyDescent="0.3">
      <c r="A484">
        <v>2023</v>
      </c>
      <c r="B484">
        <v>4</v>
      </c>
      <c r="C484" s="105" t="s">
        <v>40</v>
      </c>
      <c r="D484" s="105" t="s">
        <v>24</v>
      </c>
      <c r="E484">
        <v>40</v>
      </c>
      <c r="F484">
        <v>25980.83</v>
      </c>
    </row>
    <row r="485" spans="1:6" hidden="1" x14ac:dyDescent="0.3">
      <c r="A485">
        <v>2023</v>
      </c>
      <c r="B485">
        <v>4</v>
      </c>
      <c r="C485" s="105" t="s">
        <v>40</v>
      </c>
      <c r="D485" s="105" t="s">
        <v>25</v>
      </c>
      <c r="E485">
        <v>65</v>
      </c>
      <c r="F485">
        <v>53469.23</v>
      </c>
    </row>
    <row r="486" spans="1:6" hidden="1" x14ac:dyDescent="0.3">
      <c r="A486">
        <v>2023</v>
      </c>
      <c r="B486">
        <v>4</v>
      </c>
      <c r="C486" s="105" t="s">
        <v>40</v>
      </c>
      <c r="D486" s="105" t="s">
        <v>26</v>
      </c>
      <c r="E486">
        <v>14</v>
      </c>
      <c r="F486">
        <v>9326.9</v>
      </c>
    </row>
    <row r="487" spans="1:6" hidden="1" x14ac:dyDescent="0.3">
      <c r="A487">
        <v>2023</v>
      </c>
      <c r="B487">
        <v>4</v>
      </c>
      <c r="C487" s="105" t="s">
        <v>40</v>
      </c>
      <c r="D487" s="105" t="s">
        <v>27</v>
      </c>
      <c r="E487">
        <v>41</v>
      </c>
      <c r="F487">
        <v>32318.400000000001</v>
      </c>
    </row>
    <row r="488" spans="1:6" hidden="1" x14ac:dyDescent="0.3">
      <c r="A488">
        <v>2023</v>
      </c>
      <c r="B488">
        <v>4</v>
      </c>
      <c r="C488" s="105" t="s">
        <v>40</v>
      </c>
      <c r="D488" s="105" t="s">
        <v>28</v>
      </c>
      <c r="E488">
        <v>8</v>
      </c>
      <c r="F488">
        <v>6378.72</v>
      </c>
    </row>
    <row r="489" spans="1:6" hidden="1" x14ac:dyDescent="0.3">
      <c r="A489">
        <v>2023</v>
      </c>
      <c r="B489">
        <v>4</v>
      </c>
      <c r="C489" s="105" t="s">
        <v>40</v>
      </c>
      <c r="D489" s="105" t="s">
        <v>29</v>
      </c>
      <c r="E489">
        <v>54</v>
      </c>
      <c r="F489">
        <v>43110.879999999997</v>
      </c>
    </row>
    <row r="490" spans="1:6" hidden="1" x14ac:dyDescent="0.3">
      <c r="A490">
        <v>2023</v>
      </c>
      <c r="B490">
        <v>4</v>
      </c>
      <c r="C490" s="105" t="s">
        <v>40</v>
      </c>
      <c r="D490" s="105" t="s">
        <v>30</v>
      </c>
      <c r="E490">
        <v>23</v>
      </c>
      <c r="F490">
        <v>12969.72</v>
      </c>
    </row>
    <row r="491" spans="1:6" hidden="1" x14ac:dyDescent="0.3">
      <c r="A491">
        <v>2023</v>
      </c>
      <c r="B491">
        <v>4</v>
      </c>
      <c r="C491" s="105" t="s">
        <v>40</v>
      </c>
      <c r="D491" s="105" t="s">
        <v>31</v>
      </c>
      <c r="E491">
        <v>90</v>
      </c>
      <c r="F491">
        <v>67436.490000000005</v>
      </c>
    </row>
    <row r="492" spans="1:6" hidden="1" x14ac:dyDescent="0.3">
      <c r="A492">
        <v>2023</v>
      </c>
      <c r="B492">
        <v>4</v>
      </c>
      <c r="C492" s="105" t="s">
        <v>40</v>
      </c>
      <c r="D492" s="105" t="s">
        <v>32</v>
      </c>
      <c r="E492">
        <v>13</v>
      </c>
      <c r="F492">
        <v>10108</v>
      </c>
    </row>
    <row r="493" spans="1:6" hidden="1" x14ac:dyDescent="0.3">
      <c r="A493">
        <v>2023</v>
      </c>
      <c r="B493">
        <v>4</v>
      </c>
      <c r="C493" s="105" t="s">
        <v>40</v>
      </c>
      <c r="D493" s="105" t="s">
        <v>33</v>
      </c>
      <c r="E493">
        <v>76</v>
      </c>
      <c r="F493">
        <v>67575.86</v>
      </c>
    </row>
    <row r="494" spans="1:6" hidden="1" x14ac:dyDescent="0.3">
      <c r="A494">
        <v>2023</v>
      </c>
      <c r="B494">
        <v>4</v>
      </c>
      <c r="C494" s="105" t="s">
        <v>40</v>
      </c>
      <c r="D494" s="105" t="s">
        <v>34</v>
      </c>
      <c r="E494">
        <v>69</v>
      </c>
      <c r="F494">
        <v>49230.84</v>
      </c>
    </row>
    <row r="495" spans="1:6" hidden="1" x14ac:dyDescent="0.3">
      <c r="A495">
        <v>2023</v>
      </c>
      <c r="B495">
        <v>4</v>
      </c>
      <c r="C495" s="105" t="s">
        <v>40</v>
      </c>
      <c r="D495" s="105" t="s">
        <v>35</v>
      </c>
      <c r="E495">
        <v>24</v>
      </c>
      <c r="F495">
        <v>17332.29</v>
      </c>
    </row>
    <row r="496" spans="1:6" hidden="1" x14ac:dyDescent="0.3">
      <c r="A496">
        <v>2023</v>
      </c>
      <c r="B496">
        <v>4</v>
      </c>
      <c r="C496" s="105" t="s">
        <v>40</v>
      </c>
      <c r="D496" s="105" t="s">
        <v>36</v>
      </c>
      <c r="E496">
        <v>50</v>
      </c>
      <c r="F496">
        <v>37568.97</v>
      </c>
    </row>
    <row r="497" spans="1:6" hidden="1" x14ac:dyDescent="0.3">
      <c r="A497">
        <v>2023</v>
      </c>
      <c r="B497">
        <v>4</v>
      </c>
      <c r="C497" s="105" t="s">
        <v>40</v>
      </c>
      <c r="D497" s="105" t="s">
        <v>37</v>
      </c>
      <c r="E497">
        <v>54</v>
      </c>
      <c r="F497">
        <v>39466.28</v>
      </c>
    </row>
    <row r="498" spans="1:6" hidden="1" x14ac:dyDescent="0.3">
      <c r="A498">
        <v>2023</v>
      </c>
      <c r="B498">
        <v>5</v>
      </c>
      <c r="C498" s="105" t="s">
        <v>41</v>
      </c>
      <c r="D498" s="105" t="s">
        <v>7</v>
      </c>
      <c r="E498">
        <v>20</v>
      </c>
      <c r="F498">
        <v>13948.1</v>
      </c>
    </row>
    <row r="499" spans="1:6" hidden="1" x14ac:dyDescent="0.3">
      <c r="A499">
        <v>2023</v>
      </c>
      <c r="B499">
        <v>5</v>
      </c>
      <c r="C499" s="105" t="s">
        <v>41</v>
      </c>
      <c r="D499" s="105" t="s">
        <v>8</v>
      </c>
      <c r="E499">
        <v>44</v>
      </c>
      <c r="F499">
        <v>29131.56</v>
      </c>
    </row>
    <row r="500" spans="1:6" hidden="1" x14ac:dyDescent="0.3">
      <c r="A500">
        <v>2023</v>
      </c>
      <c r="B500">
        <v>5</v>
      </c>
      <c r="C500" s="105" t="s">
        <v>41</v>
      </c>
      <c r="D500" s="105" t="s">
        <v>9</v>
      </c>
      <c r="E500">
        <v>19</v>
      </c>
      <c r="F500">
        <v>14546.25</v>
      </c>
    </row>
    <row r="501" spans="1:6" hidden="1" x14ac:dyDescent="0.3">
      <c r="A501">
        <v>2023</v>
      </c>
      <c r="B501">
        <v>5</v>
      </c>
      <c r="C501" s="105" t="s">
        <v>41</v>
      </c>
      <c r="D501" s="105" t="s">
        <v>10</v>
      </c>
      <c r="E501">
        <v>50</v>
      </c>
      <c r="F501">
        <v>41839.51</v>
      </c>
    </row>
    <row r="502" spans="1:6" hidden="1" x14ac:dyDescent="0.3">
      <c r="A502">
        <v>2023</v>
      </c>
      <c r="B502">
        <v>5</v>
      </c>
      <c r="C502" s="105" t="s">
        <v>41</v>
      </c>
      <c r="D502" s="105" t="s">
        <v>11</v>
      </c>
      <c r="E502">
        <v>40</v>
      </c>
      <c r="F502">
        <v>29020.76</v>
      </c>
    </row>
    <row r="503" spans="1:6" hidden="1" x14ac:dyDescent="0.3">
      <c r="A503">
        <v>2023</v>
      </c>
      <c r="B503">
        <v>5</v>
      </c>
      <c r="C503" s="105" t="s">
        <v>41</v>
      </c>
      <c r="D503" s="105" t="s">
        <v>12</v>
      </c>
      <c r="E503">
        <v>68</v>
      </c>
      <c r="F503">
        <v>45595.57</v>
      </c>
    </row>
    <row r="504" spans="1:6" hidden="1" x14ac:dyDescent="0.3">
      <c r="A504">
        <v>2023</v>
      </c>
      <c r="B504">
        <v>5</v>
      </c>
      <c r="C504" s="105" t="s">
        <v>41</v>
      </c>
      <c r="D504" s="105" t="s">
        <v>13</v>
      </c>
      <c r="E504">
        <v>141</v>
      </c>
      <c r="F504">
        <v>102999.1</v>
      </c>
    </row>
    <row r="505" spans="1:6" hidden="1" x14ac:dyDescent="0.3">
      <c r="A505">
        <v>2023</v>
      </c>
      <c r="B505">
        <v>5</v>
      </c>
      <c r="C505" s="105" t="s">
        <v>41</v>
      </c>
      <c r="D505" s="105" t="s">
        <v>14</v>
      </c>
      <c r="E505">
        <v>71</v>
      </c>
      <c r="F505">
        <v>47830.13</v>
      </c>
    </row>
    <row r="506" spans="1:6" hidden="1" x14ac:dyDescent="0.3">
      <c r="A506">
        <v>2023</v>
      </c>
      <c r="B506">
        <v>5</v>
      </c>
      <c r="C506" s="105" t="s">
        <v>41</v>
      </c>
      <c r="D506" s="105" t="s">
        <v>15</v>
      </c>
      <c r="E506">
        <v>19</v>
      </c>
      <c r="F506">
        <v>13153</v>
      </c>
    </row>
    <row r="507" spans="1:6" hidden="1" x14ac:dyDescent="0.3">
      <c r="A507">
        <v>2023</v>
      </c>
      <c r="B507">
        <v>5</v>
      </c>
      <c r="C507" s="105" t="s">
        <v>41</v>
      </c>
      <c r="D507" s="105" t="s">
        <v>16</v>
      </c>
      <c r="E507">
        <v>18</v>
      </c>
      <c r="F507">
        <v>14163.6</v>
      </c>
    </row>
    <row r="508" spans="1:6" hidden="1" x14ac:dyDescent="0.3">
      <c r="A508">
        <v>2023</v>
      </c>
      <c r="B508">
        <v>5</v>
      </c>
      <c r="C508" s="105" t="s">
        <v>41</v>
      </c>
      <c r="D508" s="105" t="s">
        <v>17</v>
      </c>
      <c r="E508">
        <v>63</v>
      </c>
      <c r="F508">
        <v>43020.73</v>
      </c>
    </row>
    <row r="509" spans="1:6" hidden="1" x14ac:dyDescent="0.3">
      <c r="A509">
        <v>2023</v>
      </c>
      <c r="B509">
        <v>5</v>
      </c>
      <c r="C509" s="105" t="s">
        <v>41</v>
      </c>
      <c r="D509" s="105" t="s">
        <v>18</v>
      </c>
      <c r="E509">
        <v>70</v>
      </c>
      <c r="F509">
        <v>59620.959999999999</v>
      </c>
    </row>
    <row r="510" spans="1:6" hidden="1" x14ac:dyDescent="0.3">
      <c r="A510">
        <v>2023</v>
      </c>
      <c r="B510">
        <v>5</v>
      </c>
      <c r="C510" s="105" t="s">
        <v>41</v>
      </c>
      <c r="D510" s="105" t="s">
        <v>19</v>
      </c>
      <c r="E510">
        <v>16</v>
      </c>
      <c r="F510">
        <v>10374.18</v>
      </c>
    </row>
    <row r="511" spans="1:6" x14ac:dyDescent="0.3">
      <c r="A511">
        <v>2023</v>
      </c>
      <c r="B511">
        <v>5</v>
      </c>
      <c r="C511" s="105" t="s">
        <v>41</v>
      </c>
      <c r="D511" s="105" t="s">
        <v>20</v>
      </c>
      <c r="E511">
        <v>85</v>
      </c>
      <c r="F511">
        <v>54602.44</v>
      </c>
    </row>
    <row r="512" spans="1:6" hidden="1" x14ac:dyDescent="0.3">
      <c r="A512">
        <v>2023</v>
      </c>
      <c r="B512">
        <v>5</v>
      </c>
      <c r="C512" s="105" t="s">
        <v>41</v>
      </c>
      <c r="D512" s="105" t="s">
        <v>21</v>
      </c>
      <c r="E512">
        <v>57</v>
      </c>
      <c r="F512">
        <v>44938.83</v>
      </c>
    </row>
    <row r="513" spans="1:6" hidden="1" x14ac:dyDescent="0.3">
      <c r="A513">
        <v>2023</v>
      </c>
      <c r="B513">
        <v>5</v>
      </c>
      <c r="C513" s="105" t="s">
        <v>41</v>
      </c>
      <c r="D513" s="105" t="s">
        <v>22</v>
      </c>
      <c r="E513">
        <v>42</v>
      </c>
      <c r="F513">
        <v>29670.799999999999</v>
      </c>
    </row>
    <row r="514" spans="1:6" hidden="1" x14ac:dyDescent="0.3">
      <c r="A514">
        <v>2023</v>
      </c>
      <c r="B514">
        <v>5</v>
      </c>
      <c r="C514" s="105" t="s">
        <v>41</v>
      </c>
      <c r="D514" s="105" t="s">
        <v>23</v>
      </c>
      <c r="E514">
        <v>25</v>
      </c>
      <c r="F514">
        <v>21658.799999999999</v>
      </c>
    </row>
    <row r="515" spans="1:6" hidden="1" x14ac:dyDescent="0.3">
      <c r="A515">
        <v>2023</v>
      </c>
      <c r="B515">
        <v>5</v>
      </c>
      <c r="C515" s="105" t="s">
        <v>41</v>
      </c>
      <c r="D515" s="105" t="s">
        <v>24</v>
      </c>
      <c r="E515">
        <v>58</v>
      </c>
      <c r="F515">
        <v>40535.47</v>
      </c>
    </row>
    <row r="516" spans="1:6" hidden="1" x14ac:dyDescent="0.3">
      <c r="A516">
        <v>2023</v>
      </c>
      <c r="B516">
        <v>5</v>
      </c>
      <c r="C516" s="105" t="s">
        <v>41</v>
      </c>
      <c r="D516" s="105" t="s">
        <v>25</v>
      </c>
      <c r="E516">
        <v>110</v>
      </c>
      <c r="F516">
        <v>79291.56</v>
      </c>
    </row>
    <row r="517" spans="1:6" hidden="1" x14ac:dyDescent="0.3">
      <c r="A517">
        <v>2023</v>
      </c>
      <c r="B517">
        <v>5</v>
      </c>
      <c r="C517" s="105" t="s">
        <v>41</v>
      </c>
      <c r="D517" s="105" t="s">
        <v>26</v>
      </c>
      <c r="E517">
        <v>22</v>
      </c>
      <c r="F517">
        <v>15858.2</v>
      </c>
    </row>
    <row r="518" spans="1:6" hidden="1" x14ac:dyDescent="0.3">
      <c r="A518">
        <v>2023</v>
      </c>
      <c r="B518">
        <v>5</v>
      </c>
      <c r="C518" s="105" t="s">
        <v>41</v>
      </c>
      <c r="D518" s="105" t="s">
        <v>27</v>
      </c>
      <c r="E518">
        <v>49</v>
      </c>
      <c r="F518">
        <v>37830.879999999997</v>
      </c>
    </row>
    <row r="519" spans="1:6" hidden="1" x14ac:dyDescent="0.3">
      <c r="A519">
        <v>2023</v>
      </c>
      <c r="B519">
        <v>5</v>
      </c>
      <c r="C519" s="105" t="s">
        <v>41</v>
      </c>
      <c r="D519" s="105" t="s">
        <v>28</v>
      </c>
      <c r="E519">
        <v>6</v>
      </c>
      <c r="F519">
        <v>4081.7</v>
      </c>
    </row>
    <row r="520" spans="1:6" hidden="1" x14ac:dyDescent="0.3">
      <c r="A520">
        <v>2023</v>
      </c>
      <c r="B520">
        <v>5</v>
      </c>
      <c r="C520" s="105" t="s">
        <v>41</v>
      </c>
      <c r="D520" s="105" t="s">
        <v>29</v>
      </c>
      <c r="E520">
        <v>60</v>
      </c>
      <c r="F520">
        <v>44588.75</v>
      </c>
    </row>
    <row r="521" spans="1:6" hidden="1" x14ac:dyDescent="0.3">
      <c r="A521">
        <v>2023</v>
      </c>
      <c r="B521">
        <v>5</v>
      </c>
      <c r="C521" s="105" t="s">
        <v>41</v>
      </c>
      <c r="D521" s="105" t="s">
        <v>30</v>
      </c>
      <c r="E521">
        <v>15</v>
      </c>
      <c r="F521">
        <v>11254.96</v>
      </c>
    </row>
    <row r="522" spans="1:6" hidden="1" x14ac:dyDescent="0.3">
      <c r="A522">
        <v>2023</v>
      </c>
      <c r="B522">
        <v>5</v>
      </c>
      <c r="C522" s="105" t="s">
        <v>41</v>
      </c>
      <c r="D522" s="105" t="s">
        <v>31</v>
      </c>
      <c r="E522">
        <v>94</v>
      </c>
      <c r="F522">
        <v>69916.479999999996</v>
      </c>
    </row>
    <row r="523" spans="1:6" hidden="1" x14ac:dyDescent="0.3">
      <c r="A523">
        <v>2023</v>
      </c>
      <c r="B523">
        <v>5</v>
      </c>
      <c r="C523" s="105" t="s">
        <v>41</v>
      </c>
      <c r="D523" s="105" t="s">
        <v>32</v>
      </c>
      <c r="E523">
        <v>25</v>
      </c>
      <c r="F523">
        <v>19661</v>
      </c>
    </row>
    <row r="524" spans="1:6" hidden="1" x14ac:dyDescent="0.3">
      <c r="A524">
        <v>2023</v>
      </c>
      <c r="B524">
        <v>5</v>
      </c>
      <c r="C524" s="105" t="s">
        <v>41</v>
      </c>
      <c r="D524" s="105" t="s">
        <v>33</v>
      </c>
      <c r="E524">
        <v>122</v>
      </c>
      <c r="F524">
        <v>108200.85</v>
      </c>
    </row>
    <row r="525" spans="1:6" hidden="1" x14ac:dyDescent="0.3">
      <c r="A525">
        <v>2023</v>
      </c>
      <c r="B525">
        <v>5</v>
      </c>
      <c r="C525" s="105" t="s">
        <v>41</v>
      </c>
      <c r="D525" s="105" t="s">
        <v>34</v>
      </c>
      <c r="E525">
        <v>57</v>
      </c>
      <c r="F525">
        <v>44152.639999999999</v>
      </c>
    </row>
    <row r="526" spans="1:6" hidden="1" x14ac:dyDescent="0.3">
      <c r="A526">
        <v>2023</v>
      </c>
      <c r="B526">
        <v>5</v>
      </c>
      <c r="C526" s="105" t="s">
        <v>41</v>
      </c>
      <c r="D526" s="105" t="s">
        <v>35</v>
      </c>
      <c r="E526">
        <v>33</v>
      </c>
      <c r="F526">
        <v>24541.41</v>
      </c>
    </row>
    <row r="527" spans="1:6" hidden="1" x14ac:dyDescent="0.3">
      <c r="A527">
        <v>2023</v>
      </c>
      <c r="B527">
        <v>5</v>
      </c>
      <c r="C527" s="105" t="s">
        <v>41</v>
      </c>
      <c r="D527" s="105" t="s">
        <v>36</v>
      </c>
      <c r="E527">
        <v>70</v>
      </c>
      <c r="F527">
        <v>49730.63</v>
      </c>
    </row>
    <row r="528" spans="1:6" hidden="1" x14ac:dyDescent="0.3">
      <c r="A528">
        <v>2023</v>
      </c>
      <c r="B528">
        <v>5</v>
      </c>
      <c r="C528" s="105" t="s">
        <v>41</v>
      </c>
      <c r="D528" s="105" t="s">
        <v>37</v>
      </c>
      <c r="E528">
        <v>41</v>
      </c>
      <c r="F528">
        <v>30259.73</v>
      </c>
    </row>
    <row r="529" spans="1:6" hidden="1" x14ac:dyDescent="0.3">
      <c r="A529">
        <v>2023</v>
      </c>
      <c r="B529">
        <v>6</v>
      </c>
      <c r="C529" s="105" t="s">
        <v>42</v>
      </c>
      <c r="D529" s="105" t="s">
        <v>7</v>
      </c>
      <c r="E529">
        <v>35</v>
      </c>
      <c r="F529">
        <v>30252.12</v>
      </c>
    </row>
    <row r="530" spans="1:6" hidden="1" x14ac:dyDescent="0.3">
      <c r="A530">
        <v>2023</v>
      </c>
      <c r="B530">
        <v>6</v>
      </c>
      <c r="C530" s="105" t="s">
        <v>42</v>
      </c>
      <c r="D530" s="105" t="s">
        <v>8</v>
      </c>
      <c r="E530">
        <v>58</v>
      </c>
      <c r="F530">
        <v>40632.550000000003</v>
      </c>
    </row>
    <row r="531" spans="1:6" hidden="1" x14ac:dyDescent="0.3">
      <c r="A531">
        <v>2023</v>
      </c>
      <c r="B531">
        <v>6</v>
      </c>
      <c r="C531" s="105" t="s">
        <v>42</v>
      </c>
      <c r="D531" s="105" t="s">
        <v>9</v>
      </c>
      <c r="E531">
        <v>17</v>
      </c>
      <c r="F531">
        <v>11224.02</v>
      </c>
    </row>
    <row r="532" spans="1:6" hidden="1" x14ac:dyDescent="0.3">
      <c r="A532">
        <v>2023</v>
      </c>
      <c r="B532">
        <v>6</v>
      </c>
      <c r="C532" s="105" t="s">
        <v>42</v>
      </c>
      <c r="D532" s="105" t="s">
        <v>10</v>
      </c>
      <c r="E532">
        <v>57</v>
      </c>
      <c r="F532">
        <v>55448.65</v>
      </c>
    </row>
    <row r="533" spans="1:6" hidden="1" x14ac:dyDescent="0.3">
      <c r="A533">
        <v>2023</v>
      </c>
      <c r="B533">
        <v>6</v>
      </c>
      <c r="C533" s="105" t="s">
        <v>42</v>
      </c>
      <c r="D533" s="105" t="s">
        <v>11</v>
      </c>
      <c r="E533">
        <v>61</v>
      </c>
      <c r="F533">
        <v>50954.27</v>
      </c>
    </row>
    <row r="534" spans="1:6" hidden="1" x14ac:dyDescent="0.3">
      <c r="A534">
        <v>2023</v>
      </c>
      <c r="B534">
        <v>6</v>
      </c>
      <c r="C534" s="105" t="s">
        <v>42</v>
      </c>
      <c r="D534" s="105" t="s">
        <v>12</v>
      </c>
      <c r="E534">
        <v>51</v>
      </c>
      <c r="F534">
        <v>32015.66</v>
      </c>
    </row>
    <row r="535" spans="1:6" hidden="1" x14ac:dyDescent="0.3">
      <c r="A535">
        <v>2023</v>
      </c>
      <c r="B535">
        <v>6</v>
      </c>
      <c r="C535" s="105" t="s">
        <v>42</v>
      </c>
      <c r="D535" s="105" t="s">
        <v>13</v>
      </c>
      <c r="E535">
        <v>81</v>
      </c>
      <c r="F535">
        <v>53224.65</v>
      </c>
    </row>
    <row r="536" spans="1:6" hidden="1" x14ac:dyDescent="0.3">
      <c r="A536">
        <v>2023</v>
      </c>
      <c r="B536">
        <v>6</v>
      </c>
      <c r="C536" s="105" t="s">
        <v>42</v>
      </c>
      <c r="D536" s="105" t="s">
        <v>14</v>
      </c>
      <c r="E536">
        <v>79</v>
      </c>
      <c r="F536">
        <v>48160.9</v>
      </c>
    </row>
    <row r="537" spans="1:6" hidden="1" x14ac:dyDescent="0.3">
      <c r="A537">
        <v>2023</v>
      </c>
      <c r="B537">
        <v>6</v>
      </c>
      <c r="C537" s="105" t="s">
        <v>42</v>
      </c>
      <c r="D537" s="105" t="s">
        <v>15</v>
      </c>
      <c r="E537">
        <v>20</v>
      </c>
      <c r="F537">
        <v>14915.28</v>
      </c>
    </row>
    <row r="538" spans="1:6" hidden="1" x14ac:dyDescent="0.3">
      <c r="A538">
        <v>2023</v>
      </c>
      <c r="B538">
        <v>6</v>
      </c>
      <c r="C538" s="105" t="s">
        <v>42</v>
      </c>
      <c r="D538" s="105" t="s">
        <v>16</v>
      </c>
      <c r="E538">
        <v>15</v>
      </c>
      <c r="F538">
        <v>12111</v>
      </c>
    </row>
    <row r="539" spans="1:6" hidden="1" x14ac:dyDescent="0.3">
      <c r="A539">
        <v>2023</v>
      </c>
      <c r="B539">
        <v>6</v>
      </c>
      <c r="C539" s="105" t="s">
        <v>42</v>
      </c>
      <c r="D539" s="105" t="s">
        <v>17</v>
      </c>
      <c r="E539">
        <v>79</v>
      </c>
      <c r="F539">
        <v>68482.460000000006</v>
      </c>
    </row>
    <row r="540" spans="1:6" hidden="1" x14ac:dyDescent="0.3">
      <c r="A540">
        <v>2023</v>
      </c>
      <c r="B540">
        <v>6</v>
      </c>
      <c r="C540" s="105" t="s">
        <v>42</v>
      </c>
      <c r="D540" s="105" t="s">
        <v>18</v>
      </c>
      <c r="E540">
        <v>123</v>
      </c>
      <c r="F540">
        <v>117023.98</v>
      </c>
    </row>
    <row r="541" spans="1:6" hidden="1" x14ac:dyDescent="0.3">
      <c r="A541">
        <v>2023</v>
      </c>
      <c r="B541">
        <v>6</v>
      </c>
      <c r="C541" s="105" t="s">
        <v>42</v>
      </c>
      <c r="D541" s="105" t="s">
        <v>19</v>
      </c>
      <c r="E541">
        <v>18</v>
      </c>
      <c r="F541">
        <v>10234.26</v>
      </c>
    </row>
    <row r="542" spans="1:6" x14ac:dyDescent="0.3">
      <c r="A542">
        <v>2023</v>
      </c>
      <c r="B542">
        <v>6</v>
      </c>
      <c r="C542" s="105" t="s">
        <v>42</v>
      </c>
      <c r="D542" s="105" t="s">
        <v>20</v>
      </c>
      <c r="E542">
        <v>80</v>
      </c>
      <c r="F542">
        <v>59091.78</v>
      </c>
    </row>
    <row r="543" spans="1:6" hidden="1" x14ac:dyDescent="0.3">
      <c r="A543">
        <v>2023</v>
      </c>
      <c r="B543">
        <v>6</v>
      </c>
      <c r="C543" s="105" t="s">
        <v>42</v>
      </c>
      <c r="D543" s="105" t="s">
        <v>21</v>
      </c>
      <c r="E543">
        <v>133</v>
      </c>
      <c r="F543">
        <v>116427.19</v>
      </c>
    </row>
    <row r="544" spans="1:6" hidden="1" x14ac:dyDescent="0.3">
      <c r="A544">
        <v>2023</v>
      </c>
      <c r="B544">
        <v>6</v>
      </c>
      <c r="C544" s="105" t="s">
        <v>42</v>
      </c>
      <c r="D544" s="105" t="s">
        <v>22</v>
      </c>
      <c r="E544">
        <v>52</v>
      </c>
      <c r="F544">
        <v>35095.06</v>
      </c>
    </row>
    <row r="545" spans="1:6" hidden="1" x14ac:dyDescent="0.3">
      <c r="A545">
        <v>2023</v>
      </c>
      <c r="B545">
        <v>6</v>
      </c>
      <c r="C545" s="105" t="s">
        <v>42</v>
      </c>
      <c r="D545" s="105" t="s">
        <v>23</v>
      </c>
      <c r="E545">
        <v>27</v>
      </c>
      <c r="F545">
        <v>29100.16</v>
      </c>
    </row>
    <row r="546" spans="1:6" hidden="1" x14ac:dyDescent="0.3">
      <c r="A546">
        <v>2023</v>
      </c>
      <c r="B546">
        <v>6</v>
      </c>
      <c r="C546" s="105" t="s">
        <v>42</v>
      </c>
      <c r="D546" s="105" t="s">
        <v>24</v>
      </c>
      <c r="E546">
        <v>80</v>
      </c>
      <c r="F546">
        <v>51063.79</v>
      </c>
    </row>
    <row r="547" spans="1:6" hidden="1" x14ac:dyDescent="0.3">
      <c r="A547">
        <v>2023</v>
      </c>
      <c r="B547">
        <v>6</v>
      </c>
      <c r="C547" s="105" t="s">
        <v>42</v>
      </c>
      <c r="D547" s="105" t="s">
        <v>25</v>
      </c>
      <c r="E547">
        <v>97</v>
      </c>
      <c r="F547">
        <v>76388.27</v>
      </c>
    </row>
    <row r="548" spans="1:6" hidden="1" x14ac:dyDescent="0.3">
      <c r="A548">
        <v>2023</v>
      </c>
      <c r="B548">
        <v>6</v>
      </c>
      <c r="C548" s="105" t="s">
        <v>42</v>
      </c>
      <c r="D548" s="105" t="s">
        <v>26</v>
      </c>
      <c r="E548">
        <v>24</v>
      </c>
      <c r="F548">
        <v>15597.35</v>
      </c>
    </row>
    <row r="549" spans="1:6" hidden="1" x14ac:dyDescent="0.3">
      <c r="A549">
        <v>2023</v>
      </c>
      <c r="B549">
        <v>6</v>
      </c>
      <c r="C549" s="105" t="s">
        <v>42</v>
      </c>
      <c r="D549" s="105" t="s">
        <v>27</v>
      </c>
      <c r="E549">
        <v>52</v>
      </c>
      <c r="F549">
        <v>40803.93</v>
      </c>
    </row>
    <row r="550" spans="1:6" hidden="1" x14ac:dyDescent="0.3">
      <c r="A550">
        <v>2023</v>
      </c>
      <c r="B550">
        <v>6</v>
      </c>
      <c r="C550" s="105" t="s">
        <v>42</v>
      </c>
      <c r="D550" s="105" t="s">
        <v>28</v>
      </c>
      <c r="E550">
        <v>9</v>
      </c>
      <c r="F550">
        <v>6182.86</v>
      </c>
    </row>
    <row r="551" spans="1:6" hidden="1" x14ac:dyDescent="0.3">
      <c r="A551">
        <v>2023</v>
      </c>
      <c r="B551">
        <v>6</v>
      </c>
      <c r="C551" s="105" t="s">
        <v>42</v>
      </c>
      <c r="D551" s="105" t="s">
        <v>29</v>
      </c>
      <c r="E551">
        <v>83</v>
      </c>
      <c r="F551">
        <v>67758.75</v>
      </c>
    </row>
    <row r="552" spans="1:6" hidden="1" x14ac:dyDescent="0.3">
      <c r="A552">
        <v>2023</v>
      </c>
      <c r="B552">
        <v>6</v>
      </c>
      <c r="C552" s="105" t="s">
        <v>42</v>
      </c>
      <c r="D552" s="105" t="s">
        <v>30</v>
      </c>
      <c r="E552">
        <v>18</v>
      </c>
      <c r="F552">
        <v>13166.48</v>
      </c>
    </row>
    <row r="553" spans="1:6" hidden="1" x14ac:dyDescent="0.3">
      <c r="A553">
        <v>2023</v>
      </c>
      <c r="B553">
        <v>6</v>
      </c>
      <c r="C553" s="105" t="s">
        <v>42</v>
      </c>
      <c r="D553" s="105" t="s">
        <v>31</v>
      </c>
      <c r="E553">
        <v>187</v>
      </c>
      <c r="F553">
        <v>153005.85</v>
      </c>
    </row>
    <row r="554" spans="1:6" hidden="1" x14ac:dyDescent="0.3">
      <c r="A554">
        <v>2023</v>
      </c>
      <c r="B554">
        <v>6</v>
      </c>
      <c r="C554" s="105" t="s">
        <v>42</v>
      </c>
      <c r="D554" s="105" t="s">
        <v>32</v>
      </c>
      <c r="E554">
        <v>19</v>
      </c>
      <c r="F554">
        <v>17810</v>
      </c>
    </row>
    <row r="555" spans="1:6" hidden="1" x14ac:dyDescent="0.3">
      <c r="A555">
        <v>2023</v>
      </c>
      <c r="B555">
        <v>6</v>
      </c>
      <c r="C555" s="105" t="s">
        <v>42</v>
      </c>
      <c r="D555" s="105" t="s">
        <v>33</v>
      </c>
      <c r="E555">
        <v>204</v>
      </c>
      <c r="F555">
        <v>148370.03</v>
      </c>
    </row>
    <row r="556" spans="1:6" hidden="1" x14ac:dyDescent="0.3">
      <c r="A556">
        <v>2023</v>
      </c>
      <c r="B556">
        <v>6</v>
      </c>
      <c r="C556" s="105" t="s">
        <v>42</v>
      </c>
      <c r="D556" s="105" t="s">
        <v>34</v>
      </c>
      <c r="E556">
        <v>89</v>
      </c>
      <c r="F556">
        <v>65153.02</v>
      </c>
    </row>
    <row r="557" spans="1:6" hidden="1" x14ac:dyDescent="0.3">
      <c r="A557">
        <v>2023</v>
      </c>
      <c r="B557">
        <v>6</v>
      </c>
      <c r="C557" s="105" t="s">
        <v>42</v>
      </c>
      <c r="D557" s="105" t="s">
        <v>35</v>
      </c>
      <c r="E557">
        <v>55</v>
      </c>
      <c r="F557">
        <v>40345.67</v>
      </c>
    </row>
    <row r="558" spans="1:6" hidden="1" x14ac:dyDescent="0.3">
      <c r="A558">
        <v>2023</v>
      </c>
      <c r="B558">
        <v>6</v>
      </c>
      <c r="C558" s="105" t="s">
        <v>42</v>
      </c>
      <c r="D558" s="105" t="s">
        <v>36</v>
      </c>
      <c r="E558">
        <v>66</v>
      </c>
      <c r="F558">
        <v>46824.49</v>
      </c>
    </row>
    <row r="559" spans="1:6" hidden="1" x14ac:dyDescent="0.3">
      <c r="A559">
        <v>2023</v>
      </c>
      <c r="B559">
        <v>6</v>
      </c>
      <c r="C559" s="105" t="s">
        <v>42</v>
      </c>
      <c r="D559" s="105" t="s">
        <v>37</v>
      </c>
      <c r="E559">
        <v>54</v>
      </c>
      <c r="F559">
        <v>47292.29</v>
      </c>
    </row>
    <row r="560" spans="1:6" hidden="1" x14ac:dyDescent="0.3">
      <c r="A560">
        <v>2023</v>
      </c>
      <c r="B560">
        <v>7</v>
      </c>
      <c r="C560" s="105" t="s">
        <v>43</v>
      </c>
      <c r="D560" s="105" t="s">
        <v>7</v>
      </c>
      <c r="E560">
        <v>20</v>
      </c>
      <c r="F560">
        <v>16124.9</v>
      </c>
    </row>
    <row r="561" spans="1:6" hidden="1" x14ac:dyDescent="0.3">
      <c r="A561">
        <v>2023</v>
      </c>
      <c r="B561">
        <v>7</v>
      </c>
      <c r="C561" s="105" t="s">
        <v>43</v>
      </c>
      <c r="D561" s="105" t="s">
        <v>8</v>
      </c>
      <c r="E561">
        <v>26</v>
      </c>
      <c r="F561">
        <v>18347.919999999998</v>
      </c>
    </row>
    <row r="562" spans="1:6" hidden="1" x14ac:dyDescent="0.3">
      <c r="A562">
        <v>2023</v>
      </c>
      <c r="B562">
        <v>7</v>
      </c>
      <c r="C562" s="105" t="s">
        <v>43</v>
      </c>
      <c r="D562" s="105" t="s">
        <v>9</v>
      </c>
      <c r="E562">
        <v>12</v>
      </c>
      <c r="F562">
        <v>9426.56</v>
      </c>
    </row>
    <row r="563" spans="1:6" hidden="1" x14ac:dyDescent="0.3">
      <c r="A563">
        <v>2023</v>
      </c>
      <c r="B563">
        <v>7</v>
      </c>
      <c r="C563" s="105" t="s">
        <v>43</v>
      </c>
      <c r="D563" s="105" t="s">
        <v>10</v>
      </c>
      <c r="E563">
        <v>25</v>
      </c>
      <c r="F563">
        <v>23341.16</v>
      </c>
    </row>
    <row r="564" spans="1:6" hidden="1" x14ac:dyDescent="0.3">
      <c r="A564">
        <v>2023</v>
      </c>
      <c r="B564">
        <v>7</v>
      </c>
      <c r="C564" s="105" t="s">
        <v>43</v>
      </c>
      <c r="D564" s="105" t="s">
        <v>11</v>
      </c>
      <c r="E564">
        <v>52</v>
      </c>
      <c r="F564">
        <v>38114.080000000002</v>
      </c>
    </row>
    <row r="565" spans="1:6" hidden="1" x14ac:dyDescent="0.3">
      <c r="A565">
        <v>2023</v>
      </c>
      <c r="B565">
        <v>7</v>
      </c>
      <c r="C565" s="105" t="s">
        <v>43</v>
      </c>
      <c r="D565" s="105" t="s">
        <v>12</v>
      </c>
      <c r="E565">
        <v>55</v>
      </c>
      <c r="F565">
        <v>38419.21</v>
      </c>
    </row>
    <row r="566" spans="1:6" hidden="1" x14ac:dyDescent="0.3">
      <c r="A566">
        <v>2023</v>
      </c>
      <c r="B566">
        <v>7</v>
      </c>
      <c r="C566" s="105" t="s">
        <v>43</v>
      </c>
      <c r="D566" s="105" t="s">
        <v>13</v>
      </c>
      <c r="E566">
        <v>100</v>
      </c>
      <c r="F566">
        <v>70468.56</v>
      </c>
    </row>
    <row r="567" spans="1:6" hidden="1" x14ac:dyDescent="0.3">
      <c r="A567">
        <v>2023</v>
      </c>
      <c r="B567">
        <v>7</v>
      </c>
      <c r="C567" s="105" t="s">
        <v>43</v>
      </c>
      <c r="D567" s="105" t="s">
        <v>14</v>
      </c>
      <c r="E567">
        <v>53</v>
      </c>
      <c r="F567">
        <v>36934.25</v>
      </c>
    </row>
    <row r="568" spans="1:6" hidden="1" x14ac:dyDescent="0.3">
      <c r="A568">
        <v>2023</v>
      </c>
      <c r="B568">
        <v>7</v>
      </c>
      <c r="C568" s="105" t="s">
        <v>43</v>
      </c>
      <c r="D568" s="105" t="s">
        <v>15</v>
      </c>
      <c r="E568">
        <v>14</v>
      </c>
      <c r="F568">
        <v>8315.82</v>
      </c>
    </row>
    <row r="569" spans="1:6" hidden="1" x14ac:dyDescent="0.3">
      <c r="A569">
        <v>2023</v>
      </c>
      <c r="B569">
        <v>7</v>
      </c>
      <c r="C569" s="105" t="s">
        <v>43</v>
      </c>
      <c r="D569" s="105" t="s">
        <v>16</v>
      </c>
      <c r="E569">
        <v>15</v>
      </c>
      <c r="F569">
        <v>9064.1200000000008</v>
      </c>
    </row>
    <row r="570" spans="1:6" hidden="1" x14ac:dyDescent="0.3">
      <c r="A570">
        <v>2023</v>
      </c>
      <c r="B570">
        <v>7</v>
      </c>
      <c r="C570" s="105" t="s">
        <v>43</v>
      </c>
      <c r="D570" s="105" t="s">
        <v>17</v>
      </c>
      <c r="E570">
        <v>46</v>
      </c>
      <c r="F570">
        <v>39789.410000000003</v>
      </c>
    </row>
    <row r="571" spans="1:6" hidden="1" x14ac:dyDescent="0.3">
      <c r="A571">
        <v>2023</v>
      </c>
      <c r="B571">
        <v>7</v>
      </c>
      <c r="C571" s="105" t="s">
        <v>43</v>
      </c>
      <c r="D571" s="105" t="s">
        <v>18</v>
      </c>
      <c r="E571">
        <v>101</v>
      </c>
      <c r="F571">
        <v>98176.59</v>
      </c>
    </row>
    <row r="572" spans="1:6" hidden="1" x14ac:dyDescent="0.3">
      <c r="A572">
        <v>2023</v>
      </c>
      <c r="B572">
        <v>7</v>
      </c>
      <c r="C572" s="105" t="s">
        <v>43</v>
      </c>
      <c r="D572" s="105" t="s">
        <v>19</v>
      </c>
      <c r="E572">
        <v>7</v>
      </c>
      <c r="F572">
        <v>4491.3999999999996</v>
      </c>
    </row>
    <row r="573" spans="1:6" x14ac:dyDescent="0.3">
      <c r="A573">
        <v>2023</v>
      </c>
      <c r="B573">
        <v>7</v>
      </c>
      <c r="C573" s="105" t="s">
        <v>43</v>
      </c>
      <c r="D573" s="105" t="s">
        <v>20</v>
      </c>
      <c r="E573">
        <v>87</v>
      </c>
      <c r="F573">
        <v>76242.36</v>
      </c>
    </row>
    <row r="574" spans="1:6" hidden="1" x14ac:dyDescent="0.3">
      <c r="A574">
        <v>2023</v>
      </c>
      <c r="B574">
        <v>7</v>
      </c>
      <c r="C574" s="105" t="s">
        <v>43</v>
      </c>
      <c r="D574" s="105" t="s">
        <v>21</v>
      </c>
      <c r="E574">
        <v>120</v>
      </c>
      <c r="F574">
        <v>98155.520000000004</v>
      </c>
    </row>
    <row r="575" spans="1:6" hidden="1" x14ac:dyDescent="0.3">
      <c r="A575">
        <v>2023</v>
      </c>
      <c r="B575">
        <v>7</v>
      </c>
      <c r="C575" s="105" t="s">
        <v>43</v>
      </c>
      <c r="D575" s="105" t="s">
        <v>22</v>
      </c>
      <c r="E575">
        <v>35</v>
      </c>
      <c r="F575">
        <v>24232.54</v>
      </c>
    </row>
    <row r="576" spans="1:6" hidden="1" x14ac:dyDescent="0.3">
      <c r="A576">
        <v>2023</v>
      </c>
      <c r="B576">
        <v>7</v>
      </c>
      <c r="C576" s="105" t="s">
        <v>43</v>
      </c>
      <c r="D576" s="105" t="s">
        <v>23</v>
      </c>
      <c r="E576">
        <v>29</v>
      </c>
      <c r="F576">
        <v>25482.99</v>
      </c>
    </row>
    <row r="577" spans="1:6" hidden="1" x14ac:dyDescent="0.3">
      <c r="A577">
        <v>2023</v>
      </c>
      <c r="B577">
        <v>7</v>
      </c>
      <c r="C577" s="105" t="s">
        <v>43</v>
      </c>
      <c r="D577" s="105" t="s">
        <v>24</v>
      </c>
      <c r="E577">
        <v>50</v>
      </c>
      <c r="F577">
        <v>32685.71</v>
      </c>
    </row>
    <row r="578" spans="1:6" hidden="1" x14ac:dyDescent="0.3">
      <c r="A578">
        <v>2023</v>
      </c>
      <c r="B578">
        <v>7</v>
      </c>
      <c r="C578" s="105" t="s">
        <v>43</v>
      </c>
      <c r="D578" s="105" t="s">
        <v>25</v>
      </c>
      <c r="E578">
        <v>86</v>
      </c>
      <c r="F578">
        <v>68213.48</v>
      </c>
    </row>
    <row r="579" spans="1:6" hidden="1" x14ac:dyDescent="0.3">
      <c r="A579">
        <v>2023</v>
      </c>
      <c r="B579">
        <v>7</v>
      </c>
      <c r="C579" s="105" t="s">
        <v>43</v>
      </c>
      <c r="D579" s="105" t="s">
        <v>26</v>
      </c>
      <c r="E579">
        <v>21</v>
      </c>
      <c r="F579">
        <v>14467.37</v>
      </c>
    </row>
    <row r="580" spans="1:6" hidden="1" x14ac:dyDescent="0.3">
      <c r="A580">
        <v>2023</v>
      </c>
      <c r="B580">
        <v>7</v>
      </c>
      <c r="C580" s="105" t="s">
        <v>43</v>
      </c>
      <c r="D580" s="105" t="s">
        <v>27</v>
      </c>
      <c r="E580">
        <v>44</v>
      </c>
      <c r="F580">
        <v>31678.75</v>
      </c>
    </row>
    <row r="581" spans="1:6" hidden="1" x14ac:dyDescent="0.3">
      <c r="A581">
        <v>2023</v>
      </c>
      <c r="B581">
        <v>7</v>
      </c>
      <c r="C581" s="105" t="s">
        <v>43</v>
      </c>
      <c r="D581" s="105" t="s">
        <v>28</v>
      </c>
      <c r="E581">
        <v>11</v>
      </c>
      <c r="F581">
        <v>8664</v>
      </c>
    </row>
    <row r="582" spans="1:6" hidden="1" x14ac:dyDescent="0.3">
      <c r="A582">
        <v>2023</v>
      </c>
      <c r="B582">
        <v>7</v>
      </c>
      <c r="C582" s="105" t="s">
        <v>43</v>
      </c>
      <c r="D582" s="105" t="s">
        <v>29</v>
      </c>
      <c r="E582">
        <v>68</v>
      </c>
      <c r="F582">
        <v>57977.91</v>
      </c>
    </row>
    <row r="583" spans="1:6" hidden="1" x14ac:dyDescent="0.3">
      <c r="A583">
        <v>2023</v>
      </c>
      <c r="B583">
        <v>7</v>
      </c>
      <c r="C583" s="105" t="s">
        <v>43</v>
      </c>
      <c r="D583" s="105" t="s">
        <v>30</v>
      </c>
      <c r="E583">
        <v>18</v>
      </c>
      <c r="F583">
        <v>16681.8</v>
      </c>
    </row>
    <row r="584" spans="1:6" hidden="1" x14ac:dyDescent="0.3">
      <c r="A584">
        <v>2023</v>
      </c>
      <c r="B584">
        <v>7</v>
      </c>
      <c r="C584" s="105" t="s">
        <v>43</v>
      </c>
      <c r="D584" s="105" t="s">
        <v>31</v>
      </c>
      <c r="E584">
        <v>142</v>
      </c>
      <c r="F584">
        <v>110821.92</v>
      </c>
    </row>
    <row r="585" spans="1:6" hidden="1" x14ac:dyDescent="0.3">
      <c r="A585">
        <v>2023</v>
      </c>
      <c r="B585">
        <v>7</v>
      </c>
      <c r="C585" s="105" t="s">
        <v>43</v>
      </c>
      <c r="D585" s="105" t="s">
        <v>32</v>
      </c>
      <c r="E585">
        <v>20</v>
      </c>
      <c r="F585">
        <v>15348.4</v>
      </c>
    </row>
    <row r="586" spans="1:6" hidden="1" x14ac:dyDescent="0.3">
      <c r="A586">
        <v>2023</v>
      </c>
      <c r="B586">
        <v>7</v>
      </c>
      <c r="C586" s="105" t="s">
        <v>43</v>
      </c>
      <c r="D586" s="105" t="s">
        <v>33</v>
      </c>
      <c r="E586">
        <v>105</v>
      </c>
      <c r="F586">
        <v>95773.96</v>
      </c>
    </row>
    <row r="587" spans="1:6" hidden="1" x14ac:dyDescent="0.3">
      <c r="A587">
        <v>2023</v>
      </c>
      <c r="B587">
        <v>7</v>
      </c>
      <c r="C587" s="105" t="s">
        <v>43</v>
      </c>
      <c r="D587" s="105" t="s">
        <v>34</v>
      </c>
      <c r="E587">
        <v>70</v>
      </c>
      <c r="F587">
        <v>53613.79</v>
      </c>
    </row>
    <row r="588" spans="1:6" hidden="1" x14ac:dyDescent="0.3">
      <c r="A588">
        <v>2023</v>
      </c>
      <c r="B588">
        <v>7</v>
      </c>
      <c r="C588" s="105" t="s">
        <v>43</v>
      </c>
      <c r="D588" s="105" t="s">
        <v>35</v>
      </c>
      <c r="E588">
        <v>62</v>
      </c>
      <c r="F588">
        <v>44441.62</v>
      </c>
    </row>
    <row r="589" spans="1:6" hidden="1" x14ac:dyDescent="0.3">
      <c r="A589">
        <v>2023</v>
      </c>
      <c r="B589">
        <v>7</v>
      </c>
      <c r="C589" s="105" t="s">
        <v>43</v>
      </c>
      <c r="D589" s="105" t="s">
        <v>36</v>
      </c>
      <c r="E589">
        <v>44</v>
      </c>
      <c r="F589">
        <v>35694.5</v>
      </c>
    </row>
    <row r="590" spans="1:6" hidden="1" x14ac:dyDescent="0.3">
      <c r="A590">
        <v>2023</v>
      </c>
      <c r="B590">
        <v>7</v>
      </c>
      <c r="C590" s="105" t="s">
        <v>43</v>
      </c>
      <c r="D590" s="105" t="s">
        <v>37</v>
      </c>
      <c r="E590">
        <v>73</v>
      </c>
      <c r="F590">
        <v>51958.71</v>
      </c>
    </row>
    <row r="591" spans="1:6" hidden="1" x14ac:dyDescent="0.3">
      <c r="A591">
        <v>2023</v>
      </c>
      <c r="B591">
        <v>8</v>
      </c>
      <c r="C591" s="105" t="s">
        <v>44</v>
      </c>
      <c r="D591" s="105" t="s">
        <v>7</v>
      </c>
      <c r="E591">
        <v>57</v>
      </c>
      <c r="F591">
        <v>32495.200000000001</v>
      </c>
    </row>
    <row r="592" spans="1:6" hidden="1" x14ac:dyDescent="0.3">
      <c r="A592">
        <v>2023</v>
      </c>
      <c r="B592">
        <v>8</v>
      </c>
      <c r="C592" s="105" t="s">
        <v>44</v>
      </c>
      <c r="D592" s="105" t="s">
        <v>8</v>
      </c>
      <c r="E592">
        <v>52</v>
      </c>
      <c r="F592">
        <v>37805.89</v>
      </c>
    </row>
    <row r="593" spans="1:6" hidden="1" x14ac:dyDescent="0.3">
      <c r="A593">
        <v>2023</v>
      </c>
      <c r="B593">
        <v>8</v>
      </c>
      <c r="C593" s="105" t="s">
        <v>44</v>
      </c>
      <c r="D593" s="105" t="s">
        <v>9</v>
      </c>
      <c r="E593">
        <v>20</v>
      </c>
      <c r="F593">
        <v>13984.88</v>
      </c>
    </row>
    <row r="594" spans="1:6" hidden="1" x14ac:dyDescent="0.3">
      <c r="A594">
        <v>2023</v>
      </c>
      <c r="B594">
        <v>8</v>
      </c>
      <c r="C594" s="105" t="s">
        <v>44</v>
      </c>
      <c r="D594" s="105" t="s">
        <v>10</v>
      </c>
      <c r="E594">
        <v>97</v>
      </c>
      <c r="F594">
        <v>64270.49</v>
      </c>
    </row>
    <row r="595" spans="1:6" hidden="1" x14ac:dyDescent="0.3">
      <c r="A595">
        <v>2023</v>
      </c>
      <c r="B595">
        <v>8</v>
      </c>
      <c r="C595" s="105" t="s">
        <v>44</v>
      </c>
      <c r="D595" s="105" t="s">
        <v>11</v>
      </c>
      <c r="E595">
        <v>73</v>
      </c>
      <c r="F595">
        <v>53397.71</v>
      </c>
    </row>
    <row r="596" spans="1:6" hidden="1" x14ac:dyDescent="0.3">
      <c r="A596">
        <v>2023</v>
      </c>
      <c r="B596">
        <v>8</v>
      </c>
      <c r="C596" s="105" t="s">
        <v>44</v>
      </c>
      <c r="D596" s="105" t="s">
        <v>12</v>
      </c>
      <c r="E596">
        <v>105</v>
      </c>
      <c r="F596">
        <v>64508.33</v>
      </c>
    </row>
    <row r="597" spans="1:6" hidden="1" x14ac:dyDescent="0.3">
      <c r="A597">
        <v>2023</v>
      </c>
      <c r="B597">
        <v>8</v>
      </c>
      <c r="C597" s="105" t="s">
        <v>44</v>
      </c>
      <c r="D597" s="105" t="s">
        <v>13</v>
      </c>
      <c r="E597">
        <v>154</v>
      </c>
      <c r="F597">
        <v>96658.01</v>
      </c>
    </row>
    <row r="598" spans="1:6" hidden="1" x14ac:dyDescent="0.3">
      <c r="A598">
        <v>2023</v>
      </c>
      <c r="B598">
        <v>8</v>
      </c>
      <c r="C598" s="105" t="s">
        <v>44</v>
      </c>
      <c r="D598" s="105" t="s">
        <v>14</v>
      </c>
      <c r="E598">
        <v>56</v>
      </c>
      <c r="F598">
        <v>36059.67</v>
      </c>
    </row>
    <row r="599" spans="1:6" hidden="1" x14ac:dyDescent="0.3">
      <c r="A599">
        <v>2023</v>
      </c>
      <c r="B599">
        <v>8</v>
      </c>
      <c r="C599" s="105" t="s">
        <v>44</v>
      </c>
      <c r="D599" s="105" t="s">
        <v>15</v>
      </c>
      <c r="E599">
        <v>18</v>
      </c>
      <c r="F599">
        <v>12879</v>
      </c>
    </row>
    <row r="600" spans="1:6" hidden="1" x14ac:dyDescent="0.3">
      <c r="A600">
        <v>2023</v>
      </c>
      <c r="B600">
        <v>8</v>
      </c>
      <c r="C600" s="105" t="s">
        <v>44</v>
      </c>
      <c r="D600" s="105" t="s">
        <v>16</v>
      </c>
      <c r="E600">
        <v>94</v>
      </c>
      <c r="F600">
        <v>39586.97</v>
      </c>
    </row>
    <row r="601" spans="1:6" hidden="1" x14ac:dyDescent="0.3">
      <c r="A601">
        <v>2023</v>
      </c>
      <c r="B601">
        <v>8</v>
      </c>
      <c r="C601" s="105" t="s">
        <v>44</v>
      </c>
      <c r="D601" s="105" t="s">
        <v>17</v>
      </c>
      <c r="E601">
        <v>96</v>
      </c>
      <c r="F601">
        <v>70425.53</v>
      </c>
    </row>
    <row r="602" spans="1:6" hidden="1" x14ac:dyDescent="0.3">
      <c r="A602">
        <v>2023</v>
      </c>
      <c r="B602">
        <v>8</v>
      </c>
      <c r="C602" s="105" t="s">
        <v>44</v>
      </c>
      <c r="D602" s="105" t="s">
        <v>18</v>
      </c>
      <c r="E602">
        <v>196</v>
      </c>
      <c r="F602">
        <v>140835.57</v>
      </c>
    </row>
    <row r="603" spans="1:6" hidden="1" x14ac:dyDescent="0.3">
      <c r="A603">
        <v>2023</v>
      </c>
      <c r="B603">
        <v>8</v>
      </c>
      <c r="C603" s="105" t="s">
        <v>44</v>
      </c>
      <c r="D603" s="105" t="s">
        <v>19</v>
      </c>
      <c r="E603">
        <v>18</v>
      </c>
      <c r="F603">
        <v>11830.72</v>
      </c>
    </row>
    <row r="604" spans="1:6" x14ac:dyDescent="0.3">
      <c r="A604">
        <v>2023</v>
      </c>
      <c r="B604">
        <v>8</v>
      </c>
      <c r="C604" s="105" t="s">
        <v>44</v>
      </c>
      <c r="D604" s="105" t="s">
        <v>20</v>
      </c>
      <c r="E604">
        <v>81</v>
      </c>
      <c r="F604">
        <v>63561.279999999999</v>
      </c>
    </row>
    <row r="605" spans="1:6" hidden="1" x14ac:dyDescent="0.3">
      <c r="A605">
        <v>2023</v>
      </c>
      <c r="B605">
        <v>8</v>
      </c>
      <c r="C605" s="105" t="s">
        <v>44</v>
      </c>
      <c r="D605" s="105" t="s">
        <v>21</v>
      </c>
      <c r="E605">
        <v>214</v>
      </c>
      <c r="F605">
        <v>123551.56</v>
      </c>
    </row>
    <row r="606" spans="1:6" hidden="1" x14ac:dyDescent="0.3">
      <c r="A606">
        <v>2023</v>
      </c>
      <c r="B606">
        <v>8</v>
      </c>
      <c r="C606" s="105" t="s">
        <v>44</v>
      </c>
      <c r="D606" s="105" t="s">
        <v>22</v>
      </c>
      <c r="E606">
        <v>66</v>
      </c>
      <c r="F606">
        <v>42589.06</v>
      </c>
    </row>
    <row r="607" spans="1:6" hidden="1" x14ac:dyDescent="0.3">
      <c r="A607">
        <v>2023</v>
      </c>
      <c r="B607">
        <v>8</v>
      </c>
      <c r="C607" s="105" t="s">
        <v>44</v>
      </c>
      <c r="D607" s="105" t="s">
        <v>23</v>
      </c>
      <c r="E607">
        <v>52</v>
      </c>
      <c r="F607">
        <v>38831.339999999997</v>
      </c>
    </row>
    <row r="608" spans="1:6" hidden="1" x14ac:dyDescent="0.3">
      <c r="A608">
        <v>2023</v>
      </c>
      <c r="B608">
        <v>8</v>
      </c>
      <c r="C608" s="105" t="s">
        <v>44</v>
      </c>
      <c r="D608" s="105" t="s">
        <v>24</v>
      </c>
      <c r="E608">
        <v>54</v>
      </c>
      <c r="F608">
        <v>37457.769999999997</v>
      </c>
    </row>
    <row r="609" spans="1:6" hidden="1" x14ac:dyDescent="0.3">
      <c r="A609">
        <v>2023</v>
      </c>
      <c r="B609">
        <v>8</v>
      </c>
      <c r="C609" s="105" t="s">
        <v>44</v>
      </c>
      <c r="D609" s="105" t="s">
        <v>25</v>
      </c>
      <c r="E609">
        <v>109</v>
      </c>
      <c r="F609">
        <v>81833.259999999995</v>
      </c>
    </row>
    <row r="610" spans="1:6" hidden="1" x14ac:dyDescent="0.3">
      <c r="A610">
        <v>2023</v>
      </c>
      <c r="B610">
        <v>8</v>
      </c>
      <c r="C610" s="105" t="s">
        <v>44</v>
      </c>
      <c r="D610" s="105" t="s">
        <v>26</v>
      </c>
      <c r="E610">
        <v>55</v>
      </c>
      <c r="F610">
        <v>35044.26</v>
      </c>
    </row>
    <row r="611" spans="1:6" hidden="1" x14ac:dyDescent="0.3">
      <c r="A611">
        <v>2023</v>
      </c>
      <c r="B611">
        <v>8</v>
      </c>
      <c r="C611" s="105" t="s">
        <v>44</v>
      </c>
      <c r="D611" s="105" t="s">
        <v>27</v>
      </c>
      <c r="E611">
        <v>90</v>
      </c>
      <c r="F611">
        <v>61699.53</v>
      </c>
    </row>
    <row r="612" spans="1:6" hidden="1" x14ac:dyDescent="0.3">
      <c r="A612">
        <v>2023</v>
      </c>
      <c r="B612">
        <v>8</v>
      </c>
      <c r="C612" s="105" t="s">
        <v>44</v>
      </c>
      <c r="D612" s="105" t="s">
        <v>28</v>
      </c>
      <c r="E612">
        <v>11</v>
      </c>
      <c r="F612">
        <v>6928.64</v>
      </c>
    </row>
    <row r="613" spans="1:6" hidden="1" x14ac:dyDescent="0.3">
      <c r="A613">
        <v>2023</v>
      </c>
      <c r="B613">
        <v>8</v>
      </c>
      <c r="C613" s="105" t="s">
        <v>44</v>
      </c>
      <c r="D613" s="105" t="s">
        <v>29</v>
      </c>
      <c r="E613">
        <v>108</v>
      </c>
      <c r="F613">
        <v>81439.02</v>
      </c>
    </row>
    <row r="614" spans="1:6" hidden="1" x14ac:dyDescent="0.3">
      <c r="A614">
        <v>2023</v>
      </c>
      <c r="B614">
        <v>8</v>
      </c>
      <c r="C614" s="105" t="s">
        <v>44</v>
      </c>
      <c r="D614" s="105" t="s">
        <v>30</v>
      </c>
      <c r="E614">
        <v>34</v>
      </c>
      <c r="F614">
        <v>24276.3</v>
      </c>
    </row>
    <row r="615" spans="1:6" hidden="1" x14ac:dyDescent="0.3">
      <c r="A615">
        <v>2023</v>
      </c>
      <c r="B615">
        <v>8</v>
      </c>
      <c r="C615" s="105" t="s">
        <v>44</v>
      </c>
      <c r="D615" s="105" t="s">
        <v>31</v>
      </c>
      <c r="E615">
        <v>181</v>
      </c>
      <c r="F615">
        <v>126142.41</v>
      </c>
    </row>
    <row r="616" spans="1:6" hidden="1" x14ac:dyDescent="0.3">
      <c r="A616">
        <v>2023</v>
      </c>
      <c r="B616">
        <v>8</v>
      </c>
      <c r="C616" s="105" t="s">
        <v>44</v>
      </c>
      <c r="D616" s="105" t="s">
        <v>32</v>
      </c>
      <c r="E616">
        <v>44</v>
      </c>
      <c r="F616">
        <v>28826.99</v>
      </c>
    </row>
    <row r="617" spans="1:6" hidden="1" x14ac:dyDescent="0.3">
      <c r="A617">
        <v>2023</v>
      </c>
      <c r="B617">
        <v>8</v>
      </c>
      <c r="C617" s="105" t="s">
        <v>44</v>
      </c>
      <c r="D617" s="105" t="s">
        <v>33</v>
      </c>
      <c r="E617">
        <v>269</v>
      </c>
      <c r="F617">
        <v>175986.21</v>
      </c>
    </row>
    <row r="618" spans="1:6" hidden="1" x14ac:dyDescent="0.3">
      <c r="A618">
        <v>2023</v>
      </c>
      <c r="B618">
        <v>8</v>
      </c>
      <c r="C618" s="105" t="s">
        <v>44</v>
      </c>
      <c r="D618" s="105" t="s">
        <v>34</v>
      </c>
      <c r="E618">
        <v>113</v>
      </c>
      <c r="F618">
        <v>92076.18</v>
      </c>
    </row>
    <row r="619" spans="1:6" hidden="1" x14ac:dyDescent="0.3">
      <c r="A619">
        <v>2023</v>
      </c>
      <c r="B619">
        <v>8</v>
      </c>
      <c r="C619" s="105" t="s">
        <v>44</v>
      </c>
      <c r="D619" s="105" t="s">
        <v>35</v>
      </c>
      <c r="E619">
        <v>86</v>
      </c>
      <c r="F619">
        <v>56817.71</v>
      </c>
    </row>
    <row r="620" spans="1:6" hidden="1" x14ac:dyDescent="0.3">
      <c r="A620">
        <v>2023</v>
      </c>
      <c r="B620">
        <v>8</v>
      </c>
      <c r="C620" s="105" t="s">
        <v>44</v>
      </c>
      <c r="D620" s="105" t="s">
        <v>36</v>
      </c>
      <c r="E620">
        <v>102</v>
      </c>
      <c r="F620">
        <v>78265.11</v>
      </c>
    </row>
    <row r="621" spans="1:6" hidden="1" x14ac:dyDescent="0.3">
      <c r="A621">
        <v>2023</v>
      </c>
      <c r="B621">
        <v>8</v>
      </c>
      <c r="C621" s="105" t="s">
        <v>44</v>
      </c>
      <c r="D621" s="105" t="s">
        <v>37</v>
      </c>
      <c r="E621">
        <v>120</v>
      </c>
      <c r="F621">
        <v>81066</v>
      </c>
    </row>
    <row r="622" spans="1:6" hidden="1" x14ac:dyDescent="0.3">
      <c r="A622">
        <v>2023</v>
      </c>
      <c r="B622">
        <v>9</v>
      </c>
      <c r="C622" s="105" t="s">
        <v>45</v>
      </c>
      <c r="D622" s="105" t="s">
        <v>7</v>
      </c>
      <c r="E622">
        <v>80</v>
      </c>
      <c r="F622">
        <v>44116.39</v>
      </c>
    </row>
    <row r="623" spans="1:6" hidden="1" x14ac:dyDescent="0.3">
      <c r="A623">
        <v>2023</v>
      </c>
      <c r="B623">
        <v>9</v>
      </c>
      <c r="C623" s="105" t="s">
        <v>45</v>
      </c>
      <c r="D623" s="105" t="s">
        <v>8</v>
      </c>
      <c r="E623">
        <v>32</v>
      </c>
      <c r="F623">
        <v>20576.07</v>
      </c>
    </row>
    <row r="624" spans="1:6" hidden="1" x14ac:dyDescent="0.3">
      <c r="A624">
        <v>2023</v>
      </c>
      <c r="B624">
        <v>9</v>
      </c>
      <c r="C624" s="105" t="s">
        <v>45</v>
      </c>
      <c r="D624" s="105" t="s">
        <v>9</v>
      </c>
      <c r="E624">
        <v>16</v>
      </c>
      <c r="F624">
        <v>11975.09</v>
      </c>
    </row>
    <row r="625" spans="1:6" hidden="1" x14ac:dyDescent="0.3">
      <c r="A625">
        <v>2023</v>
      </c>
      <c r="B625">
        <v>9</v>
      </c>
      <c r="C625" s="105" t="s">
        <v>45</v>
      </c>
      <c r="D625" s="105" t="s">
        <v>10</v>
      </c>
      <c r="E625">
        <v>90</v>
      </c>
      <c r="F625">
        <v>63338.18</v>
      </c>
    </row>
    <row r="626" spans="1:6" hidden="1" x14ac:dyDescent="0.3">
      <c r="A626">
        <v>2023</v>
      </c>
      <c r="B626">
        <v>9</v>
      </c>
      <c r="C626" s="105" t="s">
        <v>45</v>
      </c>
      <c r="D626" s="105" t="s">
        <v>11</v>
      </c>
      <c r="E626">
        <v>106</v>
      </c>
      <c r="F626">
        <v>53313.67</v>
      </c>
    </row>
    <row r="627" spans="1:6" hidden="1" x14ac:dyDescent="0.3">
      <c r="A627">
        <v>2023</v>
      </c>
      <c r="B627">
        <v>9</v>
      </c>
      <c r="C627" s="105" t="s">
        <v>45</v>
      </c>
      <c r="D627" s="105" t="s">
        <v>12</v>
      </c>
      <c r="E627">
        <v>69</v>
      </c>
      <c r="F627">
        <v>37688.620000000003</v>
      </c>
    </row>
    <row r="628" spans="1:6" hidden="1" x14ac:dyDescent="0.3">
      <c r="A628">
        <v>2023</v>
      </c>
      <c r="B628">
        <v>9</v>
      </c>
      <c r="C628" s="105" t="s">
        <v>45</v>
      </c>
      <c r="D628" s="105" t="s">
        <v>13</v>
      </c>
      <c r="E628">
        <v>147</v>
      </c>
      <c r="F628">
        <v>86421.63</v>
      </c>
    </row>
    <row r="629" spans="1:6" hidden="1" x14ac:dyDescent="0.3">
      <c r="A629">
        <v>2023</v>
      </c>
      <c r="B629">
        <v>9</v>
      </c>
      <c r="C629" s="105" t="s">
        <v>45</v>
      </c>
      <c r="D629" s="105" t="s">
        <v>14</v>
      </c>
      <c r="E629">
        <v>50</v>
      </c>
      <c r="F629">
        <v>32316.1</v>
      </c>
    </row>
    <row r="630" spans="1:6" hidden="1" x14ac:dyDescent="0.3">
      <c r="A630">
        <v>2023</v>
      </c>
      <c r="B630">
        <v>9</v>
      </c>
      <c r="C630" s="105" t="s">
        <v>45</v>
      </c>
      <c r="D630" s="105" t="s">
        <v>15</v>
      </c>
      <c r="E630">
        <v>28</v>
      </c>
      <c r="F630">
        <v>17848.45</v>
      </c>
    </row>
    <row r="631" spans="1:6" hidden="1" x14ac:dyDescent="0.3">
      <c r="A631">
        <v>2023</v>
      </c>
      <c r="B631">
        <v>9</v>
      </c>
      <c r="C631" s="105" t="s">
        <v>45</v>
      </c>
      <c r="D631" s="105" t="s">
        <v>16</v>
      </c>
      <c r="E631">
        <v>45</v>
      </c>
      <c r="F631">
        <v>24442.1</v>
      </c>
    </row>
    <row r="632" spans="1:6" hidden="1" x14ac:dyDescent="0.3">
      <c r="A632">
        <v>2023</v>
      </c>
      <c r="B632">
        <v>9</v>
      </c>
      <c r="C632" s="105" t="s">
        <v>45</v>
      </c>
      <c r="D632" s="105" t="s">
        <v>17</v>
      </c>
      <c r="E632">
        <v>120</v>
      </c>
      <c r="F632">
        <v>75569.36</v>
      </c>
    </row>
    <row r="633" spans="1:6" hidden="1" x14ac:dyDescent="0.3">
      <c r="A633">
        <v>2023</v>
      </c>
      <c r="B633">
        <v>9</v>
      </c>
      <c r="C633" s="105" t="s">
        <v>45</v>
      </c>
      <c r="D633" s="105" t="s">
        <v>18</v>
      </c>
      <c r="E633">
        <v>213</v>
      </c>
      <c r="F633">
        <v>132271.37</v>
      </c>
    </row>
    <row r="634" spans="1:6" hidden="1" x14ac:dyDescent="0.3">
      <c r="A634">
        <v>2023</v>
      </c>
      <c r="B634">
        <v>9</v>
      </c>
      <c r="C634" s="105" t="s">
        <v>45</v>
      </c>
      <c r="D634" s="105" t="s">
        <v>19</v>
      </c>
      <c r="E634">
        <v>12</v>
      </c>
      <c r="F634">
        <v>8915.7000000000007</v>
      </c>
    </row>
    <row r="635" spans="1:6" x14ac:dyDescent="0.3">
      <c r="A635">
        <v>2023</v>
      </c>
      <c r="B635">
        <v>9</v>
      </c>
      <c r="C635" s="105" t="s">
        <v>45</v>
      </c>
      <c r="D635" s="105" t="s">
        <v>20</v>
      </c>
      <c r="E635">
        <v>91</v>
      </c>
      <c r="F635">
        <v>64010.239999999998</v>
      </c>
    </row>
    <row r="636" spans="1:6" hidden="1" x14ac:dyDescent="0.3">
      <c r="A636">
        <v>2023</v>
      </c>
      <c r="B636">
        <v>9</v>
      </c>
      <c r="C636" s="105" t="s">
        <v>45</v>
      </c>
      <c r="D636" s="105" t="s">
        <v>21</v>
      </c>
      <c r="E636">
        <v>260</v>
      </c>
      <c r="F636">
        <v>165602.18</v>
      </c>
    </row>
    <row r="637" spans="1:6" hidden="1" x14ac:dyDescent="0.3">
      <c r="A637">
        <v>2023</v>
      </c>
      <c r="B637">
        <v>9</v>
      </c>
      <c r="C637" s="105" t="s">
        <v>45</v>
      </c>
      <c r="D637" s="105" t="s">
        <v>22</v>
      </c>
      <c r="E637">
        <v>39</v>
      </c>
      <c r="F637">
        <v>27008.28</v>
      </c>
    </row>
    <row r="638" spans="1:6" hidden="1" x14ac:dyDescent="0.3">
      <c r="A638">
        <v>2023</v>
      </c>
      <c r="B638">
        <v>9</v>
      </c>
      <c r="C638" s="105" t="s">
        <v>45</v>
      </c>
      <c r="D638" s="105" t="s">
        <v>23</v>
      </c>
      <c r="E638">
        <v>34</v>
      </c>
      <c r="F638">
        <v>21799.47</v>
      </c>
    </row>
    <row r="639" spans="1:6" hidden="1" x14ac:dyDescent="0.3">
      <c r="A639">
        <v>2023</v>
      </c>
      <c r="B639">
        <v>9</v>
      </c>
      <c r="C639" s="105" t="s">
        <v>45</v>
      </c>
      <c r="D639" s="105" t="s">
        <v>24</v>
      </c>
      <c r="E639">
        <v>67</v>
      </c>
      <c r="F639">
        <v>44568.17</v>
      </c>
    </row>
    <row r="640" spans="1:6" hidden="1" x14ac:dyDescent="0.3">
      <c r="A640">
        <v>2023</v>
      </c>
      <c r="B640">
        <v>9</v>
      </c>
      <c r="C640" s="105" t="s">
        <v>45</v>
      </c>
      <c r="D640" s="105" t="s">
        <v>25</v>
      </c>
      <c r="E640">
        <v>96</v>
      </c>
      <c r="F640">
        <v>74354.69</v>
      </c>
    </row>
    <row r="641" spans="1:6" hidden="1" x14ac:dyDescent="0.3">
      <c r="A641">
        <v>2023</v>
      </c>
      <c r="B641">
        <v>9</v>
      </c>
      <c r="C641" s="105" t="s">
        <v>45</v>
      </c>
      <c r="D641" s="105" t="s">
        <v>26</v>
      </c>
      <c r="E641">
        <v>55</v>
      </c>
      <c r="F641">
        <v>35813.39</v>
      </c>
    </row>
    <row r="642" spans="1:6" hidden="1" x14ac:dyDescent="0.3">
      <c r="A642">
        <v>2023</v>
      </c>
      <c r="B642">
        <v>9</v>
      </c>
      <c r="C642" s="105" t="s">
        <v>45</v>
      </c>
      <c r="D642" s="105" t="s">
        <v>27</v>
      </c>
      <c r="E642">
        <v>61</v>
      </c>
      <c r="F642">
        <v>40843.339999999997</v>
      </c>
    </row>
    <row r="643" spans="1:6" hidden="1" x14ac:dyDescent="0.3">
      <c r="A643">
        <v>2023</v>
      </c>
      <c r="B643">
        <v>9</v>
      </c>
      <c r="C643" s="105" t="s">
        <v>45</v>
      </c>
      <c r="D643" s="105" t="s">
        <v>28</v>
      </c>
      <c r="E643">
        <v>17</v>
      </c>
      <c r="F643">
        <v>11179.14</v>
      </c>
    </row>
    <row r="644" spans="1:6" hidden="1" x14ac:dyDescent="0.3">
      <c r="A644">
        <v>2023</v>
      </c>
      <c r="B644">
        <v>9</v>
      </c>
      <c r="C644" s="105" t="s">
        <v>45</v>
      </c>
      <c r="D644" s="105" t="s">
        <v>29</v>
      </c>
      <c r="E644">
        <v>148</v>
      </c>
      <c r="F644">
        <v>100173.66</v>
      </c>
    </row>
    <row r="645" spans="1:6" hidden="1" x14ac:dyDescent="0.3">
      <c r="A645">
        <v>2023</v>
      </c>
      <c r="B645">
        <v>9</v>
      </c>
      <c r="C645" s="105" t="s">
        <v>45</v>
      </c>
      <c r="D645" s="105" t="s">
        <v>30</v>
      </c>
      <c r="E645">
        <v>25</v>
      </c>
      <c r="F645">
        <v>15040.82</v>
      </c>
    </row>
    <row r="646" spans="1:6" hidden="1" x14ac:dyDescent="0.3">
      <c r="A646">
        <v>2023</v>
      </c>
      <c r="B646">
        <v>9</v>
      </c>
      <c r="C646" s="105" t="s">
        <v>45</v>
      </c>
      <c r="D646" s="105" t="s">
        <v>31</v>
      </c>
      <c r="E646">
        <v>225</v>
      </c>
      <c r="F646">
        <v>141147.96</v>
      </c>
    </row>
    <row r="647" spans="1:6" hidden="1" x14ac:dyDescent="0.3">
      <c r="A647">
        <v>2023</v>
      </c>
      <c r="B647">
        <v>9</v>
      </c>
      <c r="C647" s="105" t="s">
        <v>45</v>
      </c>
      <c r="D647" s="105" t="s">
        <v>32</v>
      </c>
      <c r="E647">
        <v>90</v>
      </c>
      <c r="F647">
        <v>44521.440000000002</v>
      </c>
    </row>
    <row r="648" spans="1:6" hidden="1" x14ac:dyDescent="0.3">
      <c r="A648">
        <v>2023</v>
      </c>
      <c r="B648">
        <v>9</v>
      </c>
      <c r="C648" s="105" t="s">
        <v>45</v>
      </c>
      <c r="D648" s="105" t="s">
        <v>33</v>
      </c>
      <c r="E648">
        <v>282</v>
      </c>
      <c r="F648">
        <v>179098.77</v>
      </c>
    </row>
    <row r="649" spans="1:6" hidden="1" x14ac:dyDescent="0.3">
      <c r="A649">
        <v>2023</v>
      </c>
      <c r="B649">
        <v>9</v>
      </c>
      <c r="C649" s="105" t="s">
        <v>45</v>
      </c>
      <c r="D649" s="105" t="s">
        <v>34</v>
      </c>
      <c r="E649">
        <v>161</v>
      </c>
      <c r="F649">
        <v>89482.51</v>
      </c>
    </row>
    <row r="650" spans="1:6" hidden="1" x14ac:dyDescent="0.3">
      <c r="A650">
        <v>2023</v>
      </c>
      <c r="B650">
        <v>9</v>
      </c>
      <c r="C650" s="105" t="s">
        <v>45</v>
      </c>
      <c r="D650" s="105" t="s">
        <v>35</v>
      </c>
      <c r="E650">
        <v>107</v>
      </c>
      <c r="F650">
        <v>65431.14</v>
      </c>
    </row>
    <row r="651" spans="1:6" hidden="1" x14ac:dyDescent="0.3">
      <c r="A651">
        <v>2023</v>
      </c>
      <c r="B651">
        <v>9</v>
      </c>
      <c r="C651" s="105" t="s">
        <v>45</v>
      </c>
      <c r="D651" s="105" t="s">
        <v>36</v>
      </c>
      <c r="E651">
        <v>102</v>
      </c>
      <c r="F651">
        <v>79844.12</v>
      </c>
    </row>
    <row r="652" spans="1:6" hidden="1" x14ac:dyDescent="0.3">
      <c r="A652">
        <v>2023</v>
      </c>
      <c r="B652">
        <v>9</v>
      </c>
      <c r="C652" s="105" t="s">
        <v>45</v>
      </c>
      <c r="D652" s="105" t="s">
        <v>37</v>
      </c>
      <c r="E652">
        <v>161</v>
      </c>
      <c r="F652">
        <v>96821.72</v>
      </c>
    </row>
    <row r="653" spans="1:6" hidden="1" x14ac:dyDescent="0.3">
      <c r="A653">
        <v>2023</v>
      </c>
      <c r="B653">
        <v>10</v>
      </c>
      <c r="C653" s="105" t="s">
        <v>46</v>
      </c>
      <c r="D653" s="105" t="s">
        <v>7</v>
      </c>
      <c r="E653">
        <v>41</v>
      </c>
      <c r="F653">
        <v>32006.959999999999</v>
      </c>
    </row>
    <row r="654" spans="1:6" hidden="1" x14ac:dyDescent="0.3">
      <c r="A654">
        <v>2023</v>
      </c>
      <c r="B654">
        <v>10</v>
      </c>
      <c r="C654" s="105" t="s">
        <v>46</v>
      </c>
      <c r="D654" s="105" t="s">
        <v>8</v>
      </c>
      <c r="E654">
        <v>40</v>
      </c>
      <c r="F654">
        <v>29144.46</v>
      </c>
    </row>
    <row r="655" spans="1:6" hidden="1" x14ac:dyDescent="0.3">
      <c r="A655">
        <v>2023</v>
      </c>
      <c r="B655">
        <v>10</v>
      </c>
      <c r="C655" s="105" t="s">
        <v>46</v>
      </c>
      <c r="D655" s="105" t="s">
        <v>9</v>
      </c>
      <c r="E655">
        <v>18</v>
      </c>
      <c r="F655">
        <v>12649</v>
      </c>
    </row>
    <row r="656" spans="1:6" hidden="1" x14ac:dyDescent="0.3">
      <c r="A656">
        <v>2023</v>
      </c>
      <c r="B656">
        <v>10</v>
      </c>
      <c r="C656" s="105" t="s">
        <v>46</v>
      </c>
      <c r="D656" s="105" t="s">
        <v>10</v>
      </c>
      <c r="E656">
        <v>96</v>
      </c>
      <c r="F656">
        <v>67097.919999999998</v>
      </c>
    </row>
    <row r="657" spans="1:6" hidden="1" x14ac:dyDescent="0.3">
      <c r="A657">
        <v>2023</v>
      </c>
      <c r="B657">
        <v>10</v>
      </c>
      <c r="C657" s="105" t="s">
        <v>46</v>
      </c>
      <c r="D657" s="105" t="s">
        <v>11</v>
      </c>
      <c r="E657">
        <v>99</v>
      </c>
      <c r="F657">
        <v>63960.15</v>
      </c>
    </row>
    <row r="658" spans="1:6" hidden="1" x14ac:dyDescent="0.3">
      <c r="A658">
        <v>2023</v>
      </c>
      <c r="B658">
        <v>10</v>
      </c>
      <c r="C658" s="105" t="s">
        <v>46</v>
      </c>
      <c r="D658" s="105" t="s">
        <v>12</v>
      </c>
      <c r="E658">
        <v>72</v>
      </c>
      <c r="F658">
        <v>48369.7</v>
      </c>
    </row>
    <row r="659" spans="1:6" hidden="1" x14ac:dyDescent="0.3">
      <c r="A659">
        <v>2023</v>
      </c>
      <c r="B659">
        <v>10</v>
      </c>
      <c r="C659" s="105" t="s">
        <v>46</v>
      </c>
      <c r="D659" s="105" t="s">
        <v>13</v>
      </c>
      <c r="E659">
        <v>125</v>
      </c>
      <c r="F659">
        <v>82875.19</v>
      </c>
    </row>
    <row r="660" spans="1:6" hidden="1" x14ac:dyDescent="0.3">
      <c r="A660">
        <v>2023</v>
      </c>
      <c r="B660">
        <v>10</v>
      </c>
      <c r="C660" s="105" t="s">
        <v>46</v>
      </c>
      <c r="D660" s="105" t="s">
        <v>14</v>
      </c>
      <c r="E660">
        <v>61</v>
      </c>
      <c r="F660">
        <v>42338.7</v>
      </c>
    </row>
    <row r="661" spans="1:6" hidden="1" x14ac:dyDescent="0.3">
      <c r="A661">
        <v>2023</v>
      </c>
      <c r="B661">
        <v>10</v>
      </c>
      <c r="C661" s="105" t="s">
        <v>46</v>
      </c>
      <c r="D661" s="105" t="s">
        <v>15</v>
      </c>
      <c r="E661">
        <v>10</v>
      </c>
      <c r="F661">
        <v>8749.7900000000009</v>
      </c>
    </row>
    <row r="662" spans="1:6" hidden="1" x14ac:dyDescent="0.3">
      <c r="A662">
        <v>2023</v>
      </c>
      <c r="B662">
        <v>10</v>
      </c>
      <c r="C662" s="105" t="s">
        <v>46</v>
      </c>
      <c r="D662" s="105" t="s">
        <v>16</v>
      </c>
      <c r="E662">
        <v>18</v>
      </c>
      <c r="F662">
        <v>12559.54</v>
      </c>
    </row>
    <row r="663" spans="1:6" hidden="1" x14ac:dyDescent="0.3">
      <c r="A663">
        <v>2023</v>
      </c>
      <c r="B663">
        <v>10</v>
      </c>
      <c r="C663" s="105" t="s">
        <v>46</v>
      </c>
      <c r="D663" s="105" t="s">
        <v>17</v>
      </c>
      <c r="E663">
        <v>175</v>
      </c>
      <c r="F663">
        <v>126587.84</v>
      </c>
    </row>
    <row r="664" spans="1:6" hidden="1" x14ac:dyDescent="0.3">
      <c r="A664">
        <v>2023</v>
      </c>
      <c r="B664">
        <v>10</v>
      </c>
      <c r="C664" s="105" t="s">
        <v>46</v>
      </c>
      <c r="D664" s="105" t="s">
        <v>18</v>
      </c>
      <c r="E664">
        <v>149</v>
      </c>
      <c r="F664">
        <v>111510.74</v>
      </c>
    </row>
    <row r="665" spans="1:6" hidden="1" x14ac:dyDescent="0.3">
      <c r="A665">
        <v>2023</v>
      </c>
      <c r="B665">
        <v>10</v>
      </c>
      <c r="C665" s="105" t="s">
        <v>46</v>
      </c>
      <c r="D665" s="105" t="s">
        <v>19</v>
      </c>
      <c r="E665">
        <v>13</v>
      </c>
      <c r="F665">
        <v>9099.52</v>
      </c>
    </row>
    <row r="666" spans="1:6" x14ac:dyDescent="0.3">
      <c r="A666">
        <v>2023</v>
      </c>
      <c r="B666">
        <v>10</v>
      </c>
      <c r="C666" s="105" t="s">
        <v>46</v>
      </c>
      <c r="D666" s="105" t="s">
        <v>20</v>
      </c>
      <c r="E666">
        <v>84</v>
      </c>
      <c r="F666">
        <v>60725.02</v>
      </c>
    </row>
    <row r="667" spans="1:6" hidden="1" x14ac:dyDescent="0.3">
      <c r="A667">
        <v>2023</v>
      </c>
      <c r="B667">
        <v>10</v>
      </c>
      <c r="C667" s="105" t="s">
        <v>46</v>
      </c>
      <c r="D667" s="105" t="s">
        <v>21</v>
      </c>
      <c r="E667">
        <v>183</v>
      </c>
      <c r="F667">
        <v>136884.65</v>
      </c>
    </row>
    <row r="668" spans="1:6" hidden="1" x14ac:dyDescent="0.3">
      <c r="A668">
        <v>2023</v>
      </c>
      <c r="B668">
        <v>10</v>
      </c>
      <c r="C668" s="105" t="s">
        <v>46</v>
      </c>
      <c r="D668" s="105" t="s">
        <v>22</v>
      </c>
      <c r="E668">
        <v>35</v>
      </c>
      <c r="F668">
        <v>24423.85</v>
      </c>
    </row>
    <row r="669" spans="1:6" hidden="1" x14ac:dyDescent="0.3">
      <c r="A669">
        <v>2023</v>
      </c>
      <c r="B669">
        <v>10</v>
      </c>
      <c r="C669" s="105" t="s">
        <v>46</v>
      </c>
      <c r="D669" s="105" t="s">
        <v>23</v>
      </c>
      <c r="E669">
        <v>52</v>
      </c>
      <c r="F669">
        <v>32208.07</v>
      </c>
    </row>
    <row r="670" spans="1:6" hidden="1" x14ac:dyDescent="0.3">
      <c r="A670">
        <v>2023</v>
      </c>
      <c r="B670">
        <v>10</v>
      </c>
      <c r="C670" s="105" t="s">
        <v>46</v>
      </c>
      <c r="D670" s="105" t="s">
        <v>24</v>
      </c>
      <c r="E670">
        <v>69</v>
      </c>
      <c r="F670">
        <v>45750.98</v>
      </c>
    </row>
    <row r="671" spans="1:6" hidden="1" x14ac:dyDescent="0.3">
      <c r="A671">
        <v>2023</v>
      </c>
      <c r="B671">
        <v>10</v>
      </c>
      <c r="C671" s="105" t="s">
        <v>46</v>
      </c>
      <c r="D671" s="105" t="s">
        <v>25</v>
      </c>
      <c r="E671">
        <v>119</v>
      </c>
      <c r="F671">
        <v>91277.49</v>
      </c>
    </row>
    <row r="672" spans="1:6" hidden="1" x14ac:dyDescent="0.3">
      <c r="A672">
        <v>2023</v>
      </c>
      <c r="B672">
        <v>10</v>
      </c>
      <c r="C672" s="105" t="s">
        <v>46</v>
      </c>
      <c r="D672" s="105" t="s">
        <v>26</v>
      </c>
      <c r="E672">
        <v>28</v>
      </c>
      <c r="F672">
        <v>21064.46</v>
      </c>
    </row>
    <row r="673" spans="1:6" hidden="1" x14ac:dyDescent="0.3">
      <c r="A673">
        <v>2023</v>
      </c>
      <c r="B673">
        <v>10</v>
      </c>
      <c r="C673" s="105" t="s">
        <v>46</v>
      </c>
      <c r="D673" s="105" t="s">
        <v>27</v>
      </c>
      <c r="E673">
        <v>50</v>
      </c>
      <c r="F673">
        <v>38887.160000000003</v>
      </c>
    </row>
    <row r="674" spans="1:6" hidden="1" x14ac:dyDescent="0.3">
      <c r="A674">
        <v>2023</v>
      </c>
      <c r="B674">
        <v>10</v>
      </c>
      <c r="C674" s="105" t="s">
        <v>46</v>
      </c>
      <c r="D674" s="105" t="s">
        <v>28</v>
      </c>
      <c r="E674">
        <v>15</v>
      </c>
      <c r="F674">
        <v>10134.18</v>
      </c>
    </row>
    <row r="675" spans="1:6" hidden="1" x14ac:dyDescent="0.3">
      <c r="A675">
        <v>2023</v>
      </c>
      <c r="B675">
        <v>10</v>
      </c>
      <c r="C675" s="105" t="s">
        <v>46</v>
      </c>
      <c r="D675" s="105" t="s">
        <v>29</v>
      </c>
      <c r="E675">
        <v>125</v>
      </c>
      <c r="F675">
        <v>76127.429999999993</v>
      </c>
    </row>
    <row r="676" spans="1:6" hidden="1" x14ac:dyDescent="0.3">
      <c r="A676">
        <v>2023</v>
      </c>
      <c r="B676">
        <v>10</v>
      </c>
      <c r="C676" s="105" t="s">
        <v>46</v>
      </c>
      <c r="D676" s="105" t="s">
        <v>30</v>
      </c>
      <c r="E676">
        <v>15</v>
      </c>
      <c r="F676">
        <v>11491.28</v>
      </c>
    </row>
    <row r="677" spans="1:6" hidden="1" x14ac:dyDescent="0.3">
      <c r="A677">
        <v>2023</v>
      </c>
      <c r="B677">
        <v>10</v>
      </c>
      <c r="C677" s="105" t="s">
        <v>46</v>
      </c>
      <c r="D677" s="105" t="s">
        <v>31</v>
      </c>
      <c r="E677">
        <v>224</v>
      </c>
      <c r="F677">
        <v>171001.1</v>
      </c>
    </row>
    <row r="678" spans="1:6" hidden="1" x14ac:dyDescent="0.3">
      <c r="A678">
        <v>2023</v>
      </c>
      <c r="B678">
        <v>10</v>
      </c>
      <c r="C678" s="105" t="s">
        <v>46</v>
      </c>
      <c r="D678" s="105" t="s">
        <v>32</v>
      </c>
      <c r="E678">
        <v>85</v>
      </c>
      <c r="F678">
        <v>48245.919999999998</v>
      </c>
    </row>
    <row r="679" spans="1:6" hidden="1" x14ac:dyDescent="0.3">
      <c r="A679">
        <v>2023</v>
      </c>
      <c r="B679">
        <v>10</v>
      </c>
      <c r="C679" s="105" t="s">
        <v>46</v>
      </c>
      <c r="D679" s="105" t="s">
        <v>33</v>
      </c>
      <c r="E679">
        <v>193</v>
      </c>
      <c r="F679">
        <v>154918.63</v>
      </c>
    </row>
    <row r="680" spans="1:6" hidden="1" x14ac:dyDescent="0.3">
      <c r="A680">
        <v>2023</v>
      </c>
      <c r="B680">
        <v>10</v>
      </c>
      <c r="C680" s="105" t="s">
        <v>46</v>
      </c>
      <c r="D680" s="105" t="s">
        <v>34</v>
      </c>
      <c r="E680">
        <v>121</v>
      </c>
      <c r="F680">
        <v>86133.99</v>
      </c>
    </row>
    <row r="681" spans="1:6" hidden="1" x14ac:dyDescent="0.3">
      <c r="A681">
        <v>2023</v>
      </c>
      <c r="B681">
        <v>10</v>
      </c>
      <c r="C681" s="105" t="s">
        <v>46</v>
      </c>
      <c r="D681" s="105" t="s">
        <v>35</v>
      </c>
      <c r="E681">
        <v>99</v>
      </c>
      <c r="F681">
        <v>65247.95</v>
      </c>
    </row>
    <row r="682" spans="1:6" hidden="1" x14ac:dyDescent="0.3">
      <c r="A682">
        <v>2023</v>
      </c>
      <c r="B682">
        <v>10</v>
      </c>
      <c r="C682" s="105" t="s">
        <v>46</v>
      </c>
      <c r="D682" s="105" t="s">
        <v>36</v>
      </c>
      <c r="E682">
        <v>61</v>
      </c>
      <c r="F682">
        <v>47538.64</v>
      </c>
    </row>
    <row r="683" spans="1:6" hidden="1" x14ac:dyDescent="0.3">
      <c r="A683">
        <v>2023</v>
      </c>
      <c r="B683">
        <v>10</v>
      </c>
      <c r="C683" s="105" t="s">
        <v>46</v>
      </c>
      <c r="D683" s="105" t="s">
        <v>37</v>
      </c>
      <c r="E683">
        <v>112</v>
      </c>
      <c r="F683">
        <v>85862.33</v>
      </c>
    </row>
    <row r="684" spans="1:6" hidden="1" x14ac:dyDescent="0.3">
      <c r="A684">
        <v>2023</v>
      </c>
      <c r="B684">
        <v>11</v>
      </c>
      <c r="C684" s="105" t="s">
        <v>47</v>
      </c>
      <c r="D684" s="105" t="s">
        <v>7</v>
      </c>
      <c r="E684">
        <v>47</v>
      </c>
      <c r="F684">
        <v>37291.33</v>
      </c>
    </row>
    <row r="685" spans="1:6" hidden="1" x14ac:dyDescent="0.3">
      <c r="A685">
        <v>2023</v>
      </c>
      <c r="B685">
        <v>11</v>
      </c>
      <c r="C685" s="105" t="s">
        <v>47</v>
      </c>
      <c r="D685" s="105" t="s">
        <v>8</v>
      </c>
      <c r="E685">
        <v>26</v>
      </c>
      <c r="F685">
        <v>17908.46</v>
      </c>
    </row>
    <row r="686" spans="1:6" hidden="1" x14ac:dyDescent="0.3">
      <c r="A686">
        <v>2023</v>
      </c>
      <c r="B686">
        <v>11</v>
      </c>
      <c r="C686" s="105" t="s">
        <v>47</v>
      </c>
      <c r="D686" s="105" t="s">
        <v>9</v>
      </c>
      <c r="E686">
        <v>16</v>
      </c>
      <c r="F686">
        <v>11345.19</v>
      </c>
    </row>
    <row r="687" spans="1:6" hidden="1" x14ac:dyDescent="0.3">
      <c r="A687">
        <v>2023</v>
      </c>
      <c r="B687">
        <v>11</v>
      </c>
      <c r="C687" s="105" t="s">
        <v>47</v>
      </c>
      <c r="D687" s="105" t="s">
        <v>10</v>
      </c>
      <c r="E687">
        <v>85</v>
      </c>
      <c r="F687">
        <v>77640.490000000005</v>
      </c>
    </row>
    <row r="688" spans="1:6" hidden="1" x14ac:dyDescent="0.3">
      <c r="A688">
        <v>2023</v>
      </c>
      <c r="B688">
        <v>11</v>
      </c>
      <c r="C688" s="105" t="s">
        <v>47</v>
      </c>
      <c r="D688" s="105" t="s">
        <v>11</v>
      </c>
      <c r="E688">
        <v>66</v>
      </c>
      <c r="F688">
        <v>56731.03</v>
      </c>
    </row>
    <row r="689" spans="1:6" hidden="1" x14ac:dyDescent="0.3">
      <c r="A689">
        <v>2023</v>
      </c>
      <c r="B689">
        <v>11</v>
      </c>
      <c r="C689" s="105" t="s">
        <v>47</v>
      </c>
      <c r="D689" s="105" t="s">
        <v>12</v>
      </c>
      <c r="E689">
        <v>66</v>
      </c>
      <c r="F689">
        <v>45447.19</v>
      </c>
    </row>
    <row r="690" spans="1:6" hidden="1" x14ac:dyDescent="0.3">
      <c r="A690">
        <v>2023</v>
      </c>
      <c r="B690">
        <v>11</v>
      </c>
      <c r="C690" s="105" t="s">
        <v>47</v>
      </c>
      <c r="D690" s="105" t="s">
        <v>13</v>
      </c>
      <c r="E690">
        <v>95</v>
      </c>
      <c r="F690">
        <v>62837.24</v>
      </c>
    </row>
    <row r="691" spans="1:6" hidden="1" x14ac:dyDescent="0.3">
      <c r="A691">
        <v>2023</v>
      </c>
      <c r="B691">
        <v>11</v>
      </c>
      <c r="C691" s="105" t="s">
        <v>47</v>
      </c>
      <c r="D691" s="105" t="s">
        <v>14</v>
      </c>
      <c r="E691">
        <v>58</v>
      </c>
      <c r="F691">
        <v>38953.550000000003</v>
      </c>
    </row>
    <row r="692" spans="1:6" hidden="1" x14ac:dyDescent="0.3">
      <c r="A692">
        <v>2023</v>
      </c>
      <c r="B692">
        <v>11</v>
      </c>
      <c r="C692" s="105" t="s">
        <v>47</v>
      </c>
      <c r="D692" s="105" t="s">
        <v>15</v>
      </c>
      <c r="E692">
        <v>9</v>
      </c>
      <c r="F692">
        <v>5841.54</v>
      </c>
    </row>
    <row r="693" spans="1:6" hidden="1" x14ac:dyDescent="0.3">
      <c r="A693">
        <v>2023</v>
      </c>
      <c r="B693">
        <v>11</v>
      </c>
      <c r="C693" s="105" t="s">
        <v>47</v>
      </c>
      <c r="D693" s="105" t="s">
        <v>16</v>
      </c>
      <c r="E693">
        <v>32</v>
      </c>
      <c r="F693">
        <v>21912.69</v>
      </c>
    </row>
    <row r="694" spans="1:6" hidden="1" x14ac:dyDescent="0.3">
      <c r="A694">
        <v>2023</v>
      </c>
      <c r="B694">
        <v>11</v>
      </c>
      <c r="C694" s="105" t="s">
        <v>47</v>
      </c>
      <c r="D694" s="105" t="s">
        <v>17</v>
      </c>
      <c r="E694">
        <v>130</v>
      </c>
      <c r="F694">
        <v>94704.02</v>
      </c>
    </row>
    <row r="695" spans="1:6" hidden="1" x14ac:dyDescent="0.3">
      <c r="A695">
        <v>2023</v>
      </c>
      <c r="B695">
        <v>11</v>
      </c>
      <c r="C695" s="105" t="s">
        <v>47</v>
      </c>
      <c r="D695" s="105" t="s">
        <v>18</v>
      </c>
      <c r="E695">
        <v>132</v>
      </c>
      <c r="F695">
        <v>107204.23</v>
      </c>
    </row>
    <row r="696" spans="1:6" hidden="1" x14ac:dyDescent="0.3">
      <c r="A696">
        <v>2023</v>
      </c>
      <c r="B696">
        <v>11</v>
      </c>
      <c r="C696" s="105" t="s">
        <v>47</v>
      </c>
      <c r="D696" s="105" t="s">
        <v>19</v>
      </c>
      <c r="E696">
        <v>8</v>
      </c>
      <c r="F696">
        <v>5462</v>
      </c>
    </row>
    <row r="697" spans="1:6" x14ac:dyDescent="0.3">
      <c r="A697">
        <v>2023</v>
      </c>
      <c r="B697">
        <v>11</v>
      </c>
      <c r="C697" s="105" t="s">
        <v>47</v>
      </c>
      <c r="D697" s="105" t="s">
        <v>20</v>
      </c>
      <c r="E697">
        <v>53</v>
      </c>
      <c r="F697">
        <v>39635.81</v>
      </c>
    </row>
    <row r="698" spans="1:6" hidden="1" x14ac:dyDescent="0.3">
      <c r="A698">
        <v>2023</v>
      </c>
      <c r="B698">
        <v>11</v>
      </c>
      <c r="C698" s="105" t="s">
        <v>47</v>
      </c>
      <c r="D698" s="105" t="s">
        <v>21</v>
      </c>
      <c r="E698">
        <v>120</v>
      </c>
      <c r="F698">
        <v>94566.42</v>
      </c>
    </row>
    <row r="699" spans="1:6" hidden="1" x14ac:dyDescent="0.3">
      <c r="A699">
        <v>2023</v>
      </c>
      <c r="B699">
        <v>11</v>
      </c>
      <c r="C699" s="105" t="s">
        <v>47</v>
      </c>
      <c r="D699" s="105" t="s">
        <v>22</v>
      </c>
      <c r="E699">
        <v>47</v>
      </c>
      <c r="F699">
        <v>28746.48</v>
      </c>
    </row>
    <row r="700" spans="1:6" hidden="1" x14ac:dyDescent="0.3">
      <c r="A700">
        <v>2023</v>
      </c>
      <c r="B700">
        <v>11</v>
      </c>
      <c r="C700" s="105" t="s">
        <v>47</v>
      </c>
      <c r="D700" s="105" t="s">
        <v>23</v>
      </c>
      <c r="E700">
        <v>35</v>
      </c>
      <c r="F700">
        <v>27182.799999999999</v>
      </c>
    </row>
    <row r="701" spans="1:6" hidden="1" x14ac:dyDescent="0.3">
      <c r="A701">
        <v>2023</v>
      </c>
      <c r="B701">
        <v>11</v>
      </c>
      <c r="C701" s="105" t="s">
        <v>47</v>
      </c>
      <c r="D701" s="105" t="s">
        <v>24</v>
      </c>
      <c r="E701">
        <v>61</v>
      </c>
      <c r="F701">
        <v>42007.41</v>
      </c>
    </row>
    <row r="702" spans="1:6" hidden="1" x14ac:dyDescent="0.3">
      <c r="A702">
        <v>2023</v>
      </c>
      <c r="B702">
        <v>11</v>
      </c>
      <c r="C702" s="105" t="s">
        <v>47</v>
      </c>
      <c r="D702" s="105" t="s">
        <v>25</v>
      </c>
      <c r="E702">
        <v>104</v>
      </c>
      <c r="F702">
        <v>83037.31</v>
      </c>
    </row>
    <row r="703" spans="1:6" hidden="1" x14ac:dyDescent="0.3">
      <c r="A703">
        <v>2023</v>
      </c>
      <c r="B703">
        <v>11</v>
      </c>
      <c r="C703" s="105" t="s">
        <v>47</v>
      </c>
      <c r="D703" s="105" t="s">
        <v>26</v>
      </c>
      <c r="E703">
        <v>19</v>
      </c>
      <c r="F703">
        <v>18096.47</v>
      </c>
    </row>
    <row r="704" spans="1:6" hidden="1" x14ac:dyDescent="0.3">
      <c r="A704">
        <v>2023</v>
      </c>
      <c r="B704">
        <v>11</v>
      </c>
      <c r="C704" s="105" t="s">
        <v>47</v>
      </c>
      <c r="D704" s="105" t="s">
        <v>27</v>
      </c>
      <c r="E704">
        <v>37</v>
      </c>
      <c r="F704">
        <v>29426.71</v>
      </c>
    </row>
    <row r="705" spans="1:6" hidden="1" x14ac:dyDescent="0.3">
      <c r="A705">
        <v>2023</v>
      </c>
      <c r="B705">
        <v>11</v>
      </c>
      <c r="C705" s="105" t="s">
        <v>47</v>
      </c>
      <c r="D705" s="105" t="s">
        <v>28</v>
      </c>
      <c r="E705">
        <v>6</v>
      </c>
      <c r="F705">
        <v>4485.37</v>
      </c>
    </row>
    <row r="706" spans="1:6" hidden="1" x14ac:dyDescent="0.3">
      <c r="A706">
        <v>2023</v>
      </c>
      <c r="B706">
        <v>11</v>
      </c>
      <c r="C706" s="105" t="s">
        <v>47</v>
      </c>
      <c r="D706" s="105" t="s">
        <v>29</v>
      </c>
      <c r="E706">
        <v>68</v>
      </c>
      <c r="F706">
        <v>54650.5</v>
      </c>
    </row>
    <row r="707" spans="1:6" hidden="1" x14ac:dyDescent="0.3">
      <c r="A707">
        <v>2023</v>
      </c>
      <c r="B707">
        <v>11</v>
      </c>
      <c r="C707" s="105" t="s">
        <v>47</v>
      </c>
      <c r="D707" s="105" t="s">
        <v>30</v>
      </c>
      <c r="E707">
        <v>25</v>
      </c>
      <c r="F707">
        <v>17066.22</v>
      </c>
    </row>
    <row r="708" spans="1:6" hidden="1" x14ac:dyDescent="0.3">
      <c r="A708">
        <v>2023</v>
      </c>
      <c r="B708">
        <v>11</v>
      </c>
      <c r="C708" s="105" t="s">
        <v>47</v>
      </c>
      <c r="D708" s="105" t="s">
        <v>31</v>
      </c>
      <c r="E708">
        <v>126</v>
      </c>
      <c r="F708">
        <v>97071.55</v>
      </c>
    </row>
    <row r="709" spans="1:6" hidden="1" x14ac:dyDescent="0.3">
      <c r="A709">
        <v>2023</v>
      </c>
      <c r="B709">
        <v>11</v>
      </c>
      <c r="C709" s="105" t="s">
        <v>47</v>
      </c>
      <c r="D709" s="105" t="s">
        <v>32</v>
      </c>
      <c r="E709">
        <v>37</v>
      </c>
      <c r="F709">
        <v>36991.69</v>
      </c>
    </row>
    <row r="710" spans="1:6" hidden="1" x14ac:dyDescent="0.3">
      <c r="A710">
        <v>2023</v>
      </c>
      <c r="B710">
        <v>11</v>
      </c>
      <c r="C710" s="105" t="s">
        <v>47</v>
      </c>
      <c r="D710" s="105" t="s">
        <v>33</v>
      </c>
      <c r="E710">
        <v>180</v>
      </c>
      <c r="F710">
        <v>145729.45000000001</v>
      </c>
    </row>
    <row r="711" spans="1:6" hidden="1" x14ac:dyDescent="0.3">
      <c r="A711">
        <v>2023</v>
      </c>
      <c r="B711">
        <v>11</v>
      </c>
      <c r="C711" s="105" t="s">
        <v>47</v>
      </c>
      <c r="D711" s="105" t="s">
        <v>34</v>
      </c>
      <c r="E711">
        <v>88</v>
      </c>
      <c r="F711">
        <v>71561.990000000005</v>
      </c>
    </row>
    <row r="712" spans="1:6" hidden="1" x14ac:dyDescent="0.3">
      <c r="A712">
        <v>2023</v>
      </c>
      <c r="B712">
        <v>11</v>
      </c>
      <c r="C712" s="105" t="s">
        <v>47</v>
      </c>
      <c r="D712" s="105" t="s">
        <v>35</v>
      </c>
      <c r="E712">
        <v>69</v>
      </c>
      <c r="F712">
        <v>53208.33</v>
      </c>
    </row>
    <row r="713" spans="1:6" hidden="1" x14ac:dyDescent="0.3">
      <c r="A713">
        <v>2023</v>
      </c>
      <c r="B713">
        <v>11</v>
      </c>
      <c r="C713" s="105" t="s">
        <v>47</v>
      </c>
      <c r="D713" s="105" t="s">
        <v>36</v>
      </c>
      <c r="E713">
        <v>62</v>
      </c>
      <c r="F713">
        <v>46837.919999999998</v>
      </c>
    </row>
    <row r="714" spans="1:6" hidden="1" x14ac:dyDescent="0.3">
      <c r="A714">
        <v>2023</v>
      </c>
      <c r="B714">
        <v>11</v>
      </c>
      <c r="C714" s="105" t="s">
        <v>47</v>
      </c>
      <c r="D714" s="105" t="s">
        <v>37</v>
      </c>
      <c r="E714">
        <v>119</v>
      </c>
      <c r="F714">
        <v>81156.37</v>
      </c>
    </row>
    <row r="715" spans="1:6" hidden="1" x14ac:dyDescent="0.3">
      <c r="A715">
        <v>2023</v>
      </c>
      <c r="B715">
        <v>12</v>
      </c>
      <c r="C715" s="105" t="s">
        <v>48</v>
      </c>
      <c r="D715" s="105" t="s">
        <v>7</v>
      </c>
      <c r="E715">
        <v>29</v>
      </c>
      <c r="F715">
        <v>26274.05</v>
      </c>
    </row>
    <row r="716" spans="1:6" hidden="1" x14ac:dyDescent="0.3">
      <c r="A716">
        <v>2023</v>
      </c>
      <c r="B716">
        <v>12</v>
      </c>
      <c r="C716" s="105" t="s">
        <v>48</v>
      </c>
      <c r="D716" s="105" t="s">
        <v>8</v>
      </c>
      <c r="E716">
        <v>27</v>
      </c>
      <c r="F716">
        <v>20433.009999999998</v>
      </c>
    </row>
    <row r="717" spans="1:6" hidden="1" x14ac:dyDescent="0.3">
      <c r="A717">
        <v>2023</v>
      </c>
      <c r="B717">
        <v>12</v>
      </c>
      <c r="C717" s="105" t="s">
        <v>48</v>
      </c>
      <c r="D717" s="105" t="s">
        <v>9</v>
      </c>
      <c r="E717">
        <v>10</v>
      </c>
      <c r="F717">
        <v>7368.45</v>
      </c>
    </row>
    <row r="718" spans="1:6" hidden="1" x14ac:dyDescent="0.3">
      <c r="A718">
        <v>2023</v>
      </c>
      <c r="B718">
        <v>12</v>
      </c>
      <c r="C718" s="105" t="s">
        <v>48</v>
      </c>
      <c r="D718" s="105" t="s">
        <v>10</v>
      </c>
      <c r="E718">
        <v>60</v>
      </c>
      <c r="F718">
        <v>55512.4</v>
      </c>
    </row>
    <row r="719" spans="1:6" hidden="1" x14ac:dyDescent="0.3">
      <c r="A719">
        <v>2023</v>
      </c>
      <c r="B719">
        <v>12</v>
      </c>
      <c r="C719" s="105" t="s">
        <v>48</v>
      </c>
      <c r="D719" s="105" t="s">
        <v>11</v>
      </c>
      <c r="E719">
        <v>49</v>
      </c>
      <c r="F719">
        <v>36259.769999999997</v>
      </c>
    </row>
    <row r="720" spans="1:6" hidden="1" x14ac:dyDescent="0.3">
      <c r="A720">
        <v>2023</v>
      </c>
      <c r="B720">
        <v>12</v>
      </c>
      <c r="C720" s="105" t="s">
        <v>48</v>
      </c>
      <c r="D720" s="105" t="s">
        <v>12</v>
      </c>
      <c r="E720">
        <v>41</v>
      </c>
      <c r="F720">
        <v>27708.46</v>
      </c>
    </row>
    <row r="721" spans="1:6" hidden="1" x14ac:dyDescent="0.3">
      <c r="A721">
        <v>2023</v>
      </c>
      <c r="B721">
        <v>12</v>
      </c>
      <c r="C721" s="105" t="s">
        <v>48</v>
      </c>
      <c r="D721" s="105" t="s">
        <v>13</v>
      </c>
      <c r="E721">
        <v>103</v>
      </c>
      <c r="F721">
        <v>76908.89</v>
      </c>
    </row>
    <row r="722" spans="1:6" hidden="1" x14ac:dyDescent="0.3">
      <c r="A722">
        <v>2023</v>
      </c>
      <c r="B722">
        <v>12</v>
      </c>
      <c r="C722" s="105" t="s">
        <v>48</v>
      </c>
      <c r="D722" s="105" t="s">
        <v>14</v>
      </c>
      <c r="E722">
        <v>39</v>
      </c>
      <c r="F722">
        <v>25776.68</v>
      </c>
    </row>
    <row r="723" spans="1:6" hidden="1" x14ac:dyDescent="0.3">
      <c r="A723">
        <v>2023</v>
      </c>
      <c r="B723">
        <v>12</v>
      </c>
      <c r="C723" s="105" t="s">
        <v>48</v>
      </c>
      <c r="D723" s="105" t="s">
        <v>15</v>
      </c>
      <c r="E723">
        <v>15</v>
      </c>
      <c r="F723">
        <v>13093.21</v>
      </c>
    </row>
    <row r="724" spans="1:6" hidden="1" x14ac:dyDescent="0.3">
      <c r="A724">
        <v>2023</v>
      </c>
      <c r="B724">
        <v>12</v>
      </c>
      <c r="C724" s="105" t="s">
        <v>48</v>
      </c>
      <c r="D724" s="105" t="s">
        <v>16</v>
      </c>
      <c r="E724">
        <v>20</v>
      </c>
      <c r="F724">
        <v>16627.32</v>
      </c>
    </row>
    <row r="725" spans="1:6" hidden="1" x14ac:dyDescent="0.3">
      <c r="A725">
        <v>2023</v>
      </c>
      <c r="B725">
        <v>12</v>
      </c>
      <c r="C725" s="105" t="s">
        <v>48</v>
      </c>
      <c r="D725" s="105" t="s">
        <v>17</v>
      </c>
      <c r="E725">
        <v>90</v>
      </c>
      <c r="F725">
        <v>69592.679999999993</v>
      </c>
    </row>
    <row r="726" spans="1:6" hidden="1" x14ac:dyDescent="0.3">
      <c r="A726">
        <v>2023</v>
      </c>
      <c r="B726">
        <v>12</v>
      </c>
      <c r="C726" s="105" t="s">
        <v>48</v>
      </c>
      <c r="D726" s="105" t="s">
        <v>18</v>
      </c>
      <c r="E726">
        <v>99</v>
      </c>
      <c r="F726">
        <v>84943.1</v>
      </c>
    </row>
    <row r="727" spans="1:6" hidden="1" x14ac:dyDescent="0.3">
      <c r="A727">
        <v>2023</v>
      </c>
      <c r="B727">
        <v>12</v>
      </c>
      <c r="C727" s="105" t="s">
        <v>48</v>
      </c>
      <c r="D727" s="105" t="s">
        <v>19</v>
      </c>
      <c r="E727">
        <v>11</v>
      </c>
      <c r="F727">
        <v>6471.03</v>
      </c>
    </row>
    <row r="728" spans="1:6" x14ac:dyDescent="0.3">
      <c r="A728">
        <v>2023</v>
      </c>
      <c r="B728">
        <v>12</v>
      </c>
      <c r="C728" s="105" t="s">
        <v>48</v>
      </c>
      <c r="D728" s="105" t="s">
        <v>20</v>
      </c>
      <c r="E728">
        <v>75</v>
      </c>
      <c r="F728">
        <v>56926.95</v>
      </c>
    </row>
    <row r="729" spans="1:6" hidden="1" x14ac:dyDescent="0.3">
      <c r="A729">
        <v>2023</v>
      </c>
      <c r="B729">
        <v>12</v>
      </c>
      <c r="C729" s="105" t="s">
        <v>48</v>
      </c>
      <c r="D729" s="105" t="s">
        <v>21</v>
      </c>
      <c r="E729">
        <v>96</v>
      </c>
      <c r="F729">
        <v>85721.64</v>
      </c>
    </row>
    <row r="730" spans="1:6" hidden="1" x14ac:dyDescent="0.3">
      <c r="A730">
        <v>2023</v>
      </c>
      <c r="B730">
        <v>12</v>
      </c>
      <c r="C730" s="105" t="s">
        <v>48</v>
      </c>
      <c r="D730" s="105" t="s">
        <v>22</v>
      </c>
      <c r="E730">
        <v>37</v>
      </c>
      <c r="F730">
        <v>24393.87</v>
      </c>
    </row>
    <row r="731" spans="1:6" hidden="1" x14ac:dyDescent="0.3">
      <c r="A731">
        <v>2023</v>
      </c>
      <c r="B731">
        <v>12</v>
      </c>
      <c r="C731" s="105" t="s">
        <v>48</v>
      </c>
      <c r="D731" s="105" t="s">
        <v>23</v>
      </c>
      <c r="E731">
        <v>15</v>
      </c>
      <c r="F731">
        <v>13848.08</v>
      </c>
    </row>
    <row r="732" spans="1:6" hidden="1" x14ac:dyDescent="0.3">
      <c r="A732">
        <v>2023</v>
      </c>
      <c r="B732">
        <v>12</v>
      </c>
      <c r="C732" s="105" t="s">
        <v>48</v>
      </c>
      <c r="D732" s="105" t="s">
        <v>24</v>
      </c>
      <c r="E732">
        <v>68</v>
      </c>
      <c r="F732">
        <v>46714.29</v>
      </c>
    </row>
    <row r="733" spans="1:6" hidden="1" x14ac:dyDescent="0.3">
      <c r="A733">
        <v>2023</v>
      </c>
      <c r="B733">
        <v>12</v>
      </c>
      <c r="C733" s="105" t="s">
        <v>48</v>
      </c>
      <c r="D733" s="105" t="s">
        <v>25</v>
      </c>
      <c r="E733">
        <v>83</v>
      </c>
      <c r="F733">
        <v>72605.919999999998</v>
      </c>
    </row>
    <row r="734" spans="1:6" hidden="1" x14ac:dyDescent="0.3">
      <c r="A734">
        <v>2023</v>
      </c>
      <c r="B734">
        <v>12</v>
      </c>
      <c r="C734" s="105" t="s">
        <v>48</v>
      </c>
      <c r="D734" s="105" t="s">
        <v>26</v>
      </c>
      <c r="E734">
        <v>38</v>
      </c>
      <c r="F734">
        <v>23768.52</v>
      </c>
    </row>
    <row r="735" spans="1:6" hidden="1" x14ac:dyDescent="0.3">
      <c r="A735">
        <v>2023</v>
      </c>
      <c r="B735">
        <v>12</v>
      </c>
      <c r="C735" s="105" t="s">
        <v>48</v>
      </c>
      <c r="D735" s="105" t="s">
        <v>27</v>
      </c>
      <c r="E735">
        <v>38</v>
      </c>
      <c r="F735">
        <v>32047.37</v>
      </c>
    </row>
    <row r="736" spans="1:6" hidden="1" x14ac:dyDescent="0.3">
      <c r="A736">
        <v>2023</v>
      </c>
      <c r="B736">
        <v>12</v>
      </c>
      <c r="C736" s="105" t="s">
        <v>48</v>
      </c>
      <c r="D736" s="105" t="s">
        <v>28</v>
      </c>
      <c r="E736">
        <v>5</v>
      </c>
      <c r="F736">
        <v>3938.5</v>
      </c>
    </row>
    <row r="737" spans="1:6" hidden="1" x14ac:dyDescent="0.3">
      <c r="A737">
        <v>2023</v>
      </c>
      <c r="B737">
        <v>12</v>
      </c>
      <c r="C737" s="105" t="s">
        <v>48</v>
      </c>
      <c r="D737" s="105" t="s">
        <v>29</v>
      </c>
      <c r="E737">
        <v>91</v>
      </c>
      <c r="F737">
        <v>77015.98</v>
      </c>
    </row>
    <row r="738" spans="1:6" hidden="1" x14ac:dyDescent="0.3">
      <c r="A738">
        <v>2023</v>
      </c>
      <c r="B738">
        <v>12</v>
      </c>
      <c r="C738" s="105" t="s">
        <v>48</v>
      </c>
      <c r="D738" s="105" t="s">
        <v>30</v>
      </c>
      <c r="E738">
        <v>14</v>
      </c>
      <c r="F738">
        <v>10205</v>
      </c>
    </row>
    <row r="739" spans="1:6" hidden="1" x14ac:dyDescent="0.3">
      <c r="A739">
        <v>2023</v>
      </c>
      <c r="B739">
        <v>12</v>
      </c>
      <c r="C739" s="105" t="s">
        <v>48</v>
      </c>
      <c r="D739" s="105" t="s">
        <v>31</v>
      </c>
      <c r="E739">
        <v>139</v>
      </c>
      <c r="F739">
        <v>129275.43</v>
      </c>
    </row>
    <row r="740" spans="1:6" hidden="1" x14ac:dyDescent="0.3">
      <c r="A740">
        <v>2023</v>
      </c>
      <c r="B740">
        <v>12</v>
      </c>
      <c r="C740" s="105" t="s">
        <v>48</v>
      </c>
      <c r="D740" s="105" t="s">
        <v>32</v>
      </c>
      <c r="E740">
        <v>68</v>
      </c>
      <c r="F740">
        <v>39882.629999999997</v>
      </c>
    </row>
    <row r="741" spans="1:6" hidden="1" x14ac:dyDescent="0.3">
      <c r="A741">
        <v>2023</v>
      </c>
      <c r="B741">
        <v>12</v>
      </c>
      <c r="C741" s="105" t="s">
        <v>48</v>
      </c>
      <c r="D741" s="105" t="s">
        <v>33</v>
      </c>
      <c r="E741">
        <v>140</v>
      </c>
      <c r="F741">
        <v>126803.69</v>
      </c>
    </row>
    <row r="742" spans="1:6" hidden="1" x14ac:dyDescent="0.3">
      <c r="A742">
        <v>2023</v>
      </c>
      <c r="B742">
        <v>12</v>
      </c>
      <c r="C742" s="105" t="s">
        <v>48</v>
      </c>
      <c r="D742" s="105" t="s">
        <v>34</v>
      </c>
      <c r="E742">
        <v>95</v>
      </c>
      <c r="F742">
        <v>72057.350000000006</v>
      </c>
    </row>
    <row r="743" spans="1:6" hidden="1" x14ac:dyDescent="0.3">
      <c r="A743">
        <v>2023</v>
      </c>
      <c r="B743">
        <v>12</v>
      </c>
      <c r="C743" s="105" t="s">
        <v>48</v>
      </c>
      <c r="D743" s="105" t="s">
        <v>35</v>
      </c>
      <c r="E743">
        <v>43</v>
      </c>
      <c r="F743">
        <v>29590.75</v>
      </c>
    </row>
    <row r="744" spans="1:6" hidden="1" x14ac:dyDescent="0.3">
      <c r="A744">
        <v>2023</v>
      </c>
      <c r="B744">
        <v>12</v>
      </c>
      <c r="C744" s="105" t="s">
        <v>48</v>
      </c>
      <c r="D744" s="105" t="s">
        <v>36</v>
      </c>
      <c r="E744">
        <v>65</v>
      </c>
      <c r="F744">
        <v>49450.68</v>
      </c>
    </row>
    <row r="745" spans="1:6" hidden="1" x14ac:dyDescent="0.3">
      <c r="A745">
        <v>2023</v>
      </c>
      <c r="B745">
        <v>12</v>
      </c>
      <c r="C745" s="105" t="s">
        <v>48</v>
      </c>
      <c r="D745" s="105" t="s">
        <v>37</v>
      </c>
      <c r="E745">
        <v>44</v>
      </c>
      <c r="F745">
        <v>38747.47</v>
      </c>
    </row>
    <row r="746" spans="1:6" hidden="1" x14ac:dyDescent="0.3">
      <c r="A746">
        <v>2024</v>
      </c>
      <c r="B746">
        <v>1</v>
      </c>
      <c r="C746" s="105" t="s">
        <v>6</v>
      </c>
      <c r="D746" s="105" t="s">
        <v>7</v>
      </c>
      <c r="E746">
        <v>45</v>
      </c>
      <c r="F746">
        <v>29452.38</v>
      </c>
    </row>
    <row r="747" spans="1:6" hidden="1" x14ac:dyDescent="0.3">
      <c r="A747">
        <v>2024</v>
      </c>
      <c r="B747">
        <v>1</v>
      </c>
      <c r="C747" s="105" t="s">
        <v>6</v>
      </c>
      <c r="D747" s="105" t="s">
        <v>8</v>
      </c>
      <c r="E747">
        <v>30</v>
      </c>
      <c r="F747">
        <v>21000.07</v>
      </c>
    </row>
    <row r="748" spans="1:6" hidden="1" x14ac:dyDescent="0.3">
      <c r="A748">
        <v>2024</v>
      </c>
      <c r="B748">
        <v>1</v>
      </c>
      <c r="C748" s="105" t="s">
        <v>6</v>
      </c>
      <c r="D748" s="105" t="s">
        <v>9</v>
      </c>
      <c r="E748">
        <v>14</v>
      </c>
      <c r="F748">
        <v>10395.07</v>
      </c>
    </row>
    <row r="749" spans="1:6" hidden="1" x14ac:dyDescent="0.3">
      <c r="A749">
        <v>2024</v>
      </c>
      <c r="B749">
        <v>1</v>
      </c>
      <c r="C749" s="105" t="s">
        <v>6</v>
      </c>
      <c r="D749" s="105" t="s">
        <v>10</v>
      </c>
      <c r="E749">
        <v>106</v>
      </c>
      <c r="F749">
        <v>75862.720000000001</v>
      </c>
    </row>
    <row r="750" spans="1:6" hidden="1" x14ac:dyDescent="0.3">
      <c r="A750">
        <v>2024</v>
      </c>
      <c r="B750">
        <v>1</v>
      </c>
      <c r="C750" s="105" t="s">
        <v>6</v>
      </c>
      <c r="D750" s="105" t="s">
        <v>11</v>
      </c>
      <c r="E750">
        <v>93</v>
      </c>
      <c r="F750">
        <v>63244.39</v>
      </c>
    </row>
    <row r="751" spans="1:6" hidden="1" x14ac:dyDescent="0.3">
      <c r="A751">
        <v>2024</v>
      </c>
      <c r="B751">
        <v>1</v>
      </c>
      <c r="C751" s="105" t="s">
        <v>6</v>
      </c>
      <c r="D751" s="105" t="s">
        <v>12</v>
      </c>
      <c r="E751">
        <v>80</v>
      </c>
      <c r="F751">
        <v>50277.06</v>
      </c>
    </row>
    <row r="752" spans="1:6" hidden="1" x14ac:dyDescent="0.3">
      <c r="A752">
        <v>2024</v>
      </c>
      <c r="B752">
        <v>1</v>
      </c>
      <c r="C752" s="105" t="s">
        <v>6</v>
      </c>
      <c r="D752" s="105" t="s">
        <v>13</v>
      </c>
      <c r="E752">
        <v>134</v>
      </c>
      <c r="F752">
        <v>87791.03</v>
      </c>
    </row>
    <row r="753" spans="1:6" hidden="1" x14ac:dyDescent="0.3">
      <c r="A753">
        <v>2024</v>
      </c>
      <c r="B753">
        <v>1</v>
      </c>
      <c r="C753" s="105" t="s">
        <v>6</v>
      </c>
      <c r="D753" s="105" t="s">
        <v>14</v>
      </c>
      <c r="E753">
        <v>44</v>
      </c>
      <c r="F753">
        <v>31867.81</v>
      </c>
    </row>
    <row r="754" spans="1:6" hidden="1" x14ac:dyDescent="0.3">
      <c r="A754">
        <v>2024</v>
      </c>
      <c r="B754">
        <v>1</v>
      </c>
      <c r="C754" s="105" t="s">
        <v>6</v>
      </c>
      <c r="D754" s="105" t="s">
        <v>15</v>
      </c>
      <c r="E754">
        <v>13</v>
      </c>
      <c r="F754">
        <v>9459.7999999999993</v>
      </c>
    </row>
    <row r="755" spans="1:6" hidden="1" x14ac:dyDescent="0.3">
      <c r="A755">
        <v>2024</v>
      </c>
      <c r="B755">
        <v>1</v>
      </c>
      <c r="C755" s="105" t="s">
        <v>6</v>
      </c>
      <c r="D755" s="105" t="s">
        <v>16</v>
      </c>
      <c r="E755">
        <v>34</v>
      </c>
      <c r="F755">
        <v>21280.44</v>
      </c>
    </row>
    <row r="756" spans="1:6" hidden="1" x14ac:dyDescent="0.3">
      <c r="A756">
        <v>2024</v>
      </c>
      <c r="B756">
        <v>1</v>
      </c>
      <c r="C756" s="105" t="s">
        <v>6</v>
      </c>
      <c r="D756" s="105" t="s">
        <v>17</v>
      </c>
      <c r="E756">
        <v>173</v>
      </c>
      <c r="F756">
        <v>98405.57</v>
      </c>
    </row>
    <row r="757" spans="1:6" hidden="1" x14ac:dyDescent="0.3">
      <c r="A757">
        <v>2024</v>
      </c>
      <c r="B757">
        <v>1</v>
      </c>
      <c r="C757" s="105" t="s">
        <v>6</v>
      </c>
      <c r="D757" s="105" t="s">
        <v>18</v>
      </c>
      <c r="E757">
        <v>237</v>
      </c>
      <c r="F757">
        <v>126475.58</v>
      </c>
    </row>
    <row r="758" spans="1:6" hidden="1" x14ac:dyDescent="0.3">
      <c r="A758">
        <v>2024</v>
      </c>
      <c r="B758">
        <v>1</v>
      </c>
      <c r="C758" s="105" t="s">
        <v>6</v>
      </c>
      <c r="D758" s="105" t="s">
        <v>19</v>
      </c>
      <c r="E758">
        <v>19</v>
      </c>
      <c r="F758">
        <v>13330.23</v>
      </c>
    </row>
    <row r="759" spans="1:6" x14ac:dyDescent="0.3">
      <c r="A759">
        <v>2024</v>
      </c>
      <c r="B759">
        <v>1</v>
      </c>
      <c r="C759" s="105" t="s">
        <v>6</v>
      </c>
      <c r="D759" s="105" t="s">
        <v>20</v>
      </c>
      <c r="E759">
        <v>46</v>
      </c>
      <c r="F759">
        <v>32363.87</v>
      </c>
    </row>
    <row r="760" spans="1:6" hidden="1" x14ac:dyDescent="0.3">
      <c r="A760">
        <v>2024</v>
      </c>
      <c r="B760">
        <v>1</v>
      </c>
      <c r="C760" s="105" t="s">
        <v>6</v>
      </c>
      <c r="D760" s="105" t="s">
        <v>21</v>
      </c>
      <c r="E760">
        <v>155</v>
      </c>
      <c r="F760">
        <v>126931.16</v>
      </c>
    </row>
    <row r="761" spans="1:6" hidden="1" x14ac:dyDescent="0.3">
      <c r="A761">
        <v>2024</v>
      </c>
      <c r="B761">
        <v>1</v>
      </c>
      <c r="C761" s="105" t="s">
        <v>6</v>
      </c>
      <c r="D761" s="105" t="s">
        <v>22</v>
      </c>
      <c r="E761">
        <v>28</v>
      </c>
      <c r="F761">
        <v>19055.73</v>
      </c>
    </row>
    <row r="762" spans="1:6" hidden="1" x14ac:dyDescent="0.3">
      <c r="A762">
        <v>2024</v>
      </c>
      <c r="B762">
        <v>1</v>
      </c>
      <c r="C762" s="105" t="s">
        <v>6</v>
      </c>
      <c r="D762" s="105" t="s">
        <v>23</v>
      </c>
      <c r="E762">
        <v>50</v>
      </c>
      <c r="F762">
        <v>33350.639999999999</v>
      </c>
    </row>
    <row r="763" spans="1:6" hidden="1" x14ac:dyDescent="0.3">
      <c r="A763">
        <v>2024</v>
      </c>
      <c r="B763">
        <v>1</v>
      </c>
      <c r="C763" s="105" t="s">
        <v>6</v>
      </c>
      <c r="D763" s="105" t="s">
        <v>24</v>
      </c>
      <c r="E763">
        <v>47</v>
      </c>
      <c r="F763">
        <v>33105.61</v>
      </c>
    </row>
    <row r="764" spans="1:6" hidden="1" x14ac:dyDescent="0.3">
      <c r="A764">
        <v>2024</v>
      </c>
      <c r="B764">
        <v>1</v>
      </c>
      <c r="C764" s="105" t="s">
        <v>6</v>
      </c>
      <c r="D764" s="105" t="s">
        <v>25</v>
      </c>
      <c r="E764">
        <v>89</v>
      </c>
      <c r="F764">
        <v>69551.83</v>
      </c>
    </row>
    <row r="765" spans="1:6" hidden="1" x14ac:dyDescent="0.3">
      <c r="A765">
        <v>2024</v>
      </c>
      <c r="B765">
        <v>1</v>
      </c>
      <c r="C765" s="105" t="s">
        <v>6</v>
      </c>
      <c r="D765" s="105" t="s">
        <v>26</v>
      </c>
      <c r="E765">
        <v>55</v>
      </c>
      <c r="F765">
        <v>35656.129999999997</v>
      </c>
    </row>
    <row r="766" spans="1:6" hidden="1" x14ac:dyDescent="0.3">
      <c r="A766">
        <v>2024</v>
      </c>
      <c r="B766">
        <v>1</v>
      </c>
      <c r="C766" s="105" t="s">
        <v>6</v>
      </c>
      <c r="D766" s="105" t="s">
        <v>27</v>
      </c>
      <c r="E766">
        <v>51</v>
      </c>
      <c r="F766">
        <v>42458.29</v>
      </c>
    </row>
    <row r="767" spans="1:6" hidden="1" x14ac:dyDescent="0.3">
      <c r="A767">
        <v>2024</v>
      </c>
      <c r="B767">
        <v>1</v>
      </c>
      <c r="C767" s="105" t="s">
        <v>6</v>
      </c>
      <c r="D767" s="105" t="s">
        <v>28</v>
      </c>
      <c r="E767">
        <v>7</v>
      </c>
      <c r="F767">
        <v>4728.76</v>
      </c>
    </row>
    <row r="768" spans="1:6" hidden="1" x14ac:dyDescent="0.3">
      <c r="A768">
        <v>2024</v>
      </c>
      <c r="B768">
        <v>1</v>
      </c>
      <c r="C768" s="105" t="s">
        <v>6</v>
      </c>
      <c r="D768" s="105" t="s">
        <v>29</v>
      </c>
      <c r="E768">
        <v>96</v>
      </c>
      <c r="F768">
        <v>77480.77</v>
      </c>
    </row>
    <row r="769" spans="1:6" hidden="1" x14ac:dyDescent="0.3">
      <c r="A769">
        <v>2024</v>
      </c>
      <c r="B769">
        <v>1</v>
      </c>
      <c r="C769" s="105" t="s">
        <v>6</v>
      </c>
      <c r="D769" s="105" t="s">
        <v>30</v>
      </c>
      <c r="E769">
        <v>16</v>
      </c>
      <c r="F769">
        <v>12461.18</v>
      </c>
    </row>
    <row r="770" spans="1:6" hidden="1" x14ac:dyDescent="0.3">
      <c r="A770">
        <v>2024</v>
      </c>
      <c r="B770">
        <v>1</v>
      </c>
      <c r="C770" s="105" t="s">
        <v>6</v>
      </c>
      <c r="D770" s="105" t="s">
        <v>31</v>
      </c>
      <c r="E770">
        <v>171</v>
      </c>
      <c r="F770">
        <v>122582.62</v>
      </c>
    </row>
    <row r="771" spans="1:6" hidden="1" x14ac:dyDescent="0.3">
      <c r="A771">
        <v>2024</v>
      </c>
      <c r="B771">
        <v>1</v>
      </c>
      <c r="C771" s="105" t="s">
        <v>6</v>
      </c>
      <c r="D771" s="105" t="s">
        <v>32</v>
      </c>
      <c r="E771">
        <v>90</v>
      </c>
      <c r="F771">
        <v>48850.44</v>
      </c>
    </row>
    <row r="772" spans="1:6" hidden="1" x14ac:dyDescent="0.3">
      <c r="A772">
        <v>2024</v>
      </c>
      <c r="B772">
        <v>1</v>
      </c>
      <c r="C772" s="105" t="s">
        <v>6</v>
      </c>
      <c r="D772" s="105" t="s">
        <v>33</v>
      </c>
      <c r="E772">
        <v>205</v>
      </c>
      <c r="F772">
        <v>174489.53</v>
      </c>
    </row>
    <row r="773" spans="1:6" hidden="1" x14ac:dyDescent="0.3">
      <c r="A773">
        <v>2024</v>
      </c>
      <c r="B773">
        <v>1</v>
      </c>
      <c r="C773" s="105" t="s">
        <v>6</v>
      </c>
      <c r="D773" s="105" t="s">
        <v>34</v>
      </c>
      <c r="E773">
        <v>108</v>
      </c>
      <c r="F773">
        <v>80084.78</v>
      </c>
    </row>
    <row r="774" spans="1:6" hidden="1" x14ac:dyDescent="0.3">
      <c r="A774">
        <v>2024</v>
      </c>
      <c r="B774">
        <v>1</v>
      </c>
      <c r="C774" s="105" t="s">
        <v>6</v>
      </c>
      <c r="D774" s="105" t="s">
        <v>35</v>
      </c>
      <c r="E774">
        <v>43</v>
      </c>
      <c r="F774">
        <v>37056.400000000001</v>
      </c>
    </row>
    <row r="775" spans="1:6" hidden="1" x14ac:dyDescent="0.3">
      <c r="A775">
        <v>2024</v>
      </c>
      <c r="B775">
        <v>1</v>
      </c>
      <c r="C775" s="105" t="s">
        <v>6</v>
      </c>
      <c r="D775" s="105" t="s">
        <v>36</v>
      </c>
      <c r="E775">
        <v>69</v>
      </c>
      <c r="F775">
        <v>52268.84</v>
      </c>
    </row>
    <row r="776" spans="1:6" hidden="1" x14ac:dyDescent="0.3">
      <c r="A776">
        <v>2024</v>
      </c>
      <c r="B776">
        <v>1</v>
      </c>
      <c r="C776" s="105" t="s">
        <v>6</v>
      </c>
      <c r="D776" s="105" t="s">
        <v>37</v>
      </c>
      <c r="E776">
        <v>92</v>
      </c>
      <c r="F776">
        <v>71197.33</v>
      </c>
    </row>
    <row r="777" spans="1:6" hidden="1" x14ac:dyDescent="0.3">
      <c r="A777">
        <v>2024</v>
      </c>
      <c r="B777">
        <v>2</v>
      </c>
      <c r="C777" s="105" t="s">
        <v>38</v>
      </c>
      <c r="D777" s="105" t="s">
        <v>7</v>
      </c>
      <c r="E777">
        <v>24</v>
      </c>
      <c r="F777">
        <v>22051.49</v>
      </c>
    </row>
    <row r="778" spans="1:6" hidden="1" x14ac:dyDescent="0.3">
      <c r="A778">
        <v>2024</v>
      </c>
      <c r="B778">
        <v>2</v>
      </c>
      <c r="C778" s="105" t="s">
        <v>38</v>
      </c>
      <c r="D778" s="105" t="s">
        <v>8</v>
      </c>
      <c r="E778">
        <v>23</v>
      </c>
      <c r="F778">
        <v>14780.85</v>
      </c>
    </row>
    <row r="779" spans="1:6" hidden="1" x14ac:dyDescent="0.3">
      <c r="A779">
        <v>2024</v>
      </c>
      <c r="B779">
        <v>2</v>
      </c>
      <c r="C779" s="105" t="s">
        <v>38</v>
      </c>
      <c r="D779" s="105" t="s">
        <v>9</v>
      </c>
      <c r="E779">
        <v>11</v>
      </c>
      <c r="F779">
        <v>8315</v>
      </c>
    </row>
    <row r="780" spans="1:6" hidden="1" x14ac:dyDescent="0.3">
      <c r="A780">
        <v>2024</v>
      </c>
      <c r="B780">
        <v>2</v>
      </c>
      <c r="C780" s="105" t="s">
        <v>38</v>
      </c>
      <c r="D780" s="105" t="s">
        <v>10</v>
      </c>
      <c r="E780">
        <v>58</v>
      </c>
      <c r="F780">
        <v>62294.13</v>
      </c>
    </row>
    <row r="781" spans="1:6" hidden="1" x14ac:dyDescent="0.3">
      <c r="A781">
        <v>2024</v>
      </c>
      <c r="B781">
        <v>2</v>
      </c>
      <c r="C781" s="105" t="s">
        <v>38</v>
      </c>
      <c r="D781" s="105" t="s">
        <v>11</v>
      </c>
      <c r="E781">
        <v>49</v>
      </c>
      <c r="F781">
        <v>40954.6</v>
      </c>
    </row>
    <row r="782" spans="1:6" hidden="1" x14ac:dyDescent="0.3">
      <c r="A782">
        <v>2024</v>
      </c>
      <c r="B782">
        <v>2</v>
      </c>
      <c r="C782" s="105" t="s">
        <v>38</v>
      </c>
      <c r="D782" s="105" t="s">
        <v>12</v>
      </c>
      <c r="E782">
        <v>45</v>
      </c>
      <c r="F782">
        <v>36059.18</v>
      </c>
    </row>
    <row r="783" spans="1:6" hidden="1" x14ac:dyDescent="0.3">
      <c r="A783">
        <v>2024</v>
      </c>
      <c r="B783">
        <v>2</v>
      </c>
      <c r="C783" s="105" t="s">
        <v>38</v>
      </c>
      <c r="D783" s="105" t="s">
        <v>13</v>
      </c>
      <c r="E783">
        <v>88</v>
      </c>
      <c r="F783">
        <v>66464.850000000006</v>
      </c>
    </row>
    <row r="784" spans="1:6" hidden="1" x14ac:dyDescent="0.3">
      <c r="A784">
        <v>2024</v>
      </c>
      <c r="B784">
        <v>2</v>
      </c>
      <c r="C784" s="105" t="s">
        <v>38</v>
      </c>
      <c r="D784" s="105" t="s">
        <v>14</v>
      </c>
      <c r="E784">
        <v>41</v>
      </c>
      <c r="F784">
        <v>28315.360000000001</v>
      </c>
    </row>
    <row r="785" spans="1:6" hidden="1" x14ac:dyDescent="0.3">
      <c r="A785">
        <v>2024</v>
      </c>
      <c r="B785">
        <v>2</v>
      </c>
      <c r="C785" s="105" t="s">
        <v>38</v>
      </c>
      <c r="D785" s="105" t="s">
        <v>15</v>
      </c>
      <c r="E785">
        <v>7</v>
      </c>
      <c r="F785">
        <v>5799.48</v>
      </c>
    </row>
    <row r="786" spans="1:6" hidden="1" x14ac:dyDescent="0.3">
      <c r="A786">
        <v>2024</v>
      </c>
      <c r="B786">
        <v>2</v>
      </c>
      <c r="C786" s="105" t="s">
        <v>38</v>
      </c>
      <c r="D786" s="105" t="s">
        <v>16</v>
      </c>
      <c r="E786">
        <v>15</v>
      </c>
      <c r="F786">
        <v>13395.78</v>
      </c>
    </row>
    <row r="787" spans="1:6" hidden="1" x14ac:dyDescent="0.3">
      <c r="A787">
        <v>2024</v>
      </c>
      <c r="B787">
        <v>2</v>
      </c>
      <c r="C787" s="105" t="s">
        <v>38</v>
      </c>
      <c r="D787" s="105" t="s">
        <v>17</v>
      </c>
      <c r="E787">
        <v>66</v>
      </c>
      <c r="F787">
        <v>53566.13</v>
      </c>
    </row>
    <row r="788" spans="1:6" hidden="1" x14ac:dyDescent="0.3">
      <c r="A788">
        <v>2024</v>
      </c>
      <c r="B788">
        <v>2</v>
      </c>
      <c r="C788" s="105" t="s">
        <v>38</v>
      </c>
      <c r="D788" s="105" t="s">
        <v>18</v>
      </c>
      <c r="E788">
        <v>99</v>
      </c>
      <c r="F788">
        <v>95196.63</v>
      </c>
    </row>
    <row r="789" spans="1:6" hidden="1" x14ac:dyDescent="0.3">
      <c r="A789">
        <v>2024</v>
      </c>
      <c r="B789">
        <v>2</v>
      </c>
      <c r="C789" s="105" t="s">
        <v>38</v>
      </c>
      <c r="D789" s="105" t="s">
        <v>19</v>
      </c>
      <c r="E789">
        <v>16</v>
      </c>
      <c r="F789">
        <v>11277.76</v>
      </c>
    </row>
    <row r="790" spans="1:6" x14ac:dyDescent="0.3">
      <c r="A790">
        <v>2024</v>
      </c>
      <c r="B790">
        <v>2</v>
      </c>
      <c r="C790" s="105" t="s">
        <v>38</v>
      </c>
      <c r="D790" s="105" t="s">
        <v>20</v>
      </c>
      <c r="E790">
        <v>52</v>
      </c>
      <c r="F790">
        <v>40775.01</v>
      </c>
    </row>
    <row r="791" spans="1:6" hidden="1" x14ac:dyDescent="0.3">
      <c r="A791">
        <v>2024</v>
      </c>
      <c r="B791">
        <v>2</v>
      </c>
      <c r="C791" s="105" t="s">
        <v>38</v>
      </c>
      <c r="D791" s="105" t="s">
        <v>21</v>
      </c>
      <c r="E791">
        <v>74</v>
      </c>
      <c r="F791">
        <v>72591.25</v>
      </c>
    </row>
    <row r="792" spans="1:6" hidden="1" x14ac:dyDescent="0.3">
      <c r="A792">
        <v>2024</v>
      </c>
      <c r="B792">
        <v>2</v>
      </c>
      <c r="C792" s="105" t="s">
        <v>38</v>
      </c>
      <c r="D792" s="105" t="s">
        <v>22</v>
      </c>
      <c r="E792">
        <v>27</v>
      </c>
      <c r="F792">
        <v>17650.45</v>
      </c>
    </row>
    <row r="793" spans="1:6" hidden="1" x14ac:dyDescent="0.3">
      <c r="A793">
        <v>2024</v>
      </c>
      <c r="B793">
        <v>2</v>
      </c>
      <c r="C793" s="105" t="s">
        <v>38</v>
      </c>
      <c r="D793" s="105" t="s">
        <v>23</v>
      </c>
      <c r="E793">
        <v>20</v>
      </c>
      <c r="F793">
        <v>19160.080000000002</v>
      </c>
    </row>
    <row r="794" spans="1:6" hidden="1" x14ac:dyDescent="0.3">
      <c r="A794">
        <v>2024</v>
      </c>
      <c r="B794">
        <v>2</v>
      </c>
      <c r="C794" s="105" t="s">
        <v>38</v>
      </c>
      <c r="D794" s="105" t="s">
        <v>24</v>
      </c>
      <c r="E794">
        <v>52</v>
      </c>
      <c r="F794">
        <v>35957.72</v>
      </c>
    </row>
    <row r="795" spans="1:6" hidden="1" x14ac:dyDescent="0.3">
      <c r="A795">
        <v>2024</v>
      </c>
      <c r="B795">
        <v>2</v>
      </c>
      <c r="C795" s="105" t="s">
        <v>38</v>
      </c>
      <c r="D795" s="105" t="s">
        <v>25</v>
      </c>
      <c r="E795">
        <v>79</v>
      </c>
      <c r="F795">
        <v>59781.84</v>
      </c>
    </row>
    <row r="796" spans="1:6" hidden="1" x14ac:dyDescent="0.3">
      <c r="A796">
        <v>2024</v>
      </c>
      <c r="B796">
        <v>2</v>
      </c>
      <c r="C796" s="105" t="s">
        <v>38</v>
      </c>
      <c r="D796" s="105" t="s">
        <v>26</v>
      </c>
      <c r="E796">
        <v>31</v>
      </c>
      <c r="F796">
        <v>25925.21</v>
      </c>
    </row>
    <row r="797" spans="1:6" hidden="1" x14ac:dyDescent="0.3">
      <c r="A797">
        <v>2024</v>
      </c>
      <c r="B797">
        <v>2</v>
      </c>
      <c r="C797" s="105" t="s">
        <v>38</v>
      </c>
      <c r="D797" s="105" t="s">
        <v>27</v>
      </c>
      <c r="E797">
        <v>49</v>
      </c>
      <c r="F797">
        <v>42383.68</v>
      </c>
    </row>
    <row r="798" spans="1:6" hidden="1" x14ac:dyDescent="0.3">
      <c r="A798">
        <v>2024</v>
      </c>
      <c r="B798">
        <v>2</v>
      </c>
      <c r="C798" s="105" t="s">
        <v>38</v>
      </c>
      <c r="D798" s="105" t="s">
        <v>28</v>
      </c>
      <c r="E798">
        <v>8</v>
      </c>
      <c r="F798">
        <v>5761</v>
      </c>
    </row>
    <row r="799" spans="1:6" hidden="1" x14ac:dyDescent="0.3">
      <c r="A799">
        <v>2024</v>
      </c>
      <c r="B799">
        <v>2</v>
      </c>
      <c r="C799" s="105" t="s">
        <v>38</v>
      </c>
      <c r="D799" s="105" t="s">
        <v>29</v>
      </c>
      <c r="E799">
        <v>67</v>
      </c>
      <c r="F799">
        <v>57339.8</v>
      </c>
    </row>
    <row r="800" spans="1:6" hidden="1" x14ac:dyDescent="0.3">
      <c r="A800">
        <v>2024</v>
      </c>
      <c r="B800">
        <v>2</v>
      </c>
      <c r="C800" s="105" t="s">
        <v>38</v>
      </c>
      <c r="D800" s="105" t="s">
        <v>30</v>
      </c>
      <c r="E800">
        <v>23</v>
      </c>
      <c r="F800">
        <v>16481.5</v>
      </c>
    </row>
    <row r="801" spans="1:6" hidden="1" x14ac:dyDescent="0.3">
      <c r="A801">
        <v>2024</v>
      </c>
      <c r="B801">
        <v>2</v>
      </c>
      <c r="C801" s="105" t="s">
        <v>38</v>
      </c>
      <c r="D801" s="105" t="s">
        <v>31</v>
      </c>
      <c r="E801">
        <v>139</v>
      </c>
      <c r="F801">
        <v>111530.45</v>
      </c>
    </row>
    <row r="802" spans="1:6" hidden="1" x14ac:dyDescent="0.3">
      <c r="A802">
        <v>2024</v>
      </c>
      <c r="B802">
        <v>2</v>
      </c>
      <c r="C802" s="105" t="s">
        <v>38</v>
      </c>
      <c r="D802" s="105" t="s">
        <v>32</v>
      </c>
      <c r="E802">
        <v>33</v>
      </c>
      <c r="F802">
        <v>27450.51</v>
      </c>
    </row>
    <row r="803" spans="1:6" hidden="1" x14ac:dyDescent="0.3">
      <c r="A803">
        <v>2024</v>
      </c>
      <c r="B803">
        <v>2</v>
      </c>
      <c r="C803" s="105" t="s">
        <v>38</v>
      </c>
      <c r="D803" s="105" t="s">
        <v>33</v>
      </c>
      <c r="E803">
        <v>160</v>
      </c>
      <c r="F803">
        <v>143662.99</v>
      </c>
    </row>
    <row r="804" spans="1:6" hidden="1" x14ac:dyDescent="0.3">
      <c r="A804">
        <v>2024</v>
      </c>
      <c r="B804">
        <v>2</v>
      </c>
      <c r="C804" s="105" t="s">
        <v>38</v>
      </c>
      <c r="D804" s="105" t="s">
        <v>34</v>
      </c>
      <c r="E804">
        <v>89</v>
      </c>
      <c r="F804">
        <v>76375.61</v>
      </c>
    </row>
    <row r="805" spans="1:6" hidden="1" x14ac:dyDescent="0.3">
      <c r="A805">
        <v>2024</v>
      </c>
      <c r="B805">
        <v>2</v>
      </c>
      <c r="C805" s="105" t="s">
        <v>38</v>
      </c>
      <c r="D805" s="105" t="s">
        <v>35</v>
      </c>
      <c r="E805">
        <v>54</v>
      </c>
      <c r="F805">
        <v>63981.84</v>
      </c>
    </row>
    <row r="806" spans="1:6" hidden="1" x14ac:dyDescent="0.3">
      <c r="A806">
        <v>2024</v>
      </c>
      <c r="B806">
        <v>2</v>
      </c>
      <c r="C806" s="105" t="s">
        <v>38</v>
      </c>
      <c r="D806" s="105" t="s">
        <v>36</v>
      </c>
      <c r="E806">
        <v>43</v>
      </c>
      <c r="F806">
        <v>35883.68</v>
      </c>
    </row>
    <row r="807" spans="1:6" hidden="1" x14ac:dyDescent="0.3">
      <c r="A807">
        <v>2024</v>
      </c>
      <c r="B807">
        <v>2</v>
      </c>
      <c r="C807" s="105" t="s">
        <v>38</v>
      </c>
      <c r="D807" s="105" t="s">
        <v>37</v>
      </c>
      <c r="E807">
        <v>44</v>
      </c>
      <c r="F807">
        <v>41762.07</v>
      </c>
    </row>
    <row r="808" spans="1:6" hidden="1" x14ac:dyDescent="0.3">
      <c r="A808">
        <v>2024</v>
      </c>
      <c r="B808">
        <v>3</v>
      </c>
      <c r="C808" s="105" t="s">
        <v>39</v>
      </c>
      <c r="D808" s="105" t="s">
        <v>7</v>
      </c>
      <c r="E808">
        <v>24</v>
      </c>
      <c r="F808">
        <v>21811.3</v>
      </c>
    </row>
    <row r="809" spans="1:6" hidden="1" x14ac:dyDescent="0.3">
      <c r="A809">
        <v>2024</v>
      </c>
      <c r="B809">
        <v>3</v>
      </c>
      <c r="C809" s="105" t="s">
        <v>39</v>
      </c>
      <c r="D809" s="105" t="s">
        <v>8</v>
      </c>
      <c r="E809">
        <v>34</v>
      </c>
      <c r="F809">
        <v>26306.53</v>
      </c>
    </row>
    <row r="810" spans="1:6" hidden="1" x14ac:dyDescent="0.3">
      <c r="A810">
        <v>2024</v>
      </c>
      <c r="B810">
        <v>3</v>
      </c>
      <c r="C810" s="105" t="s">
        <v>39</v>
      </c>
      <c r="D810" s="105" t="s">
        <v>9</v>
      </c>
      <c r="E810">
        <v>24</v>
      </c>
      <c r="F810">
        <v>14713</v>
      </c>
    </row>
    <row r="811" spans="1:6" hidden="1" x14ac:dyDescent="0.3">
      <c r="A811">
        <v>2024</v>
      </c>
      <c r="B811">
        <v>3</v>
      </c>
      <c r="C811" s="105" t="s">
        <v>39</v>
      </c>
      <c r="D811" s="105" t="s">
        <v>10</v>
      </c>
      <c r="E811">
        <v>50</v>
      </c>
      <c r="F811">
        <v>48529.5</v>
      </c>
    </row>
    <row r="812" spans="1:6" hidden="1" x14ac:dyDescent="0.3">
      <c r="A812">
        <v>2024</v>
      </c>
      <c r="B812">
        <v>3</v>
      </c>
      <c r="C812" s="105" t="s">
        <v>39</v>
      </c>
      <c r="D812" s="105" t="s">
        <v>11</v>
      </c>
      <c r="E812">
        <v>56</v>
      </c>
      <c r="F812">
        <v>62715.13</v>
      </c>
    </row>
    <row r="813" spans="1:6" hidden="1" x14ac:dyDescent="0.3">
      <c r="A813">
        <v>2024</v>
      </c>
      <c r="B813">
        <v>3</v>
      </c>
      <c r="C813" s="105" t="s">
        <v>39</v>
      </c>
      <c r="D813" s="105" t="s">
        <v>12</v>
      </c>
      <c r="E813">
        <v>64</v>
      </c>
      <c r="F813">
        <v>52801.13</v>
      </c>
    </row>
    <row r="814" spans="1:6" hidden="1" x14ac:dyDescent="0.3">
      <c r="A814">
        <v>2024</v>
      </c>
      <c r="B814">
        <v>3</v>
      </c>
      <c r="C814" s="105" t="s">
        <v>39</v>
      </c>
      <c r="D814" s="105" t="s">
        <v>13</v>
      </c>
      <c r="E814">
        <v>140</v>
      </c>
      <c r="F814">
        <v>81864.58</v>
      </c>
    </row>
    <row r="815" spans="1:6" hidden="1" x14ac:dyDescent="0.3">
      <c r="A815">
        <v>2024</v>
      </c>
      <c r="B815">
        <v>3</v>
      </c>
      <c r="C815" s="105" t="s">
        <v>39</v>
      </c>
      <c r="D815" s="105" t="s">
        <v>14</v>
      </c>
      <c r="E815">
        <v>56</v>
      </c>
      <c r="F815">
        <v>38104.980000000003</v>
      </c>
    </row>
    <row r="816" spans="1:6" hidden="1" x14ac:dyDescent="0.3">
      <c r="A816">
        <v>2024</v>
      </c>
      <c r="B816">
        <v>3</v>
      </c>
      <c r="C816" s="105" t="s">
        <v>39</v>
      </c>
      <c r="D816" s="105" t="s">
        <v>15</v>
      </c>
      <c r="E816">
        <v>20</v>
      </c>
      <c r="F816">
        <v>13751.56</v>
      </c>
    </row>
    <row r="817" spans="1:6" hidden="1" x14ac:dyDescent="0.3">
      <c r="A817">
        <v>2024</v>
      </c>
      <c r="B817">
        <v>3</v>
      </c>
      <c r="C817" s="105" t="s">
        <v>39</v>
      </c>
      <c r="D817" s="105" t="s">
        <v>16</v>
      </c>
      <c r="E817">
        <v>17</v>
      </c>
      <c r="F817">
        <v>13811.49</v>
      </c>
    </row>
    <row r="818" spans="1:6" hidden="1" x14ac:dyDescent="0.3">
      <c r="A818">
        <v>2024</v>
      </c>
      <c r="B818">
        <v>3</v>
      </c>
      <c r="C818" s="105" t="s">
        <v>39</v>
      </c>
      <c r="D818" s="105" t="s">
        <v>17</v>
      </c>
      <c r="E818">
        <v>97</v>
      </c>
      <c r="F818">
        <v>78076.639999999999</v>
      </c>
    </row>
    <row r="819" spans="1:6" hidden="1" x14ac:dyDescent="0.3">
      <c r="A819">
        <v>2024</v>
      </c>
      <c r="B819">
        <v>3</v>
      </c>
      <c r="C819" s="105" t="s">
        <v>39</v>
      </c>
      <c r="D819" s="105" t="s">
        <v>18</v>
      </c>
      <c r="E819">
        <v>99</v>
      </c>
      <c r="F819">
        <v>91975.39</v>
      </c>
    </row>
    <row r="820" spans="1:6" hidden="1" x14ac:dyDescent="0.3">
      <c r="A820">
        <v>2024</v>
      </c>
      <c r="B820">
        <v>3</v>
      </c>
      <c r="C820" s="105" t="s">
        <v>39</v>
      </c>
      <c r="D820" s="105" t="s">
        <v>19</v>
      </c>
      <c r="E820">
        <v>22</v>
      </c>
      <c r="F820">
        <v>14376.71</v>
      </c>
    </row>
    <row r="821" spans="1:6" x14ac:dyDescent="0.3">
      <c r="A821">
        <v>2024</v>
      </c>
      <c r="B821">
        <v>3</v>
      </c>
      <c r="C821" s="105" t="s">
        <v>39</v>
      </c>
      <c r="D821" s="105" t="s">
        <v>20</v>
      </c>
      <c r="E821">
        <v>71</v>
      </c>
      <c r="F821">
        <v>52454.02</v>
      </c>
    </row>
    <row r="822" spans="1:6" hidden="1" x14ac:dyDescent="0.3">
      <c r="A822">
        <v>2024</v>
      </c>
      <c r="B822">
        <v>3</v>
      </c>
      <c r="C822" s="105" t="s">
        <v>39</v>
      </c>
      <c r="D822" s="105" t="s">
        <v>21</v>
      </c>
      <c r="E822">
        <v>106</v>
      </c>
      <c r="F822">
        <v>106012.37</v>
      </c>
    </row>
    <row r="823" spans="1:6" hidden="1" x14ac:dyDescent="0.3">
      <c r="A823">
        <v>2024</v>
      </c>
      <c r="B823">
        <v>3</v>
      </c>
      <c r="C823" s="105" t="s">
        <v>39</v>
      </c>
      <c r="D823" s="105" t="s">
        <v>22</v>
      </c>
      <c r="E823">
        <v>38</v>
      </c>
      <c r="F823">
        <v>24671</v>
      </c>
    </row>
    <row r="824" spans="1:6" hidden="1" x14ac:dyDescent="0.3">
      <c r="A824">
        <v>2024</v>
      </c>
      <c r="B824">
        <v>3</v>
      </c>
      <c r="C824" s="105" t="s">
        <v>39</v>
      </c>
      <c r="D824" s="105" t="s">
        <v>23</v>
      </c>
      <c r="E824">
        <v>26</v>
      </c>
      <c r="F824">
        <v>25199.53</v>
      </c>
    </row>
    <row r="825" spans="1:6" hidden="1" x14ac:dyDescent="0.3">
      <c r="A825">
        <v>2024</v>
      </c>
      <c r="B825">
        <v>3</v>
      </c>
      <c r="C825" s="105" t="s">
        <v>39</v>
      </c>
      <c r="D825" s="105" t="s">
        <v>24</v>
      </c>
      <c r="E825">
        <v>80</v>
      </c>
      <c r="F825">
        <v>50409.63</v>
      </c>
    </row>
    <row r="826" spans="1:6" hidden="1" x14ac:dyDescent="0.3">
      <c r="A826">
        <v>2024</v>
      </c>
      <c r="B826">
        <v>3</v>
      </c>
      <c r="C826" s="105" t="s">
        <v>39</v>
      </c>
      <c r="D826" s="105" t="s">
        <v>25</v>
      </c>
      <c r="E826">
        <v>119</v>
      </c>
      <c r="F826">
        <v>94209.54</v>
      </c>
    </row>
    <row r="827" spans="1:6" hidden="1" x14ac:dyDescent="0.3">
      <c r="A827">
        <v>2024</v>
      </c>
      <c r="B827">
        <v>3</v>
      </c>
      <c r="C827" s="105" t="s">
        <v>39</v>
      </c>
      <c r="D827" s="105" t="s">
        <v>26</v>
      </c>
      <c r="E827">
        <v>34</v>
      </c>
      <c r="F827">
        <v>29841</v>
      </c>
    </row>
    <row r="828" spans="1:6" hidden="1" x14ac:dyDescent="0.3">
      <c r="A828">
        <v>2024</v>
      </c>
      <c r="B828">
        <v>3</v>
      </c>
      <c r="C828" s="105" t="s">
        <v>39</v>
      </c>
      <c r="D828" s="105" t="s">
        <v>27</v>
      </c>
      <c r="E828">
        <v>45</v>
      </c>
      <c r="F828">
        <v>39638.839999999997</v>
      </c>
    </row>
    <row r="829" spans="1:6" hidden="1" x14ac:dyDescent="0.3">
      <c r="A829">
        <v>2024</v>
      </c>
      <c r="B829">
        <v>3</v>
      </c>
      <c r="C829" s="105" t="s">
        <v>39</v>
      </c>
      <c r="D829" s="105" t="s">
        <v>28</v>
      </c>
      <c r="E829">
        <v>16</v>
      </c>
      <c r="F829">
        <v>11445.8</v>
      </c>
    </row>
    <row r="830" spans="1:6" hidden="1" x14ac:dyDescent="0.3">
      <c r="A830">
        <v>2024</v>
      </c>
      <c r="B830">
        <v>3</v>
      </c>
      <c r="C830" s="105" t="s">
        <v>39</v>
      </c>
      <c r="D830" s="105" t="s">
        <v>29</v>
      </c>
      <c r="E830">
        <v>64</v>
      </c>
      <c r="F830">
        <v>56612.01</v>
      </c>
    </row>
    <row r="831" spans="1:6" hidden="1" x14ac:dyDescent="0.3">
      <c r="A831">
        <v>2024</v>
      </c>
      <c r="B831">
        <v>3</v>
      </c>
      <c r="C831" s="105" t="s">
        <v>39</v>
      </c>
      <c r="D831" s="105" t="s">
        <v>30</v>
      </c>
      <c r="E831">
        <v>32</v>
      </c>
      <c r="F831">
        <v>22682.14</v>
      </c>
    </row>
    <row r="832" spans="1:6" hidden="1" x14ac:dyDescent="0.3">
      <c r="A832">
        <v>2024</v>
      </c>
      <c r="B832">
        <v>3</v>
      </c>
      <c r="C832" s="105" t="s">
        <v>39</v>
      </c>
      <c r="D832" s="105" t="s">
        <v>31</v>
      </c>
      <c r="E832">
        <v>149</v>
      </c>
      <c r="F832">
        <v>132904.01999999999</v>
      </c>
    </row>
    <row r="833" spans="1:6" hidden="1" x14ac:dyDescent="0.3">
      <c r="A833">
        <v>2024</v>
      </c>
      <c r="B833">
        <v>3</v>
      </c>
      <c r="C833" s="105" t="s">
        <v>39</v>
      </c>
      <c r="D833" s="105" t="s">
        <v>32</v>
      </c>
      <c r="E833">
        <v>38</v>
      </c>
      <c r="F833">
        <v>33022.120000000003</v>
      </c>
    </row>
    <row r="834" spans="1:6" hidden="1" x14ac:dyDescent="0.3">
      <c r="A834">
        <v>2024</v>
      </c>
      <c r="B834">
        <v>3</v>
      </c>
      <c r="C834" s="105" t="s">
        <v>39</v>
      </c>
      <c r="D834" s="105" t="s">
        <v>33</v>
      </c>
      <c r="E834">
        <v>160</v>
      </c>
      <c r="F834">
        <v>144288.59</v>
      </c>
    </row>
    <row r="835" spans="1:6" hidden="1" x14ac:dyDescent="0.3">
      <c r="A835">
        <v>2024</v>
      </c>
      <c r="B835">
        <v>3</v>
      </c>
      <c r="C835" s="105" t="s">
        <v>39</v>
      </c>
      <c r="D835" s="105" t="s">
        <v>34</v>
      </c>
      <c r="E835">
        <v>85</v>
      </c>
      <c r="F835">
        <v>72823.88</v>
      </c>
    </row>
    <row r="836" spans="1:6" hidden="1" x14ac:dyDescent="0.3">
      <c r="A836">
        <v>2024</v>
      </c>
      <c r="B836">
        <v>3</v>
      </c>
      <c r="C836" s="105" t="s">
        <v>39</v>
      </c>
      <c r="D836" s="105" t="s">
        <v>35</v>
      </c>
      <c r="E836">
        <v>40</v>
      </c>
      <c r="F836">
        <v>32201.52</v>
      </c>
    </row>
    <row r="837" spans="1:6" hidden="1" x14ac:dyDescent="0.3">
      <c r="A837">
        <v>2024</v>
      </c>
      <c r="B837">
        <v>3</v>
      </c>
      <c r="C837" s="105" t="s">
        <v>39</v>
      </c>
      <c r="D837" s="105" t="s">
        <v>36</v>
      </c>
      <c r="E837">
        <v>58</v>
      </c>
      <c r="F837">
        <v>50201.27</v>
      </c>
    </row>
    <row r="838" spans="1:6" hidden="1" x14ac:dyDescent="0.3">
      <c r="A838">
        <v>2024</v>
      </c>
      <c r="B838">
        <v>3</v>
      </c>
      <c r="C838" s="105" t="s">
        <v>39</v>
      </c>
      <c r="D838" s="105" t="s">
        <v>37</v>
      </c>
      <c r="E838">
        <v>82</v>
      </c>
      <c r="F838">
        <v>70784.34</v>
      </c>
    </row>
    <row r="839" spans="1:6" hidden="1" x14ac:dyDescent="0.3">
      <c r="A839">
        <v>2024</v>
      </c>
      <c r="B839">
        <v>4</v>
      </c>
      <c r="C839" s="105" t="s">
        <v>40</v>
      </c>
      <c r="D839" s="105" t="s">
        <v>7</v>
      </c>
      <c r="E839">
        <v>28</v>
      </c>
      <c r="F839">
        <v>24057.8</v>
      </c>
    </row>
    <row r="840" spans="1:6" hidden="1" x14ac:dyDescent="0.3">
      <c r="A840">
        <v>2024</v>
      </c>
      <c r="B840">
        <v>4</v>
      </c>
      <c r="C840" s="105" t="s">
        <v>40</v>
      </c>
      <c r="D840" s="105" t="s">
        <v>8</v>
      </c>
      <c r="E840">
        <v>34</v>
      </c>
      <c r="F840">
        <v>25617.59</v>
      </c>
    </row>
    <row r="841" spans="1:6" hidden="1" x14ac:dyDescent="0.3">
      <c r="A841">
        <v>2024</v>
      </c>
      <c r="B841">
        <v>4</v>
      </c>
      <c r="C841" s="105" t="s">
        <v>40</v>
      </c>
      <c r="D841" s="105" t="s">
        <v>9</v>
      </c>
      <c r="E841">
        <v>10</v>
      </c>
      <c r="F841">
        <v>7904</v>
      </c>
    </row>
    <row r="842" spans="1:6" hidden="1" x14ac:dyDescent="0.3">
      <c r="A842">
        <v>2024</v>
      </c>
      <c r="B842">
        <v>4</v>
      </c>
      <c r="C842" s="105" t="s">
        <v>40</v>
      </c>
      <c r="D842" s="105" t="s">
        <v>10</v>
      </c>
      <c r="E842">
        <v>48</v>
      </c>
      <c r="F842">
        <v>51799.32</v>
      </c>
    </row>
    <row r="843" spans="1:6" hidden="1" x14ac:dyDescent="0.3">
      <c r="A843">
        <v>2024</v>
      </c>
      <c r="B843">
        <v>4</v>
      </c>
      <c r="C843" s="105" t="s">
        <v>40</v>
      </c>
      <c r="D843" s="105" t="s">
        <v>11</v>
      </c>
      <c r="E843">
        <v>43</v>
      </c>
      <c r="F843">
        <v>33353.11</v>
      </c>
    </row>
    <row r="844" spans="1:6" hidden="1" x14ac:dyDescent="0.3">
      <c r="A844">
        <v>2024</v>
      </c>
      <c r="B844">
        <v>4</v>
      </c>
      <c r="C844" s="105" t="s">
        <v>40</v>
      </c>
      <c r="D844" s="105" t="s">
        <v>12</v>
      </c>
      <c r="E844">
        <v>41</v>
      </c>
      <c r="F844">
        <v>33341.67</v>
      </c>
    </row>
    <row r="845" spans="1:6" hidden="1" x14ac:dyDescent="0.3">
      <c r="A845">
        <v>2024</v>
      </c>
      <c r="B845">
        <v>4</v>
      </c>
      <c r="C845" s="105" t="s">
        <v>40</v>
      </c>
      <c r="D845" s="105" t="s">
        <v>13</v>
      </c>
      <c r="E845">
        <v>72</v>
      </c>
      <c r="F845">
        <v>55558.43</v>
      </c>
    </row>
    <row r="846" spans="1:6" hidden="1" x14ac:dyDescent="0.3">
      <c r="A846">
        <v>2024</v>
      </c>
      <c r="B846">
        <v>4</v>
      </c>
      <c r="C846" s="105" t="s">
        <v>40</v>
      </c>
      <c r="D846" s="105" t="s">
        <v>14</v>
      </c>
      <c r="E846">
        <v>36</v>
      </c>
      <c r="F846">
        <v>24774.51</v>
      </c>
    </row>
    <row r="847" spans="1:6" hidden="1" x14ac:dyDescent="0.3">
      <c r="A847">
        <v>2024</v>
      </c>
      <c r="B847">
        <v>4</v>
      </c>
      <c r="C847" s="105" t="s">
        <v>40</v>
      </c>
      <c r="D847" s="105" t="s">
        <v>15</v>
      </c>
      <c r="E847">
        <v>17</v>
      </c>
      <c r="F847">
        <v>13924.3</v>
      </c>
    </row>
    <row r="848" spans="1:6" hidden="1" x14ac:dyDescent="0.3">
      <c r="A848">
        <v>2024</v>
      </c>
      <c r="B848">
        <v>4</v>
      </c>
      <c r="C848" s="105" t="s">
        <v>40</v>
      </c>
      <c r="D848" s="105" t="s">
        <v>16</v>
      </c>
      <c r="E848">
        <v>16</v>
      </c>
      <c r="F848">
        <v>12253</v>
      </c>
    </row>
    <row r="849" spans="1:6" hidden="1" x14ac:dyDescent="0.3">
      <c r="A849">
        <v>2024</v>
      </c>
      <c r="B849">
        <v>4</v>
      </c>
      <c r="C849" s="105" t="s">
        <v>40</v>
      </c>
      <c r="D849" s="105" t="s">
        <v>17</v>
      </c>
      <c r="E849">
        <v>90</v>
      </c>
      <c r="F849">
        <v>70124.67</v>
      </c>
    </row>
    <row r="850" spans="1:6" hidden="1" x14ac:dyDescent="0.3">
      <c r="A850">
        <v>2024</v>
      </c>
      <c r="B850">
        <v>4</v>
      </c>
      <c r="C850" s="105" t="s">
        <v>40</v>
      </c>
      <c r="D850" s="105" t="s">
        <v>18</v>
      </c>
      <c r="E850">
        <v>95</v>
      </c>
      <c r="F850">
        <v>83023</v>
      </c>
    </row>
    <row r="851" spans="1:6" hidden="1" x14ac:dyDescent="0.3">
      <c r="A851">
        <v>2024</v>
      </c>
      <c r="B851">
        <v>4</v>
      </c>
      <c r="C851" s="105" t="s">
        <v>40</v>
      </c>
      <c r="D851" s="105" t="s">
        <v>19</v>
      </c>
      <c r="E851">
        <v>13</v>
      </c>
      <c r="F851">
        <v>10182.06</v>
      </c>
    </row>
    <row r="852" spans="1:6" x14ac:dyDescent="0.3">
      <c r="A852">
        <v>2024</v>
      </c>
      <c r="B852">
        <v>4</v>
      </c>
      <c r="C852" s="105" t="s">
        <v>40</v>
      </c>
      <c r="D852" s="105" t="s">
        <v>20</v>
      </c>
      <c r="E852">
        <v>57</v>
      </c>
      <c r="F852">
        <v>42281.48</v>
      </c>
    </row>
    <row r="853" spans="1:6" hidden="1" x14ac:dyDescent="0.3">
      <c r="A853">
        <v>2024</v>
      </c>
      <c r="B853">
        <v>4</v>
      </c>
      <c r="C853" s="105" t="s">
        <v>40</v>
      </c>
      <c r="D853" s="105" t="s">
        <v>21</v>
      </c>
      <c r="E853">
        <v>92</v>
      </c>
      <c r="F853">
        <v>82932.399999999994</v>
      </c>
    </row>
    <row r="854" spans="1:6" hidden="1" x14ac:dyDescent="0.3">
      <c r="A854">
        <v>2024</v>
      </c>
      <c r="B854">
        <v>4</v>
      </c>
      <c r="C854" s="105" t="s">
        <v>40</v>
      </c>
      <c r="D854" s="105" t="s">
        <v>22</v>
      </c>
      <c r="E854">
        <v>36</v>
      </c>
      <c r="F854">
        <v>25002.99</v>
      </c>
    </row>
    <row r="855" spans="1:6" hidden="1" x14ac:dyDescent="0.3">
      <c r="A855">
        <v>2024</v>
      </c>
      <c r="B855">
        <v>4</v>
      </c>
      <c r="C855" s="105" t="s">
        <v>40</v>
      </c>
      <c r="D855" s="105" t="s">
        <v>23</v>
      </c>
      <c r="E855">
        <v>122</v>
      </c>
      <c r="F855">
        <v>55265.64</v>
      </c>
    </row>
    <row r="856" spans="1:6" hidden="1" x14ac:dyDescent="0.3">
      <c r="A856">
        <v>2024</v>
      </c>
      <c r="B856">
        <v>4</v>
      </c>
      <c r="C856" s="105" t="s">
        <v>40</v>
      </c>
      <c r="D856" s="105" t="s">
        <v>24</v>
      </c>
      <c r="E856">
        <v>58</v>
      </c>
      <c r="F856">
        <v>37063.800000000003</v>
      </c>
    </row>
    <row r="857" spans="1:6" hidden="1" x14ac:dyDescent="0.3">
      <c r="A857">
        <v>2024</v>
      </c>
      <c r="B857">
        <v>4</v>
      </c>
      <c r="C857" s="105" t="s">
        <v>40</v>
      </c>
      <c r="D857" s="105" t="s">
        <v>25</v>
      </c>
      <c r="E857">
        <v>68</v>
      </c>
      <c r="F857">
        <v>53244.82</v>
      </c>
    </row>
    <row r="858" spans="1:6" hidden="1" x14ac:dyDescent="0.3">
      <c r="A858">
        <v>2024</v>
      </c>
      <c r="B858">
        <v>4</v>
      </c>
      <c r="C858" s="105" t="s">
        <v>40</v>
      </c>
      <c r="D858" s="105" t="s">
        <v>26</v>
      </c>
      <c r="E858">
        <v>23</v>
      </c>
      <c r="F858">
        <v>19236.25</v>
      </c>
    </row>
    <row r="859" spans="1:6" hidden="1" x14ac:dyDescent="0.3">
      <c r="A859">
        <v>2024</v>
      </c>
      <c r="B859">
        <v>4</v>
      </c>
      <c r="C859" s="105" t="s">
        <v>40</v>
      </c>
      <c r="D859" s="105" t="s">
        <v>27</v>
      </c>
      <c r="E859">
        <v>38</v>
      </c>
      <c r="F859">
        <v>28514.07</v>
      </c>
    </row>
    <row r="860" spans="1:6" hidden="1" x14ac:dyDescent="0.3">
      <c r="A860">
        <v>2024</v>
      </c>
      <c r="B860">
        <v>4</v>
      </c>
      <c r="C860" s="105" t="s">
        <v>40</v>
      </c>
      <c r="D860" s="105" t="s">
        <v>28</v>
      </c>
      <c r="E860">
        <v>9</v>
      </c>
      <c r="F860">
        <v>6056.17</v>
      </c>
    </row>
    <row r="861" spans="1:6" hidden="1" x14ac:dyDescent="0.3">
      <c r="A861">
        <v>2024</v>
      </c>
      <c r="B861">
        <v>4</v>
      </c>
      <c r="C861" s="105" t="s">
        <v>40</v>
      </c>
      <c r="D861" s="105" t="s">
        <v>29</v>
      </c>
      <c r="E861">
        <v>74</v>
      </c>
      <c r="F861">
        <v>59714.44</v>
      </c>
    </row>
    <row r="862" spans="1:6" hidden="1" x14ac:dyDescent="0.3">
      <c r="A862">
        <v>2024</v>
      </c>
      <c r="B862">
        <v>4</v>
      </c>
      <c r="C862" s="105" t="s">
        <v>40</v>
      </c>
      <c r="D862" s="105" t="s">
        <v>30</v>
      </c>
      <c r="E862">
        <v>27</v>
      </c>
      <c r="F862">
        <v>17053.02</v>
      </c>
    </row>
    <row r="863" spans="1:6" hidden="1" x14ac:dyDescent="0.3">
      <c r="A863">
        <v>2024</v>
      </c>
      <c r="B863">
        <v>4</v>
      </c>
      <c r="C863" s="105" t="s">
        <v>40</v>
      </c>
      <c r="D863" s="105" t="s">
        <v>31</v>
      </c>
      <c r="E863">
        <v>129</v>
      </c>
      <c r="F863">
        <v>110435.49</v>
      </c>
    </row>
    <row r="864" spans="1:6" hidden="1" x14ac:dyDescent="0.3">
      <c r="A864">
        <v>2024</v>
      </c>
      <c r="B864">
        <v>4</v>
      </c>
      <c r="C864" s="105" t="s">
        <v>40</v>
      </c>
      <c r="D864" s="105" t="s">
        <v>32</v>
      </c>
      <c r="E864">
        <v>36</v>
      </c>
      <c r="F864">
        <v>30267.48</v>
      </c>
    </row>
    <row r="865" spans="1:6" hidden="1" x14ac:dyDescent="0.3">
      <c r="A865">
        <v>2024</v>
      </c>
      <c r="B865">
        <v>4</v>
      </c>
      <c r="C865" s="105" t="s">
        <v>40</v>
      </c>
      <c r="D865" s="105" t="s">
        <v>33</v>
      </c>
      <c r="E865">
        <v>146</v>
      </c>
      <c r="F865">
        <v>132639.69</v>
      </c>
    </row>
    <row r="866" spans="1:6" hidden="1" x14ac:dyDescent="0.3">
      <c r="A866">
        <v>2024</v>
      </c>
      <c r="B866">
        <v>4</v>
      </c>
      <c r="C866" s="105" t="s">
        <v>40</v>
      </c>
      <c r="D866" s="105" t="s">
        <v>34</v>
      </c>
      <c r="E866">
        <v>80</v>
      </c>
      <c r="F866">
        <v>67061.63</v>
      </c>
    </row>
    <row r="867" spans="1:6" hidden="1" x14ac:dyDescent="0.3">
      <c r="A867">
        <v>2024</v>
      </c>
      <c r="B867">
        <v>4</v>
      </c>
      <c r="C867" s="105" t="s">
        <v>40</v>
      </c>
      <c r="D867" s="105" t="s">
        <v>35</v>
      </c>
      <c r="E867">
        <v>47</v>
      </c>
      <c r="F867">
        <v>43323.040000000001</v>
      </c>
    </row>
    <row r="868" spans="1:6" hidden="1" x14ac:dyDescent="0.3">
      <c r="A868">
        <v>2024</v>
      </c>
      <c r="B868">
        <v>4</v>
      </c>
      <c r="C868" s="105" t="s">
        <v>40</v>
      </c>
      <c r="D868" s="105" t="s">
        <v>36</v>
      </c>
      <c r="E868">
        <v>47</v>
      </c>
      <c r="F868">
        <v>36480</v>
      </c>
    </row>
    <row r="869" spans="1:6" hidden="1" x14ac:dyDescent="0.3">
      <c r="A869">
        <v>2024</v>
      </c>
      <c r="B869">
        <v>4</v>
      </c>
      <c r="C869" s="105" t="s">
        <v>40</v>
      </c>
      <c r="D869" s="105" t="s">
        <v>37</v>
      </c>
      <c r="E869">
        <v>44</v>
      </c>
      <c r="F869">
        <v>42852.93</v>
      </c>
    </row>
    <row r="870" spans="1:6" hidden="1" x14ac:dyDescent="0.3">
      <c r="A870">
        <v>2024</v>
      </c>
      <c r="B870">
        <v>5</v>
      </c>
      <c r="C870" s="105" t="s">
        <v>41</v>
      </c>
      <c r="D870" s="105" t="s">
        <v>7</v>
      </c>
      <c r="E870">
        <v>32</v>
      </c>
      <c r="F870">
        <v>29426.17</v>
      </c>
    </row>
    <row r="871" spans="1:6" hidden="1" x14ac:dyDescent="0.3">
      <c r="A871">
        <v>2024</v>
      </c>
      <c r="B871">
        <v>5</v>
      </c>
      <c r="C871" s="105" t="s">
        <v>41</v>
      </c>
      <c r="D871" s="105" t="s">
        <v>8</v>
      </c>
      <c r="E871">
        <v>30</v>
      </c>
      <c r="F871">
        <v>20456.95</v>
      </c>
    </row>
    <row r="872" spans="1:6" hidden="1" x14ac:dyDescent="0.3">
      <c r="A872">
        <v>2024</v>
      </c>
      <c r="B872">
        <v>5</v>
      </c>
      <c r="C872" s="105" t="s">
        <v>41</v>
      </c>
      <c r="D872" s="105" t="s">
        <v>9</v>
      </c>
      <c r="E872">
        <v>10</v>
      </c>
      <c r="F872">
        <v>8480</v>
      </c>
    </row>
    <row r="873" spans="1:6" hidden="1" x14ac:dyDescent="0.3">
      <c r="A873">
        <v>2024</v>
      </c>
      <c r="B873">
        <v>5</v>
      </c>
      <c r="C873" s="105" t="s">
        <v>41</v>
      </c>
      <c r="D873" s="105" t="s">
        <v>10</v>
      </c>
      <c r="E873">
        <v>59</v>
      </c>
      <c r="F873">
        <v>55035.74</v>
      </c>
    </row>
    <row r="874" spans="1:6" hidden="1" x14ac:dyDescent="0.3">
      <c r="A874">
        <v>2024</v>
      </c>
      <c r="B874">
        <v>5</v>
      </c>
      <c r="C874" s="105" t="s">
        <v>41</v>
      </c>
      <c r="D874" s="105" t="s">
        <v>11</v>
      </c>
      <c r="E874">
        <v>60</v>
      </c>
      <c r="F874">
        <v>56313.25</v>
      </c>
    </row>
    <row r="875" spans="1:6" hidden="1" x14ac:dyDescent="0.3">
      <c r="A875">
        <v>2024</v>
      </c>
      <c r="B875">
        <v>5</v>
      </c>
      <c r="C875" s="105" t="s">
        <v>41</v>
      </c>
      <c r="D875" s="105" t="s">
        <v>12</v>
      </c>
      <c r="E875">
        <v>70</v>
      </c>
      <c r="F875">
        <v>50168.800000000003</v>
      </c>
    </row>
    <row r="876" spans="1:6" hidden="1" x14ac:dyDescent="0.3">
      <c r="A876">
        <v>2024</v>
      </c>
      <c r="B876">
        <v>5</v>
      </c>
      <c r="C876" s="105" t="s">
        <v>41</v>
      </c>
      <c r="D876" s="105" t="s">
        <v>13</v>
      </c>
      <c r="E876">
        <v>117</v>
      </c>
      <c r="F876">
        <v>79697.06</v>
      </c>
    </row>
    <row r="877" spans="1:6" hidden="1" x14ac:dyDescent="0.3">
      <c r="A877">
        <v>2024</v>
      </c>
      <c r="B877">
        <v>5</v>
      </c>
      <c r="C877" s="105" t="s">
        <v>41</v>
      </c>
      <c r="D877" s="105" t="s">
        <v>14</v>
      </c>
      <c r="E877">
        <v>45</v>
      </c>
      <c r="F877">
        <v>29476.33</v>
      </c>
    </row>
    <row r="878" spans="1:6" hidden="1" x14ac:dyDescent="0.3">
      <c r="A878">
        <v>2024</v>
      </c>
      <c r="B878">
        <v>5</v>
      </c>
      <c r="C878" s="105" t="s">
        <v>41</v>
      </c>
      <c r="D878" s="105" t="s">
        <v>15</v>
      </c>
      <c r="E878">
        <v>18</v>
      </c>
      <c r="F878">
        <v>13717.84</v>
      </c>
    </row>
    <row r="879" spans="1:6" hidden="1" x14ac:dyDescent="0.3">
      <c r="A879">
        <v>2024</v>
      </c>
      <c r="B879">
        <v>5</v>
      </c>
      <c r="C879" s="105" t="s">
        <v>41</v>
      </c>
      <c r="D879" s="105" t="s">
        <v>16</v>
      </c>
      <c r="E879">
        <v>24</v>
      </c>
      <c r="F879">
        <v>15136.45</v>
      </c>
    </row>
    <row r="880" spans="1:6" hidden="1" x14ac:dyDescent="0.3">
      <c r="A880">
        <v>2024</v>
      </c>
      <c r="B880">
        <v>5</v>
      </c>
      <c r="C880" s="105" t="s">
        <v>41</v>
      </c>
      <c r="D880" s="105" t="s">
        <v>17</v>
      </c>
      <c r="E880">
        <v>94</v>
      </c>
      <c r="F880">
        <v>66474.539999999994</v>
      </c>
    </row>
    <row r="881" spans="1:6" hidden="1" x14ac:dyDescent="0.3">
      <c r="A881">
        <v>2024</v>
      </c>
      <c r="B881">
        <v>5</v>
      </c>
      <c r="C881" s="105" t="s">
        <v>41</v>
      </c>
      <c r="D881" s="105" t="s">
        <v>18</v>
      </c>
      <c r="E881">
        <v>107</v>
      </c>
      <c r="F881">
        <v>95541.99</v>
      </c>
    </row>
    <row r="882" spans="1:6" hidden="1" x14ac:dyDescent="0.3">
      <c r="A882">
        <v>2024</v>
      </c>
      <c r="B882">
        <v>5</v>
      </c>
      <c r="C882" s="105" t="s">
        <v>41</v>
      </c>
      <c r="D882" s="105" t="s">
        <v>19</v>
      </c>
      <c r="E882">
        <v>14</v>
      </c>
      <c r="F882">
        <v>9703.7000000000007</v>
      </c>
    </row>
    <row r="883" spans="1:6" x14ac:dyDescent="0.3">
      <c r="A883">
        <v>2024</v>
      </c>
      <c r="B883">
        <v>5</v>
      </c>
      <c r="C883" s="105" t="s">
        <v>41</v>
      </c>
      <c r="D883" s="105" t="s">
        <v>20</v>
      </c>
      <c r="E883">
        <v>76</v>
      </c>
      <c r="F883">
        <v>52459.26</v>
      </c>
    </row>
    <row r="884" spans="1:6" hidden="1" x14ac:dyDescent="0.3">
      <c r="A884">
        <v>2024</v>
      </c>
      <c r="B884">
        <v>5</v>
      </c>
      <c r="C884" s="105" t="s">
        <v>41</v>
      </c>
      <c r="D884" s="105" t="s">
        <v>21</v>
      </c>
      <c r="E884">
        <v>99</v>
      </c>
      <c r="F884">
        <v>87879.9</v>
      </c>
    </row>
    <row r="885" spans="1:6" hidden="1" x14ac:dyDescent="0.3">
      <c r="A885">
        <v>2024</v>
      </c>
      <c r="B885">
        <v>5</v>
      </c>
      <c r="C885" s="105" t="s">
        <v>41</v>
      </c>
      <c r="D885" s="105" t="s">
        <v>22</v>
      </c>
      <c r="E885">
        <v>52</v>
      </c>
      <c r="F885">
        <v>34080.1</v>
      </c>
    </row>
    <row r="886" spans="1:6" hidden="1" x14ac:dyDescent="0.3">
      <c r="A886">
        <v>2024</v>
      </c>
      <c r="B886">
        <v>5</v>
      </c>
      <c r="C886" s="105" t="s">
        <v>41</v>
      </c>
      <c r="D886" s="105" t="s">
        <v>23</v>
      </c>
      <c r="E886">
        <v>37</v>
      </c>
      <c r="F886">
        <v>33898.47</v>
      </c>
    </row>
    <row r="887" spans="1:6" hidden="1" x14ac:dyDescent="0.3">
      <c r="A887">
        <v>2024</v>
      </c>
      <c r="B887">
        <v>5</v>
      </c>
      <c r="C887" s="105" t="s">
        <v>41</v>
      </c>
      <c r="D887" s="105" t="s">
        <v>24</v>
      </c>
      <c r="E887">
        <v>52</v>
      </c>
      <c r="F887">
        <v>36338.550000000003</v>
      </c>
    </row>
    <row r="888" spans="1:6" hidden="1" x14ac:dyDescent="0.3">
      <c r="A888">
        <v>2024</v>
      </c>
      <c r="B888">
        <v>5</v>
      </c>
      <c r="C888" s="105" t="s">
        <v>41</v>
      </c>
      <c r="D888" s="105" t="s">
        <v>25</v>
      </c>
      <c r="E888">
        <v>78</v>
      </c>
      <c r="F888">
        <v>65800.39</v>
      </c>
    </row>
    <row r="889" spans="1:6" hidden="1" x14ac:dyDescent="0.3">
      <c r="A889">
        <v>2024</v>
      </c>
      <c r="B889">
        <v>5</v>
      </c>
      <c r="C889" s="105" t="s">
        <v>41</v>
      </c>
      <c r="D889" s="105" t="s">
        <v>26</v>
      </c>
      <c r="E889">
        <v>35</v>
      </c>
      <c r="F889">
        <v>28631.200000000001</v>
      </c>
    </row>
    <row r="890" spans="1:6" hidden="1" x14ac:dyDescent="0.3">
      <c r="A890">
        <v>2024</v>
      </c>
      <c r="B890">
        <v>5</v>
      </c>
      <c r="C890" s="105" t="s">
        <v>41</v>
      </c>
      <c r="D890" s="105" t="s">
        <v>27</v>
      </c>
      <c r="E890">
        <v>40</v>
      </c>
      <c r="F890">
        <v>33152.15</v>
      </c>
    </row>
    <row r="891" spans="1:6" hidden="1" x14ac:dyDescent="0.3">
      <c r="A891">
        <v>2024</v>
      </c>
      <c r="B891">
        <v>5</v>
      </c>
      <c r="C891" s="105" t="s">
        <v>41</v>
      </c>
      <c r="D891" s="105" t="s">
        <v>28</v>
      </c>
      <c r="E891">
        <v>5</v>
      </c>
      <c r="F891">
        <v>5170.88</v>
      </c>
    </row>
    <row r="892" spans="1:6" hidden="1" x14ac:dyDescent="0.3">
      <c r="A892">
        <v>2024</v>
      </c>
      <c r="B892">
        <v>5</v>
      </c>
      <c r="C892" s="105" t="s">
        <v>41</v>
      </c>
      <c r="D892" s="105" t="s">
        <v>29</v>
      </c>
      <c r="E892">
        <v>60</v>
      </c>
      <c r="F892">
        <v>57704.9</v>
      </c>
    </row>
    <row r="893" spans="1:6" hidden="1" x14ac:dyDescent="0.3">
      <c r="A893">
        <v>2024</v>
      </c>
      <c r="B893">
        <v>5</v>
      </c>
      <c r="C893" s="105" t="s">
        <v>41</v>
      </c>
      <c r="D893" s="105" t="s">
        <v>30</v>
      </c>
      <c r="E893">
        <v>18</v>
      </c>
      <c r="F893">
        <v>12824.3</v>
      </c>
    </row>
    <row r="894" spans="1:6" hidden="1" x14ac:dyDescent="0.3">
      <c r="A894">
        <v>2024</v>
      </c>
      <c r="B894">
        <v>5</v>
      </c>
      <c r="C894" s="105" t="s">
        <v>41</v>
      </c>
      <c r="D894" s="105" t="s">
        <v>31</v>
      </c>
      <c r="E894">
        <v>134</v>
      </c>
      <c r="F894">
        <v>118071.29</v>
      </c>
    </row>
    <row r="895" spans="1:6" hidden="1" x14ac:dyDescent="0.3">
      <c r="A895">
        <v>2024</v>
      </c>
      <c r="B895">
        <v>5</v>
      </c>
      <c r="C895" s="105" t="s">
        <v>41</v>
      </c>
      <c r="D895" s="105" t="s">
        <v>32</v>
      </c>
      <c r="E895">
        <v>48</v>
      </c>
      <c r="F895">
        <v>37974.68</v>
      </c>
    </row>
    <row r="896" spans="1:6" hidden="1" x14ac:dyDescent="0.3">
      <c r="A896">
        <v>2024</v>
      </c>
      <c r="B896">
        <v>5</v>
      </c>
      <c r="C896" s="105" t="s">
        <v>41</v>
      </c>
      <c r="D896" s="105" t="s">
        <v>33</v>
      </c>
      <c r="E896">
        <v>131</v>
      </c>
      <c r="F896">
        <v>117199.7</v>
      </c>
    </row>
    <row r="897" spans="1:6" hidden="1" x14ac:dyDescent="0.3">
      <c r="A897">
        <v>2024</v>
      </c>
      <c r="B897">
        <v>5</v>
      </c>
      <c r="C897" s="105" t="s">
        <v>41</v>
      </c>
      <c r="D897" s="105" t="s">
        <v>34</v>
      </c>
      <c r="E897">
        <v>81</v>
      </c>
      <c r="F897">
        <v>60745.16</v>
      </c>
    </row>
    <row r="898" spans="1:6" hidden="1" x14ac:dyDescent="0.3">
      <c r="A898">
        <v>2024</v>
      </c>
      <c r="B898">
        <v>5</v>
      </c>
      <c r="C898" s="105" t="s">
        <v>41</v>
      </c>
      <c r="D898" s="105" t="s">
        <v>35</v>
      </c>
      <c r="E898">
        <v>40</v>
      </c>
      <c r="F898">
        <v>30172.75</v>
      </c>
    </row>
    <row r="899" spans="1:6" hidden="1" x14ac:dyDescent="0.3">
      <c r="A899">
        <v>2024</v>
      </c>
      <c r="B899">
        <v>5</v>
      </c>
      <c r="C899" s="105" t="s">
        <v>41</v>
      </c>
      <c r="D899" s="105" t="s">
        <v>36</v>
      </c>
      <c r="E899">
        <v>70</v>
      </c>
      <c r="F899">
        <v>55582.99</v>
      </c>
    </row>
    <row r="900" spans="1:6" hidden="1" x14ac:dyDescent="0.3">
      <c r="A900">
        <v>2024</v>
      </c>
      <c r="B900">
        <v>5</v>
      </c>
      <c r="C900" s="105" t="s">
        <v>41</v>
      </c>
      <c r="D900" s="105" t="s">
        <v>37</v>
      </c>
      <c r="E900">
        <v>56</v>
      </c>
      <c r="F900">
        <v>45600.28</v>
      </c>
    </row>
    <row r="901" spans="1:6" hidden="1" x14ac:dyDescent="0.3">
      <c r="A901">
        <v>2024</v>
      </c>
      <c r="B901">
        <v>6</v>
      </c>
      <c r="C901" s="105" t="s">
        <v>42</v>
      </c>
      <c r="D901" s="105" t="s">
        <v>7</v>
      </c>
      <c r="E901">
        <v>28</v>
      </c>
      <c r="F901">
        <v>20454.04</v>
      </c>
    </row>
    <row r="902" spans="1:6" hidden="1" x14ac:dyDescent="0.3">
      <c r="A902">
        <v>2024</v>
      </c>
      <c r="B902">
        <v>6</v>
      </c>
      <c r="C902" s="105" t="s">
        <v>42</v>
      </c>
      <c r="D902" s="105" t="s">
        <v>8</v>
      </c>
      <c r="E902">
        <v>19</v>
      </c>
      <c r="F902">
        <v>13322.43</v>
      </c>
    </row>
    <row r="903" spans="1:6" hidden="1" x14ac:dyDescent="0.3">
      <c r="A903">
        <v>2024</v>
      </c>
      <c r="B903">
        <v>6</v>
      </c>
      <c r="C903" s="105" t="s">
        <v>42</v>
      </c>
      <c r="D903" s="105" t="s">
        <v>9</v>
      </c>
      <c r="E903">
        <v>13</v>
      </c>
      <c r="F903">
        <v>9365.74</v>
      </c>
    </row>
    <row r="904" spans="1:6" hidden="1" x14ac:dyDescent="0.3">
      <c r="A904">
        <v>2024</v>
      </c>
      <c r="B904">
        <v>6</v>
      </c>
      <c r="C904" s="105" t="s">
        <v>42</v>
      </c>
      <c r="D904" s="105" t="s">
        <v>10</v>
      </c>
      <c r="E904">
        <v>73</v>
      </c>
      <c r="F904">
        <v>63985.15</v>
      </c>
    </row>
    <row r="905" spans="1:6" hidden="1" x14ac:dyDescent="0.3">
      <c r="A905">
        <v>2024</v>
      </c>
      <c r="B905">
        <v>6</v>
      </c>
      <c r="C905" s="105" t="s">
        <v>42</v>
      </c>
      <c r="D905" s="105" t="s">
        <v>11</v>
      </c>
      <c r="E905">
        <v>48</v>
      </c>
      <c r="F905">
        <v>39611.51</v>
      </c>
    </row>
    <row r="906" spans="1:6" hidden="1" x14ac:dyDescent="0.3">
      <c r="A906">
        <v>2024</v>
      </c>
      <c r="B906">
        <v>6</v>
      </c>
      <c r="C906" s="105" t="s">
        <v>42</v>
      </c>
      <c r="D906" s="105" t="s">
        <v>12</v>
      </c>
      <c r="E906">
        <v>57</v>
      </c>
      <c r="F906">
        <v>37516.79</v>
      </c>
    </row>
    <row r="907" spans="1:6" hidden="1" x14ac:dyDescent="0.3">
      <c r="A907">
        <v>2024</v>
      </c>
      <c r="B907">
        <v>6</v>
      </c>
      <c r="C907" s="105" t="s">
        <v>42</v>
      </c>
      <c r="D907" s="105" t="s">
        <v>13</v>
      </c>
      <c r="E907">
        <v>88</v>
      </c>
      <c r="F907">
        <v>61152.24</v>
      </c>
    </row>
    <row r="908" spans="1:6" hidden="1" x14ac:dyDescent="0.3">
      <c r="A908">
        <v>2024</v>
      </c>
      <c r="B908">
        <v>6</v>
      </c>
      <c r="C908" s="105" t="s">
        <v>42</v>
      </c>
      <c r="D908" s="105" t="s">
        <v>14</v>
      </c>
      <c r="E908">
        <v>56</v>
      </c>
      <c r="F908">
        <v>39299.120000000003</v>
      </c>
    </row>
    <row r="909" spans="1:6" hidden="1" x14ac:dyDescent="0.3">
      <c r="A909">
        <v>2024</v>
      </c>
      <c r="B909">
        <v>6</v>
      </c>
      <c r="C909" s="105" t="s">
        <v>42</v>
      </c>
      <c r="D909" s="105" t="s">
        <v>15</v>
      </c>
      <c r="E909">
        <v>17</v>
      </c>
      <c r="F909">
        <v>12521</v>
      </c>
    </row>
    <row r="910" spans="1:6" hidden="1" x14ac:dyDescent="0.3">
      <c r="A910">
        <v>2024</v>
      </c>
      <c r="B910">
        <v>6</v>
      </c>
      <c r="C910" s="105" t="s">
        <v>42</v>
      </c>
      <c r="D910" s="105" t="s">
        <v>16</v>
      </c>
      <c r="E910">
        <v>25</v>
      </c>
      <c r="F910">
        <v>18524.759999999998</v>
      </c>
    </row>
    <row r="911" spans="1:6" hidden="1" x14ac:dyDescent="0.3">
      <c r="A911">
        <v>2024</v>
      </c>
      <c r="B911">
        <v>6</v>
      </c>
      <c r="C911" s="105" t="s">
        <v>42</v>
      </c>
      <c r="D911" s="105" t="s">
        <v>17</v>
      </c>
      <c r="E911">
        <v>102</v>
      </c>
      <c r="F911">
        <v>78844.800000000003</v>
      </c>
    </row>
    <row r="912" spans="1:6" hidden="1" x14ac:dyDescent="0.3">
      <c r="A912">
        <v>2024</v>
      </c>
      <c r="B912">
        <v>6</v>
      </c>
      <c r="C912" s="105" t="s">
        <v>42</v>
      </c>
      <c r="D912" s="105" t="s">
        <v>18</v>
      </c>
      <c r="E912">
        <v>134</v>
      </c>
      <c r="F912">
        <v>113282.9</v>
      </c>
    </row>
    <row r="913" spans="1:6" hidden="1" x14ac:dyDescent="0.3">
      <c r="A913">
        <v>2024</v>
      </c>
      <c r="B913">
        <v>6</v>
      </c>
      <c r="C913" s="105" t="s">
        <v>42</v>
      </c>
      <c r="D913" s="105" t="s">
        <v>50</v>
      </c>
      <c r="E913">
        <v>1</v>
      </c>
      <c r="F913">
        <v>200</v>
      </c>
    </row>
    <row r="914" spans="1:6" hidden="1" x14ac:dyDescent="0.3">
      <c r="A914">
        <v>2024</v>
      </c>
      <c r="B914">
        <v>6</v>
      </c>
      <c r="C914" s="105" t="s">
        <v>42</v>
      </c>
      <c r="D914" s="105" t="s">
        <v>19</v>
      </c>
      <c r="E914">
        <v>12</v>
      </c>
      <c r="F914">
        <v>8149</v>
      </c>
    </row>
    <row r="915" spans="1:6" x14ac:dyDescent="0.3">
      <c r="A915">
        <v>2024</v>
      </c>
      <c r="B915">
        <v>6</v>
      </c>
      <c r="C915" s="105" t="s">
        <v>42</v>
      </c>
      <c r="D915" s="105" t="s">
        <v>20</v>
      </c>
      <c r="E915">
        <v>75</v>
      </c>
      <c r="F915">
        <v>59250.69</v>
      </c>
    </row>
    <row r="916" spans="1:6" hidden="1" x14ac:dyDescent="0.3">
      <c r="A916">
        <v>2024</v>
      </c>
      <c r="B916">
        <v>6</v>
      </c>
      <c r="C916" s="105" t="s">
        <v>42</v>
      </c>
      <c r="D916" s="105" t="s">
        <v>21</v>
      </c>
      <c r="E916">
        <v>87</v>
      </c>
      <c r="F916">
        <v>74078.83</v>
      </c>
    </row>
    <row r="917" spans="1:6" hidden="1" x14ac:dyDescent="0.3">
      <c r="A917">
        <v>2024</v>
      </c>
      <c r="B917">
        <v>6</v>
      </c>
      <c r="C917" s="105" t="s">
        <v>42</v>
      </c>
      <c r="D917" s="105" t="s">
        <v>22</v>
      </c>
      <c r="E917">
        <v>56</v>
      </c>
      <c r="F917">
        <v>36886.07</v>
      </c>
    </row>
    <row r="918" spans="1:6" hidden="1" x14ac:dyDescent="0.3">
      <c r="A918">
        <v>2024</v>
      </c>
      <c r="B918">
        <v>6</v>
      </c>
      <c r="C918" s="105" t="s">
        <v>42</v>
      </c>
      <c r="D918" s="105" t="s">
        <v>23</v>
      </c>
      <c r="E918">
        <v>38</v>
      </c>
      <c r="F918">
        <v>32633.9</v>
      </c>
    </row>
    <row r="919" spans="1:6" hidden="1" x14ac:dyDescent="0.3">
      <c r="A919">
        <v>2024</v>
      </c>
      <c r="B919">
        <v>6</v>
      </c>
      <c r="C919" s="105" t="s">
        <v>42</v>
      </c>
      <c r="D919" s="105" t="s">
        <v>24</v>
      </c>
      <c r="E919">
        <v>67</v>
      </c>
      <c r="F919">
        <v>44078.42</v>
      </c>
    </row>
    <row r="920" spans="1:6" hidden="1" x14ac:dyDescent="0.3">
      <c r="A920">
        <v>2024</v>
      </c>
      <c r="B920">
        <v>6</v>
      </c>
      <c r="C920" s="105" t="s">
        <v>42</v>
      </c>
      <c r="D920" s="105" t="s">
        <v>25</v>
      </c>
      <c r="E920">
        <v>69</v>
      </c>
      <c r="F920">
        <v>51347.61</v>
      </c>
    </row>
    <row r="921" spans="1:6" hidden="1" x14ac:dyDescent="0.3">
      <c r="A921">
        <v>2024</v>
      </c>
      <c r="B921">
        <v>6</v>
      </c>
      <c r="C921" s="105" t="s">
        <v>42</v>
      </c>
      <c r="D921" s="105" t="s">
        <v>26</v>
      </c>
      <c r="E921">
        <v>35</v>
      </c>
      <c r="F921">
        <v>26959.71</v>
      </c>
    </row>
    <row r="922" spans="1:6" hidden="1" x14ac:dyDescent="0.3">
      <c r="A922">
        <v>2024</v>
      </c>
      <c r="B922">
        <v>6</v>
      </c>
      <c r="C922" s="105" t="s">
        <v>42</v>
      </c>
      <c r="D922" s="105" t="s">
        <v>27</v>
      </c>
      <c r="E922">
        <v>46</v>
      </c>
      <c r="F922">
        <v>38805.08</v>
      </c>
    </row>
    <row r="923" spans="1:6" hidden="1" x14ac:dyDescent="0.3">
      <c r="A923">
        <v>2024</v>
      </c>
      <c r="B923">
        <v>6</v>
      </c>
      <c r="C923" s="105" t="s">
        <v>42</v>
      </c>
      <c r="D923" s="105" t="s">
        <v>28</v>
      </c>
      <c r="E923">
        <v>13</v>
      </c>
      <c r="F923">
        <v>9067.66</v>
      </c>
    </row>
    <row r="924" spans="1:6" hidden="1" x14ac:dyDescent="0.3">
      <c r="A924">
        <v>2024</v>
      </c>
      <c r="B924">
        <v>6</v>
      </c>
      <c r="C924" s="105" t="s">
        <v>42</v>
      </c>
      <c r="D924" s="105" t="s">
        <v>29</v>
      </c>
      <c r="E924">
        <v>72</v>
      </c>
      <c r="F924">
        <v>57818.239999999998</v>
      </c>
    </row>
    <row r="925" spans="1:6" hidden="1" x14ac:dyDescent="0.3">
      <c r="A925">
        <v>2024</v>
      </c>
      <c r="B925">
        <v>6</v>
      </c>
      <c r="C925" s="105" t="s">
        <v>42</v>
      </c>
      <c r="D925" s="105" t="s">
        <v>30</v>
      </c>
      <c r="E925">
        <v>15</v>
      </c>
      <c r="F925">
        <v>10466.549999999999</v>
      </c>
    </row>
    <row r="926" spans="1:6" hidden="1" x14ac:dyDescent="0.3">
      <c r="A926">
        <v>2024</v>
      </c>
      <c r="B926">
        <v>6</v>
      </c>
      <c r="C926" s="105" t="s">
        <v>42</v>
      </c>
      <c r="D926" s="105" t="s">
        <v>31</v>
      </c>
      <c r="E926">
        <v>141</v>
      </c>
      <c r="F926">
        <v>109964.56</v>
      </c>
    </row>
    <row r="927" spans="1:6" hidden="1" x14ac:dyDescent="0.3">
      <c r="A927">
        <v>2024</v>
      </c>
      <c r="B927">
        <v>6</v>
      </c>
      <c r="C927" s="105" t="s">
        <v>42</v>
      </c>
      <c r="D927" s="105" t="s">
        <v>51</v>
      </c>
      <c r="E927">
        <v>1</v>
      </c>
      <c r="F927">
        <v>820</v>
      </c>
    </row>
    <row r="928" spans="1:6" hidden="1" x14ac:dyDescent="0.3">
      <c r="A928">
        <v>2024</v>
      </c>
      <c r="B928">
        <v>6</v>
      </c>
      <c r="C928" s="105" t="s">
        <v>42</v>
      </c>
      <c r="D928" s="105" t="s">
        <v>32</v>
      </c>
      <c r="E928">
        <v>44</v>
      </c>
      <c r="F928">
        <v>34027</v>
      </c>
    </row>
    <row r="929" spans="1:6" hidden="1" x14ac:dyDescent="0.3">
      <c r="A929">
        <v>2024</v>
      </c>
      <c r="B929">
        <v>6</v>
      </c>
      <c r="C929" s="105" t="s">
        <v>42</v>
      </c>
      <c r="D929" s="105" t="s">
        <v>33</v>
      </c>
      <c r="E929">
        <v>141</v>
      </c>
      <c r="F929">
        <v>130594.66</v>
      </c>
    </row>
    <row r="930" spans="1:6" hidden="1" x14ac:dyDescent="0.3">
      <c r="A930">
        <v>2024</v>
      </c>
      <c r="B930">
        <v>6</v>
      </c>
      <c r="C930" s="105" t="s">
        <v>42</v>
      </c>
      <c r="D930" s="105" t="s">
        <v>34</v>
      </c>
      <c r="E930">
        <v>80</v>
      </c>
      <c r="F930">
        <v>70986.48</v>
      </c>
    </row>
    <row r="931" spans="1:6" hidden="1" x14ac:dyDescent="0.3">
      <c r="A931">
        <v>2024</v>
      </c>
      <c r="B931">
        <v>6</v>
      </c>
      <c r="C931" s="105" t="s">
        <v>42</v>
      </c>
      <c r="D931" s="105" t="s">
        <v>53</v>
      </c>
      <c r="E931">
        <v>1</v>
      </c>
      <c r="F931">
        <v>965</v>
      </c>
    </row>
    <row r="932" spans="1:6" hidden="1" x14ac:dyDescent="0.3">
      <c r="A932">
        <v>2024</v>
      </c>
      <c r="B932">
        <v>6</v>
      </c>
      <c r="C932" s="105" t="s">
        <v>42</v>
      </c>
      <c r="D932" s="105" t="s">
        <v>35</v>
      </c>
      <c r="E932">
        <v>57</v>
      </c>
      <c r="F932">
        <v>40800.589999999997</v>
      </c>
    </row>
    <row r="933" spans="1:6" hidden="1" x14ac:dyDescent="0.3">
      <c r="A933">
        <v>2024</v>
      </c>
      <c r="B933">
        <v>6</v>
      </c>
      <c r="C933" s="105" t="s">
        <v>42</v>
      </c>
      <c r="D933" s="105" t="s">
        <v>36</v>
      </c>
      <c r="E933">
        <v>70</v>
      </c>
      <c r="F933">
        <v>53404.15</v>
      </c>
    </row>
    <row r="934" spans="1:6" hidden="1" x14ac:dyDescent="0.3">
      <c r="A934">
        <v>2024</v>
      </c>
      <c r="B934">
        <v>6</v>
      </c>
      <c r="C934" s="105" t="s">
        <v>42</v>
      </c>
      <c r="D934" s="105" t="s">
        <v>37</v>
      </c>
      <c r="E934">
        <v>82</v>
      </c>
      <c r="F934">
        <v>61238.69</v>
      </c>
    </row>
    <row r="935" spans="1:6" hidden="1" x14ac:dyDescent="0.3">
      <c r="A935">
        <v>2024</v>
      </c>
      <c r="B935">
        <v>7</v>
      </c>
      <c r="C935" s="105" t="s">
        <v>43</v>
      </c>
      <c r="D935" s="105" t="s">
        <v>7</v>
      </c>
      <c r="E935">
        <v>43</v>
      </c>
      <c r="F935">
        <v>34992.97</v>
      </c>
    </row>
    <row r="936" spans="1:6" hidden="1" x14ac:dyDescent="0.3">
      <c r="A936">
        <v>2024</v>
      </c>
      <c r="B936">
        <v>7</v>
      </c>
      <c r="C936" s="105" t="s">
        <v>43</v>
      </c>
      <c r="D936" s="105" t="s">
        <v>8</v>
      </c>
      <c r="E936">
        <v>43</v>
      </c>
      <c r="F936">
        <v>27349.65</v>
      </c>
    </row>
    <row r="937" spans="1:6" hidden="1" x14ac:dyDescent="0.3">
      <c r="A937">
        <v>2024</v>
      </c>
      <c r="B937">
        <v>7</v>
      </c>
      <c r="C937" s="105" t="s">
        <v>43</v>
      </c>
      <c r="D937" s="105" t="s">
        <v>9</v>
      </c>
      <c r="E937">
        <v>20</v>
      </c>
      <c r="F937">
        <v>12819.03</v>
      </c>
    </row>
    <row r="938" spans="1:6" hidden="1" x14ac:dyDescent="0.3">
      <c r="A938">
        <v>2024</v>
      </c>
      <c r="B938">
        <v>7</v>
      </c>
      <c r="C938" s="105" t="s">
        <v>43</v>
      </c>
      <c r="D938" s="105" t="s">
        <v>10</v>
      </c>
      <c r="E938">
        <v>83</v>
      </c>
      <c r="F938">
        <v>73787.8</v>
      </c>
    </row>
    <row r="939" spans="1:6" hidden="1" x14ac:dyDescent="0.3">
      <c r="A939">
        <v>2024</v>
      </c>
      <c r="B939">
        <v>7</v>
      </c>
      <c r="C939" s="105" t="s">
        <v>43</v>
      </c>
      <c r="D939" s="105" t="s">
        <v>11</v>
      </c>
      <c r="E939">
        <v>60</v>
      </c>
      <c r="F939">
        <v>46526.29</v>
      </c>
    </row>
    <row r="940" spans="1:6" hidden="1" x14ac:dyDescent="0.3">
      <c r="A940">
        <v>2024</v>
      </c>
      <c r="B940">
        <v>7</v>
      </c>
      <c r="C940" s="105" t="s">
        <v>43</v>
      </c>
      <c r="D940" s="105" t="s">
        <v>12</v>
      </c>
      <c r="E940">
        <v>86</v>
      </c>
      <c r="F940">
        <v>57931.69</v>
      </c>
    </row>
    <row r="941" spans="1:6" hidden="1" x14ac:dyDescent="0.3">
      <c r="A941">
        <v>2024</v>
      </c>
      <c r="B941">
        <v>7</v>
      </c>
      <c r="C941" s="105" t="s">
        <v>43</v>
      </c>
      <c r="D941" s="105" t="s">
        <v>13</v>
      </c>
      <c r="E941">
        <v>86</v>
      </c>
      <c r="F941">
        <v>62119.55</v>
      </c>
    </row>
    <row r="942" spans="1:6" hidden="1" x14ac:dyDescent="0.3">
      <c r="A942">
        <v>2024</v>
      </c>
      <c r="B942">
        <v>7</v>
      </c>
      <c r="C942" s="105" t="s">
        <v>43</v>
      </c>
      <c r="D942" s="105" t="s">
        <v>14</v>
      </c>
      <c r="E942">
        <v>39</v>
      </c>
      <c r="F942">
        <v>24687.69</v>
      </c>
    </row>
    <row r="943" spans="1:6" hidden="1" x14ac:dyDescent="0.3">
      <c r="A943">
        <v>2024</v>
      </c>
      <c r="B943">
        <v>7</v>
      </c>
      <c r="C943" s="105" t="s">
        <v>43</v>
      </c>
      <c r="D943" s="105" t="s">
        <v>15</v>
      </c>
      <c r="E943">
        <v>18</v>
      </c>
      <c r="F943">
        <v>14105.6</v>
      </c>
    </row>
    <row r="944" spans="1:6" hidden="1" x14ac:dyDescent="0.3">
      <c r="A944">
        <v>2024</v>
      </c>
      <c r="B944">
        <v>7</v>
      </c>
      <c r="C944" s="105" t="s">
        <v>43</v>
      </c>
      <c r="D944" s="105" t="s">
        <v>16</v>
      </c>
      <c r="E944">
        <v>26</v>
      </c>
      <c r="F944">
        <v>19312.599999999999</v>
      </c>
    </row>
    <row r="945" spans="1:6" hidden="1" x14ac:dyDescent="0.3">
      <c r="A945">
        <v>2024</v>
      </c>
      <c r="B945">
        <v>7</v>
      </c>
      <c r="C945" s="105" t="s">
        <v>43</v>
      </c>
      <c r="D945" s="105" t="s">
        <v>17</v>
      </c>
      <c r="E945">
        <v>140</v>
      </c>
      <c r="F945">
        <v>113386.09</v>
      </c>
    </row>
    <row r="946" spans="1:6" hidden="1" x14ac:dyDescent="0.3">
      <c r="A946">
        <v>2024</v>
      </c>
      <c r="B946">
        <v>7</v>
      </c>
      <c r="C946" s="105" t="s">
        <v>43</v>
      </c>
      <c r="D946" s="105" t="s">
        <v>18</v>
      </c>
      <c r="E946">
        <v>141</v>
      </c>
      <c r="F946">
        <v>123306.32</v>
      </c>
    </row>
    <row r="947" spans="1:6" hidden="1" x14ac:dyDescent="0.3">
      <c r="A947">
        <v>2024</v>
      </c>
      <c r="B947">
        <v>7</v>
      </c>
      <c r="C947" s="105" t="s">
        <v>43</v>
      </c>
      <c r="D947" s="105" t="s">
        <v>50</v>
      </c>
      <c r="E947">
        <v>2</v>
      </c>
      <c r="F947">
        <v>1178</v>
      </c>
    </row>
    <row r="948" spans="1:6" hidden="1" x14ac:dyDescent="0.3">
      <c r="A948">
        <v>2024</v>
      </c>
      <c r="B948">
        <v>7</v>
      </c>
      <c r="C948" s="105" t="s">
        <v>43</v>
      </c>
      <c r="D948" s="105" t="s">
        <v>19</v>
      </c>
      <c r="E948">
        <v>21</v>
      </c>
      <c r="F948">
        <v>14206.74</v>
      </c>
    </row>
    <row r="949" spans="1:6" x14ac:dyDescent="0.3">
      <c r="A949">
        <v>2024</v>
      </c>
      <c r="B949">
        <v>7</v>
      </c>
      <c r="C949" s="105" t="s">
        <v>43</v>
      </c>
      <c r="D949" s="105" t="s">
        <v>20</v>
      </c>
      <c r="E949">
        <v>82</v>
      </c>
      <c r="F949">
        <v>60693.89</v>
      </c>
    </row>
    <row r="950" spans="1:6" hidden="1" x14ac:dyDescent="0.3">
      <c r="A950">
        <v>2024</v>
      </c>
      <c r="B950">
        <v>7</v>
      </c>
      <c r="C950" s="105" t="s">
        <v>43</v>
      </c>
      <c r="D950" s="105" t="s">
        <v>21</v>
      </c>
      <c r="E950">
        <v>94</v>
      </c>
      <c r="F950">
        <v>85452.68</v>
      </c>
    </row>
    <row r="951" spans="1:6" hidden="1" x14ac:dyDescent="0.3">
      <c r="A951">
        <v>2024</v>
      </c>
      <c r="B951">
        <v>7</v>
      </c>
      <c r="C951" s="105" t="s">
        <v>43</v>
      </c>
      <c r="D951" s="105" t="s">
        <v>22</v>
      </c>
      <c r="E951">
        <v>58</v>
      </c>
      <c r="F951">
        <v>39523.61</v>
      </c>
    </row>
    <row r="952" spans="1:6" hidden="1" x14ac:dyDescent="0.3">
      <c r="A952">
        <v>2024</v>
      </c>
      <c r="B952">
        <v>7</v>
      </c>
      <c r="C952" s="105" t="s">
        <v>43</v>
      </c>
      <c r="D952" s="105" t="s">
        <v>23</v>
      </c>
      <c r="E952">
        <v>41</v>
      </c>
      <c r="F952">
        <v>36771.86</v>
      </c>
    </row>
    <row r="953" spans="1:6" hidden="1" x14ac:dyDescent="0.3">
      <c r="A953">
        <v>2024</v>
      </c>
      <c r="B953">
        <v>7</v>
      </c>
      <c r="C953" s="105" t="s">
        <v>43</v>
      </c>
      <c r="D953" s="105" t="s">
        <v>24</v>
      </c>
      <c r="E953">
        <v>61</v>
      </c>
      <c r="F953">
        <v>42178.07</v>
      </c>
    </row>
    <row r="954" spans="1:6" hidden="1" x14ac:dyDescent="0.3">
      <c r="A954">
        <v>2024</v>
      </c>
      <c r="B954">
        <v>7</v>
      </c>
      <c r="C954" s="105" t="s">
        <v>43</v>
      </c>
      <c r="D954" s="105" t="s">
        <v>25</v>
      </c>
      <c r="E954">
        <v>81</v>
      </c>
      <c r="F954">
        <v>59895.02</v>
      </c>
    </row>
    <row r="955" spans="1:6" hidden="1" x14ac:dyDescent="0.3">
      <c r="A955">
        <v>2024</v>
      </c>
      <c r="B955">
        <v>7</v>
      </c>
      <c r="C955" s="105" t="s">
        <v>43</v>
      </c>
      <c r="D955" s="105" t="s">
        <v>26</v>
      </c>
      <c r="E955">
        <v>86</v>
      </c>
      <c r="F955">
        <v>47766.8</v>
      </c>
    </row>
    <row r="956" spans="1:6" hidden="1" x14ac:dyDescent="0.3">
      <c r="A956">
        <v>2024</v>
      </c>
      <c r="B956">
        <v>7</v>
      </c>
      <c r="C956" s="105" t="s">
        <v>43</v>
      </c>
      <c r="D956" s="105" t="s">
        <v>27</v>
      </c>
      <c r="E956">
        <v>60</v>
      </c>
      <c r="F956">
        <v>49882.43</v>
      </c>
    </row>
    <row r="957" spans="1:6" hidden="1" x14ac:dyDescent="0.3">
      <c r="A957">
        <v>2024</v>
      </c>
      <c r="B957">
        <v>7</v>
      </c>
      <c r="C957" s="105" t="s">
        <v>43</v>
      </c>
      <c r="D957" s="105" t="s">
        <v>28</v>
      </c>
      <c r="E957">
        <v>9</v>
      </c>
      <c r="F957">
        <v>5980.32</v>
      </c>
    </row>
    <row r="958" spans="1:6" hidden="1" x14ac:dyDescent="0.3">
      <c r="A958">
        <v>2024</v>
      </c>
      <c r="B958">
        <v>7</v>
      </c>
      <c r="C958" s="105" t="s">
        <v>43</v>
      </c>
      <c r="D958" s="105" t="s">
        <v>29</v>
      </c>
      <c r="E958">
        <v>79</v>
      </c>
      <c r="F958">
        <v>85624.17</v>
      </c>
    </row>
    <row r="959" spans="1:6" hidden="1" x14ac:dyDescent="0.3">
      <c r="A959">
        <v>2024</v>
      </c>
      <c r="B959">
        <v>7</v>
      </c>
      <c r="C959" s="105" t="s">
        <v>43</v>
      </c>
      <c r="D959" s="105" t="s">
        <v>30</v>
      </c>
      <c r="E959">
        <v>35</v>
      </c>
      <c r="F959">
        <v>19938.669999999998</v>
      </c>
    </row>
    <row r="960" spans="1:6" hidden="1" x14ac:dyDescent="0.3">
      <c r="A960">
        <v>2024</v>
      </c>
      <c r="B960">
        <v>7</v>
      </c>
      <c r="C960" s="105" t="s">
        <v>43</v>
      </c>
      <c r="D960" s="105" t="s">
        <v>31</v>
      </c>
      <c r="E960">
        <v>165</v>
      </c>
      <c r="F960">
        <v>138989.64000000001</v>
      </c>
    </row>
    <row r="961" spans="1:6" hidden="1" x14ac:dyDescent="0.3">
      <c r="A961">
        <v>2024</v>
      </c>
      <c r="B961">
        <v>7</v>
      </c>
      <c r="C961" s="105" t="s">
        <v>43</v>
      </c>
      <c r="D961" s="105" t="s">
        <v>51</v>
      </c>
      <c r="E961">
        <v>2</v>
      </c>
      <c r="F961">
        <v>455</v>
      </c>
    </row>
    <row r="962" spans="1:6" hidden="1" x14ac:dyDescent="0.3">
      <c r="A962">
        <v>2024</v>
      </c>
      <c r="B962">
        <v>7</v>
      </c>
      <c r="C962" s="105" t="s">
        <v>43</v>
      </c>
      <c r="D962" s="105" t="s">
        <v>32</v>
      </c>
      <c r="E962">
        <v>53</v>
      </c>
      <c r="F962">
        <v>42327.38</v>
      </c>
    </row>
    <row r="963" spans="1:6" hidden="1" x14ac:dyDescent="0.3">
      <c r="A963">
        <v>2024</v>
      </c>
      <c r="B963">
        <v>7</v>
      </c>
      <c r="C963" s="105" t="s">
        <v>43</v>
      </c>
      <c r="D963" s="105" t="s">
        <v>33</v>
      </c>
      <c r="E963">
        <v>182</v>
      </c>
      <c r="F963">
        <v>157843.32999999999</v>
      </c>
    </row>
    <row r="964" spans="1:6" hidden="1" x14ac:dyDescent="0.3">
      <c r="A964">
        <v>2024</v>
      </c>
      <c r="B964">
        <v>7</v>
      </c>
      <c r="C964" s="105" t="s">
        <v>43</v>
      </c>
      <c r="D964" s="105" t="s">
        <v>34</v>
      </c>
      <c r="E964">
        <v>134</v>
      </c>
      <c r="F964">
        <v>93680.37</v>
      </c>
    </row>
    <row r="965" spans="1:6" hidden="1" x14ac:dyDescent="0.3">
      <c r="A965">
        <v>2024</v>
      </c>
      <c r="B965">
        <v>7</v>
      </c>
      <c r="C965" s="105" t="s">
        <v>43</v>
      </c>
      <c r="D965" s="105" t="s">
        <v>53</v>
      </c>
      <c r="E965">
        <v>2</v>
      </c>
      <c r="F965">
        <v>650</v>
      </c>
    </row>
    <row r="966" spans="1:6" hidden="1" x14ac:dyDescent="0.3">
      <c r="A966">
        <v>2024</v>
      </c>
      <c r="B966">
        <v>7</v>
      </c>
      <c r="C966" s="105" t="s">
        <v>43</v>
      </c>
      <c r="D966" s="105" t="s">
        <v>35</v>
      </c>
      <c r="E966">
        <v>56</v>
      </c>
      <c r="F966">
        <v>44480.52</v>
      </c>
    </row>
    <row r="967" spans="1:6" hidden="1" x14ac:dyDescent="0.3">
      <c r="A967">
        <v>2024</v>
      </c>
      <c r="B967">
        <v>7</v>
      </c>
      <c r="C967" s="105" t="s">
        <v>43</v>
      </c>
      <c r="D967" s="105" t="s">
        <v>36</v>
      </c>
      <c r="E967">
        <v>76</v>
      </c>
      <c r="F967">
        <v>61021.77</v>
      </c>
    </row>
    <row r="968" spans="1:6" hidden="1" x14ac:dyDescent="0.3">
      <c r="A968">
        <v>2024</v>
      </c>
      <c r="B968">
        <v>7</v>
      </c>
      <c r="C968" s="105" t="s">
        <v>43</v>
      </c>
      <c r="D968" s="105" t="s">
        <v>37</v>
      </c>
      <c r="E968">
        <v>77</v>
      </c>
      <c r="F968">
        <v>65276.14</v>
      </c>
    </row>
    <row r="969" spans="1:6" hidden="1" x14ac:dyDescent="0.3">
      <c r="A969">
        <v>2024</v>
      </c>
      <c r="B969">
        <v>8</v>
      </c>
      <c r="C969" s="105" t="s">
        <v>44</v>
      </c>
      <c r="D969" s="105" t="s">
        <v>7</v>
      </c>
      <c r="E969">
        <v>54</v>
      </c>
      <c r="F969">
        <v>39237.449999999997</v>
      </c>
    </row>
    <row r="970" spans="1:6" hidden="1" x14ac:dyDescent="0.3">
      <c r="A970">
        <v>2024</v>
      </c>
      <c r="B970">
        <v>8</v>
      </c>
      <c r="C970" s="105" t="s">
        <v>44</v>
      </c>
      <c r="D970" s="105" t="s">
        <v>8</v>
      </c>
      <c r="E970">
        <v>42</v>
      </c>
      <c r="F970">
        <v>24260.38</v>
      </c>
    </row>
    <row r="971" spans="1:6" hidden="1" x14ac:dyDescent="0.3">
      <c r="A971">
        <v>2024</v>
      </c>
      <c r="B971">
        <v>8</v>
      </c>
      <c r="C971" s="105" t="s">
        <v>44</v>
      </c>
      <c r="D971" s="105" t="s">
        <v>9</v>
      </c>
      <c r="E971">
        <v>9</v>
      </c>
      <c r="F971">
        <v>6869.7</v>
      </c>
    </row>
    <row r="972" spans="1:6" hidden="1" x14ac:dyDescent="0.3">
      <c r="A972">
        <v>2024</v>
      </c>
      <c r="B972">
        <v>8</v>
      </c>
      <c r="C972" s="105" t="s">
        <v>44</v>
      </c>
      <c r="D972" s="105" t="s">
        <v>10</v>
      </c>
      <c r="E972">
        <v>102</v>
      </c>
      <c r="F972">
        <v>76894.22</v>
      </c>
    </row>
    <row r="973" spans="1:6" hidden="1" x14ac:dyDescent="0.3">
      <c r="A973">
        <v>2024</v>
      </c>
      <c r="B973">
        <v>8</v>
      </c>
      <c r="C973" s="105" t="s">
        <v>44</v>
      </c>
      <c r="D973" s="105" t="s">
        <v>11</v>
      </c>
      <c r="E973">
        <v>94</v>
      </c>
      <c r="F973">
        <v>68965.84</v>
      </c>
    </row>
    <row r="974" spans="1:6" hidden="1" x14ac:dyDescent="0.3">
      <c r="A974">
        <v>2024</v>
      </c>
      <c r="B974">
        <v>8</v>
      </c>
      <c r="C974" s="105" t="s">
        <v>44</v>
      </c>
      <c r="D974" s="105" t="s">
        <v>12</v>
      </c>
      <c r="E974">
        <v>88</v>
      </c>
      <c r="F974">
        <v>53534.74</v>
      </c>
    </row>
    <row r="975" spans="1:6" hidden="1" x14ac:dyDescent="0.3">
      <c r="A975">
        <v>2024</v>
      </c>
      <c r="B975">
        <v>8</v>
      </c>
      <c r="C975" s="105" t="s">
        <v>44</v>
      </c>
      <c r="D975" s="105" t="s">
        <v>13</v>
      </c>
      <c r="E975">
        <v>140</v>
      </c>
      <c r="F975">
        <v>87926.76</v>
      </c>
    </row>
    <row r="976" spans="1:6" hidden="1" x14ac:dyDescent="0.3">
      <c r="A976">
        <v>2024</v>
      </c>
      <c r="B976">
        <v>8</v>
      </c>
      <c r="C976" s="105" t="s">
        <v>44</v>
      </c>
      <c r="D976" s="105" t="s">
        <v>14</v>
      </c>
      <c r="E976">
        <v>47</v>
      </c>
      <c r="F976">
        <v>32261.07</v>
      </c>
    </row>
    <row r="977" spans="1:6" hidden="1" x14ac:dyDescent="0.3">
      <c r="A977">
        <v>2024</v>
      </c>
      <c r="B977">
        <v>8</v>
      </c>
      <c r="C977" s="105" t="s">
        <v>44</v>
      </c>
      <c r="D977" s="105" t="s">
        <v>15</v>
      </c>
      <c r="E977">
        <v>15</v>
      </c>
      <c r="F977">
        <v>12920.85</v>
      </c>
    </row>
    <row r="978" spans="1:6" hidden="1" x14ac:dyDescent="0.3">
      <c r="A978">
        <v>2024</v>
      </c>
      <c r="B978">
        <v>8</v>
      </c>
      <c r="C978" s="105" t="s">
        <v>44</v>
      </c>
      <c r="D978" s="105" t="s">
        <v>16</v>
      </c>
      <c r="E978">
        <v>41</v>
      </c>
      <c r="F978">
        <v>28336.92</v>
      </c>
    </row>
    <row r="979" spans="1:6" hidden="1" x14ac:dyDescent="0.3">
      <c r="A979">
        <v>2024</v>
      </c>
      <c r="B979">
        <v>8</v>
      </c>
      <c r="C979" s="105" t="s">
        <v>44</v>
      </c>
      <c r="D979" s="105" t="s">
        <v>17</v>
      </c>
      <c r="E979">
        <v>160</v>
      </c>
      <c r="F979">
        <v>120167.22</v>
      </c>
    </row>
    <row r="980" spans="1:6" hidden="1" x14ac:dyDescent="0.3">
      <c r="A980">
        <v>2024</v>
      </c>
      <c r="B980">
        <v>8</v>
      </c>
      <c r="C980" s="105" t="s">
        <v>44</v>
      </c>
      <c r="D980" s="105" t="s">
        <v>18</v>
      </c>
      <c r="E980">
        <v>140</v>
      </c>
      <c r="F980">
        <v>112601.7</v>
      </c>
    </row>
    <row r="981" spans="1:6" hidden="1" x14ac:dyDescent="0.3">
      <c r="A981">
        <v>2024</v>
      </c>
      <c r="B981">
        <v>8</v>
      </c>
      <c r="C981" s="105" t="s">
        <v>44</v>
      </c>
      <c r="D981" s="105" t="s">
        <v>50</v>
      </c>
      <c r="E981">
        <v>2</v>
      </c>
      <c r="F981">
        <v>1138</v>
      </c>
    </row>
    <row r="982" spans="1:6" hidden="1" x14ac:dyDescent="0.3">
      <c r="A982">
        <v>2024</v>
      </c>
      <c r="B982">
        <v>8</v>
      </c>
      <c r="C982" s="105" t="s">
        <v>44</v>
      </c>
      <c r="D982" s="105" t="s">
        <v>19</v>
      </c>
      <c r="E982">
        <v>17</v>
      </c>
      <c r="F982">
        <v>11931.45</v>
      </c>
    </row>
    <row r="983" spans="1:6" x14ac:dyDescent="0.3">
      <c r="A983">
        <v>2024</v>
      </c>
      <c r="B983">
        <v>8</v>
      </c>
      <c r="C983" s="105" t="s">
        <v>44</v>
      </c>
      <c r="D983" s="105" t="s">
        <v>20</v>
      </c>
      <c r="E983">
        <v>70</v>
      </c>
      <c r="F983">
        <v>56941.4</v>
      </c>
    </row>
    <row r="984" spans="1:6" hidden="1" x14ac:dyDescent="0.3">
      <c r="A984">
        <v>2024</v>
      </c>
      <c r="B984">
        <v>8</v>
      </c>
      <c r="C984" s="105" t="s">
        <v>44</v>
      </c>
      <c r="D984" s="105" t="s">
        <v>21</v>
      </c>
      <c r="E984">
        <v>149</v>
      </c>
      <c r="F984">
        <v>125506.21</v>
      </c>
    </row>
    <row r="985" spans="1:6" hidden="1" x14ac:dyDescent="0.3">
      <c r="A985">
        <v>2024</v>
      </c>
      <c r="B985">
        <v>8</v>
      </c>
      <c r="C985" s="105" t="s">
        <v>44</v>
      </c>
      <c r="D985" s="105" t="s">
        <v>22</v>
      </c>
      <c r="E985">
        <v>51</v>
      </c>
      <c r="F985">
        <v>35508.239999999998</v>
      </c>
    </row>
    <row r="986" spans="1:6" hidden="1" x14ac:dyDescent="0.3">
      <c r="A986">
        <v>2024</v>
      </c>
      <c r="B986">
        <v>8</v>
      </c>
      <c r="C986" s="105" t="s">
        <v>44</v>
      </c>
      <c r="D986" s="105" t="s">
        <v>23</v>
      </c>
      <c r="E986">
        <v>42</v>
      </c>
      <c r="F986">
        <v>37951.07</v>
      </c>
    </row>
    <row r="987" spans="1:6" hidden="1" x14ac:dyDescent="0.3">
      <c r="A987">
        <v>2024</v>
      </c>
      <c r="B987">
        <v>8</v>
      </c>
      <c r="C987" s="105" t="s">
        <v>44</v>
      </c>
      <c r="D987" s="105" t="s">
        <v>24</v>
      </c>
      <c r="E987">
        <v>43</v>
      </c>
      <c r="F987">
        <v>31727.51</v>
      </c>
    </row>
    <row r="988" spans="1:6" hidden="1" x14ac:dyDescent="0.3">
      <c r="A988">
        <v>2024</v>
      </c>
      <c r="B988">
        <v>8</v>
      </c>
      <c r="C988" s="105" t="s">
        <v>44</v>
      </c>
      <c r="D988" s="105" t="s">
        <v>25</v>
      </c>
      <c r="E988">
        <v>92</v>
      </c>
      <c r="F988">
        <v>71501.119999999995</v>
      </c>
    </row>
    <row r="989" spans="1:6" hidden="1" x14ac:dyDescent="0.3">
      <c r="A989">
        <v>2024</v>
      </c>
      <c r="B989">
        <v>8</v>
      </c>
      <c r="C989" s="105" t="s">
        <v>44</v>
      </c>
      <c r="D989" s="105" t="s">
        <v>26</v>
      </c>
      <c r="E989">
        <v>52</v>
      </c>
      <c r="F989">
        <v>39385.800000000003</v>
      </c>
    </row>
    <row r="990" spans="1:6" hidden="1" x14ac:dyDescent="0.3">
      <c r="A990">
        <v>2024</v>
      </c>
      <c r="B990">
        <v>8</v>
      </c>
      <c r="C990" s="105" t="s">
        <v>44</v>
      </c>
      <c r="D990" s="105" t="s">
        <v>27</v>
      </c>
      <c r="E990">
        <v>59</v>
      </c>
      <c r="F990">
        <v>45621.22</v>
      </c>
    </row>
    <row r="991" spans="1:6" hidden="1" x14ac:dyDescent="0.3">
      <c r="A991">
        <v>2024</v>
      </c>
      <c r="B991">
        <v>8</v>
      </c>
      <c r="C991" s="105" t="s">
        <v>44</v>
      </c>
      <c r="D991" s="105" t="s">
        <v>28</v>
      </c>
      <c r="E991">
        <v>13</v>
      </c>
      <c r="F991">
        <v>7133.8</v>
      </c>
    </row>
    <row r="992" spans="1:6" hidden="1" x14ac:dyDescent="0.3">
      <c r="A992">
        <v>2024</v>
      </c>
      <c r="B992">
        <v>8</v>
      </c>
      <c r="C992" s="105" t="s">
        <v>44</v>
      </c>
      <c r="D992" s="105" t="s">
        <v>29</v>
      </c>
      <c r="E992">
        <v>117</v>
      </c>
      <c r="F992">
        <v>89307.89</v>
      </c>
    </row>
    <row r="993" spans="1:6" hidden="1" x14ac:dyDescent="0.3">
      <c r="A993">
        <v>2024</v>
      </c>
      <c r="B993">
        <v>8</v>
      </c>
      <c r="C993" s="105" t="s">
        <v>44</v>
      </c>
      <c r="D993" s="105" t="s">
        <v>30</v>
      </c>
      <c r="E993">
        <v>22</v>
      </c>
      <c r="F993">
        <v>16874.650000000001</v>
      </c>
    </row>
    <row r="994" spans="1:6" hidden="1" x14ac:dyDescent="0.3">
      <c r="A994">
        <v>2024</v>
      </c>
      <c r="B994">
        <v>8</v>
      </c>
      <c r="C994" s="105" t="s">
        <v>44</v>
      </c>
      <c r="D994" s="105" t="s">
        <v>31</v>
      </c>
      <c r="E994">
        <v>193</v>
      </c>
      <c r="F994">
        <v>160908.37</v>
      </c>
    </row>
    <row r="995" spans="1:6" hidden="1" x14ac:dyDescent="0.3">
      <c r="A995">
        <v>2024</v>
      </c>
      <c r="B995">
        <v>8</v>
      </c>
      <c r="C995" s="105" t="s">
        <v>44</v>
      </c>
      <c r="D995" s="105" t="s">
        <v>51</v>
      </c>
      <c r="E995">
        <v>2</v>
      </c>
      <c r="F995">
        <v>1067</v>
      </c>
    </row>
    <row r="996" spans="1:6" hidden="1" x14ac:dyDescent="0.3">
      <c r="A996">
        <v>2024</v>
      </c>
      <c r="B996">
        <v>8</v>
      </c>
      <c r="C996" s="105" t="s">
        <v>44</v>
      </c>
      <c r="D996" s="105" t="s">
        <v>32</v>
      </c>
      <c r="E996">
        <v>76</v>
      </c>
      <c r="F996">
        <v>60236.480000000003</v>
      </c>
    </row>
    <row r="997" spans="1:6" hidden="1" x14ac:dyDescent="0.3">
      <c r="A997">
        <v>2024</v>
      </c>
      <c r="B997">
        <v>8</v>
      </c>
      <c r="C997" s="105" t="s">
        <v>44</v>
      </c>
      <c r="D997" s="105" t="s">
        <v>52</v>
      </c>
      <c r="E997">
        <v>7</v>
      </c>
      <c r="F997">
        <v>4384.62</v>
      </c>
    </row>
    <row r="998" spans="1:6" hidden="1" x14ac:dyDescent="0.3">
      <c r="A998">
        <v>2024</v>
      </c>
      <c r="B998">
        <v>8</v>
      </c>
      <c r="C998" s="105" t="s">
        <v>44</v>
      </c>
      <c r="D998" s="105" t="s">
        <v>33</v>
      </c>
      <c r="E998">
        <v>197</v>
      </c>
      <c r="F998">
        <v>156156.76999999999</v>
      </c>
    </row>
    <row r="999" spans="1:6" hidden="1" x14ac:dyDescent="0.3">
      <c r="A999">
        <v>2024</v>
      </c>
      <c r="B999">
        <v>8</v>
      </c>
      <c r="C999" s="105" t="s">
        <v>44</v>
      </c>
      <c r="D999" s="105" t="s">
        <v>34</v>
      </c>
      <c r="E999">
        <v>107</v>
      </c>
      <c r="F999">
        <v>94186.44</v>
      </c>
    </row>
    <row r="1000" spans="1:6" hidden="1" x14ac:dyDescent="0.3">
      <c r="A1000">
        <v>2024</v>
      </c>
      <c r="B1000">
        <v>8</v>
      </c>
      <c r="C1000" s="105" t="s">
        <v>44</v>
      </c>
      <c r="D1000" s="105" t="s">
        <v>53</v>
      </c>
      <c r="E1000">
        <v>4</v>
      </c>
      <c r="F1000">
        <v>1249</v>
      </c>
    </row>
    <row r="1001" spans="1:6" hidden="1" x14ac:dyDescent="0.3">
      <c r="A1001">
        <v>2024</v>
      </c>
      <c r="B1001">
        <v>8</v>
      </c>
      <c r="C1001" s="105" t="s">
        <v>44</v>
      </c>
      <c r="D1001" s="105" t="s">
        <v>35</v>
      </c>
      <c r="E1001">
        <v>75</v>
      </c>
      <c r="F1001">
        <v>56203.33</v>
      </c>
    </row>
    <row r="1002" spans="1:6" hidden="1" x14ac:dyDescent="0.3">
      <c r="A1002">
        <v>2024</v>
      </c>
      <c r="B1002">
        <v>8</v>
      </c>
      <c r="C1002" s="105" t="s">
        <v>44</v>
      </c>
      <c r="D1002" s="105" t="s">
        <v>36</v>
      </c>
      <c r="E1002">
        <v>77</v>
      </c>
      <c r="F1002">
        <v>60474.12</v>
      </c>
    </row>
    <row r="1003" spans="1:6" hidden="1" x14ac:dyDescent="0.3">
      <c r="A1003">
        <v>2024</v>
      </c>
      <c r="B1003">
        <v>8</v>
      </c>
      <c r="C1003" s="105" t="s">
        <v>44</v>
      </c>
      <c r="D1003" s="105" t="s">
        <v>37</v>
      </c>
      <c r="E1003">
        <v>103</v>
      </c>
      <c r="F1003">
        <v>81396.5</v>
      </c>
    </row>
    <row r="1004" spans="1:6" hidden="1" x14ac:dyDescent="0.3">
      <c r="A1004">
        <v>2024</v>
      </c>
      <c r="B1004">
        <v>9</v>
      </c>
      <c r="C1004" s="105" t="s">
        <v>45</v>
      </c>
      <c r="D1004" s="105" t="s">
        <v>7</v>
      </c>
      <c r="E1004">
        <v>57</v>
      </c>
      <c r="F1004">
        <v>37839.32</v>
      </c>
    </row>
    <row r="1005" spans="1:6" hidden="1" x14ac:dyDescent="0.3">
      <c r="A1005">
        <v>2024</v>
      </c>
      <c r="B1005">
        <v>9</v>
      </c>
      <c r="C1005" s="105" t="s">
        <v>45</v>
      </c>
      <c r="D1005" s="105" t="s">
        <v>8</v>
      </c>
      <c r="E1005">
        <v>33</v>
      </c>
      <c r="F1005">
        <v>21104.53</v>
      </c>
    </row>
    <row r="1006" spans="1:6" hidden="1" x14ac:dyDescent="0.3">
      <c r="A1006">
        <v>2024</v>
      </c>
      <c r="B1006">
        <v>9</v>
      </c>
      <c r="C1006" s="105" t="s">
        <v>45</v>
      </c>
      <c r="D1006" s="105" t="s">
        <v>9</v>
      </c>
      <c r="E1006">
        <v>19</v>
      </c>
      <c r="F1006">
        <v>14227.3</v>
      </c>
    </row>
    <row r="1007" spans="1:6" hidden="1" x14ac:dyDescent="0.3">
      <c r="A1007">
        <v>2024</v>
      </c>
      <c r="B1007">
        <v>9</v>
      </c>
      <c r="C1007" s="105" t="s">
        <v>45</v>
      </c>
      <c r="D1007" s="105" t="s">
        <v>10</v>
      </c>
      <c r="E1007">
        <v>115</v>
      </c>
      <c r="F1007">
        <v>85131.32</v>
      </c>
    </row>
    <row r="1008" spans="1:6" hidden="1" x14ac:dyDescent="0.3">
      <c r="A1008">
        <v>2024</v>
      </c>
      <c r="B1008">
        <v>9</v>
      </c>
      <c r="C1008" s="105" t="s">
        <v>45</v>
      </c>
      <c r="D1008" s="105" t="s">
        <v>11</v>
      </c>
      <c r="E1008">
        <v>98</v>
      </c>
      <c r="F1008">
        <v>67393.81</v>
      </c>
    </row>
    <row r="1009" spans="1:6" hidden="1" x14ac:dyDescent="0.3">
      <c r="A1009">
        <v>2024</v>
      </c>
      <c r="B1009">
        <v>9</v>
      </c>
      <c r="C1009" s="105" t="s">
        <v>45</v>
      </c>
      <c r="D1009" s="105" t="s">
        <v>12</v>
      </c>
      <c r="E1009">
        <v>81</v>
      </c>
      <c r="F1009">
        <v>47540.69</v>
      </c>
    </row>
    <row r="1010" spans="1:6" hidden="1" x14ac:dyDescent="0.3">
      <c r="A1010">
        <v>2024</v>
      </c>
      <c r="B1010">
        <v>9</v>
      </c>
      <c r="C1010" s="105" t="s">
        <v>45</v>
      </c>
      <c r="D1010" s="105" t="s">
        <v>13</v>
      </c>
      <c r="E1010">
        <v>118</v>
      </c>
      <c r="F1010">
        <v>72502</v>
      </c>
    </row>
    <row r="1011" spans="1:6" hidden="1" x14ac:dyDescent="0.3">
      <c r="A1011">
        <v>2024</v>
      </c>
      <c r="B1011">
        <v>9</v>
      </c>
      <c r="C1011" s="105" t="s">
        <v>45</v>
      </c>
      <c r="D1011" s="105" t="s">
        <v>14</v>
      </c>
      <c r="E1011">
        <v>42</v>
      </c>
      <c r="F1011">
        <v>31341.26</v>
      </c>
    </row>
    <row r="1012" spans="1:6" hidden="1" x14ac:dyDescent="0.3">
      <c r="A1012">
        <v>2024</v>
      </c>
      <c r="B1012">
        <v>9</v>
      </c>
      <c r="C1012" s="105" t="s">
        <v>45</v>
      </c>
      <c r="D1012" s="105" t="s">
        <v>15</v>
      </c>
      <c r="E1012">
        <v>13</v>
      </c>
      <c r="F1012">
        <v>7652</v>
      </c>
    </row>
    <row r="1013" spans="1:6" hidden="1" x14ac:dyDescent="0.3">
      <c r="A1013">
        <v>2024</v>
      </c>
      <c r="B1013">
        <v>9</v>
      </c>
      <c r="C1013" s="105" t="s">
        <v>45</v>
      </c>
      <c r="D1013" s="105" t="s">
        <v>16</v>
      </c>
      <c r="E1013">
        <v>34</v>
      </c>
      <c r="F1013">
        <v>19073.46</v>
      </c>
    </row>
    <row r="1014" spans="1:6" hidden="1" x14ac:dyDescent="0.3">
      <c r="A1014">
        <v>2024</v>
      </c>
      <c r="B1014">
        <v>9</v>
      </c>
      <c r="C1014" s="105" t="s">
        <v>45</v>
      </c>
      <c r="D1014" s="105" t="s">
        <v>17</v>
      </c>
      <c r="E1014">
        <v>183</v>
      </c>
      <c r="F1014">
        <v>122011.98</v>
      </c>
    </row>
    <row r="1015" spans="1:6" hidden="1" x14ac:dyDescent="0.3">
      <c r="A1015">
        <v>2024</v>
      </c>
      <c r="B1015">
        <v>9</v>
      </c>
      <c r="C1015" s="105" t="s">
        <v>45</v>
      </c>
      <c r="D1015" s="105" t="s">
        <v>18</v>
      </c>
      <c r="E1015">
        <v>138</v>
      </c>
      <c r="F1015">
        <v>122754.69</v>
      </c>
    </row>
    <row r="1016" spans="1:6" hidden="1" x14ac:dyDescent="0.3">
      <c r="A1016">
        <v>2024</v>
      </c>
      <c r="B1016">
        <v>9</v>
      </c>
      <c r="C1016" s="105" t="s">
        <v>45</v>
      </c>
      <c r="D1016" s="105" t="s">
        <v>50</v>
      </c>
      <c r="E1016">
        <v>5</v>
      </c>
      <c r="F1016">
        <v>2405</v>
      </c>
    </row>
    <row r="1017" spans="1:6" hidden="1" x14ac:dyDescent="0.3">
      <c r="A1017">
        <v>2024</v>
      </c>
      <c r="B1017">
        <v>9</v>
      </c>
      <c r="C1017" s="105" t="s">
        <v>45</v>
      </c>
      <c r="D1017" s="105" t="s">
        <v>19</v>
      </c>
      <c r="E1017">
        <v>21</v>
      </c>
      <c r="F1017">
        <v>14678.86</v>
      </c>
    </row>
    <row r="1018" spans="1:6" x14ac:dyDescent="0.3">
      <c r="A1018">
        <v>2024</v>
      </c>
      <c r="B1018">
        <v>9</v>
      </c>
      <c r="C1018" s="105" t="s">
        <v>45</v>
      </c>
      <c r="D1018" s="105" t="s">
        <v>20</v>
      </c>
      <c r="E1018">
        <v>55</v>
      </c>
      <c r="F1018">
        <v>37377.74</v>
      </c>
    </row>
    <row r="1019" spans="1:6" hidden="1" x14ac:dyDescent="0.3">
      <c r="A1019">
        <v>2024</v>
      </c>
      <c r="B1019">
        <v>9</v>
      </c>
      <c r="C1019" s="105" t="s">
        <v>45</v>
      </c>
      <c r="D1019" s="105" t="s">
        <v>21</v>
      </c>
      <c r="E1019">
        <v>179</v>
      </c>
      <c r="F1019">
        <v>132736.15</v>
      </c>
    </row>
    <row r="1020" spans="1:6" hidden="1" x14ac:dyDescent="0.3">
      <c r="A1020">
        <v>2024</v>
      </c>
      <c r="B1020">
        <v>9</v>
      </c>
      <c r="C1020" s="105" t="s">
        <v>45</v>
      </c>
      <c r="D1020" s="105" t="s">
        <v>22</v>
      </c>
      <c r="E1020">
        <v>50</v>
      </c>
      <c r="F1020">
        <v>34193.53</v>
      </c>
    </row>
    <row r="1021" spans="1:6" hidden="1" x14ac:dyDescent="0.3">
      <c r="A1021">
        <v>2024</v>
      </c>
      <c r="B1021">
        <v>9</v>
      </c>
      <c r="C1021" s="105" t="s">
        <v>45</v>
      </c>
      <c r="D1021" s="105" t="s">
        <v>23</v>
      </c>
      <c r="E1021">
        <v>67</v>
      </c>
      <c r="F1021">
        <v>48719.63</v>
      </c>
    </row>
    <row r="1022" spans="1:6" hidden="1" x14ac:dyDescent="0.3">
      <c r="A1022">
        <v>2024</v>
      </c>
      <c r="B1022">
        <v>9</v>
      </c>
      <c r="C1022" s="105" t="s">
        <v>45</v>
      </c>
      <c r="D1022" s="105" t="s">
        <v>24</v>
      </c>
      <c r="E1022">
        <v>47</v>
      </c>
      <c r="F1022">
        <v>30117.72</v>
      </c>
    </row>
    <row r="1023" spans="1:6" hidden="1" x14ac:dyDescent="0.3">
      <c r="A1023">
        <v>2024</v>
      </c>
      <c r="B1023">
        <v>9</v>
      </c>
      <c r="C1023" s="105" t="s">
        <v>45</v>
      </c>
      <c r="D1023" s="105" t="s">
        <v>25</v>
      </c>
      <c r="E1023">
        <v>73</v>
      </c>
      <c r="F1023">
        <v>62100.9</v>
      </c>
    </row>
    <row r="1024" spans="1:6" hidden="1" x14ac:dyDescent="0.3">
      <c r="A1024">
        <v>2024</v>
      </c>
      <c r="B1024">
        <v>9</v>
      </c>
      <c r="C1024" s="105" t="s">
        <v>45</v>
      </c>
      <c r="D1024" s="105" t="s">
        <v>26</v>
      </c>
      <c r="E1024">
        <v>48</v>
      </c>
      <c r="F1024">
        <v>34572.769999999997</v>
      </c>
    </row>
    <row r="1025" spans="1:6" hidden="1" x14ac:dyDescent="0.3">
      <c r="A1025">
        <v>2024</v>
      </c>
      <c r="B1025">
        <v>9</v>
      </c>
      <c r="C1025" s="105" t="s">
        <v>45</v>
      </c>
      <c r="D1025" s="105" t="s">
        <v>27</v>
      </c>
      <c r="E1025">
        <v>40</v>
      </c>
      <c r="F1025">
        <v>29077.52</v>
      </c>
    </row>
    <row r="1026" spans="1:6" hidden="1" x14ac:dyDescent="0.3">
      <c r="A1026">
        <v>2024</v>
      </c>
      <c r="B1026">
        <v>9</v>
      </c>
      <c r="C1026" s="105" t="s">
        <v>45</v>
      </c>
      <c r="D1026" s="105" t="s">
        <v>28</v>
      </c>
      <c r="E1026">
        <v>12</v>
      </c>
      <c r="F1026">
        <v>6092.36</v>
      </c>
    </row>
    <row r="1027" spans="1:6" hidden="1" x14ac:dyDescent="0.3">
      <c r="A1027">
        <v>2024</v>
      </c>
      <c r="B1027">
        <v>9</v>
      </c>
      <c r="C1027" s="105" t="s">
        <v>45</v>
      </c>
      <c r="D1027" s="105" t="s">
        <v>29</v>
      </c>
      <c r="E1027">
        <v>124</v>
      </c>
      <c r="F1027">
        <v>92248.46</v>
      </c>
    </row>
    <row r="1028" spans="1:6" hidden="1" x14ac:dyDescent="0.3">
      <c r="A1028">
        <v>2024</v>
      </c>
      <c r="B1028">
        <v>9</v>
      </c>
      <c r="C1028" s="105" t="s">
        <v>45</v>
      </c>
      <c r="D1028" s="105" t="s">
        <v>30</v>
      </c>
      <c r="E1028">
        <v>25</v>
      </c>
      <c r="F1028">
        <v>19998.54</v>
      </c>
    </row>
    <row r="1029" spans="1:6" hidden="1" x14ac:dyDescent="0.3">
      <c r="A1029">
        <v>2024</v>
      </c>
      <c r="B1029">
        <v>9</v>
      </c>
      <c r="C1029" s="105" t="s">
        <v>45</v>
      </c>
      <c r="D1029" s="105" t="s">
        <v>31</v>
      </c>
      <c r="E1029">
        <v>170</v>
      </c>
      <c r="F1029">
        <v>137662.63</v>
      </c>
    </row>
    <row r="1030" spans="1:6" hidden="1" x14ac:dyDescent="0.3">
      <c r="A1030">
        <v>2024</v>
      </c>
      <c r="B1030">
        <v>9</v>
      </c>
      <c r="C1030" s="105" t="s">
        <v>45</v>
      </c>
      <c r="D1030" s="105" t="s">
        <v>51</v>
      </c>
      <c r="E1030">
        <v>2</v>
      </c>
      <c r="F1030">
        <v>1489</v>
      </c>
    </row>
    <row r="1031" spans="1:6" hidden="1" x14ac:dyDescent="0.3">
      <c r="A1031">
        <v>2024</v>
      </c>
      <c r="B1031">
        <v>9</v>
      </c>
      <c r="C1031" s="105" t="s">
        <v>45</v>
      </c>
      <c r="D1031" s="105" t="s">
        <v>32</v>
      </c>
      <c r="E1031">
        <v>79</v>
      </c>
      <c r="F1031">
        <v>48767.66</v>
      </c>
    </row>
    <row r="1032" spans="1:6" hidden="1" x14ac:dyDescent="0.3">
      <c r="A1032">
        <v>2024</v>
      </c>
      <c r="B1032">
        <v>9</v>
      </c>
      <c r="C1032" s="105" t="s">
        <v>45</v>
      </c>
      <c r="D1032" s="105" t="s">
        <v>52</v>
      </c>
      <c r="E1032">
        <v>6</v>
      </c>
      <c r="F1032">
        <v>2586.5</v>
      </c>
    </row>
    <row r="1033" spans="1:6" hidden="1" x14ac:dyDescent="0.3">
      <c r="A1033">
        <v>2024</v>
      </c>
      <c r="B1033">
        <v>9</v>
      </c>
      <c r="C1033" s="105" t="s">
        <v>45</v>
      </c>
      <c r="D1033" s="105" t="s">
        <v>33</v>
      </c>
      <c r="E1033">
        <v>181</v>
      </c>
      <c r="F1033">
        <v>148796.73000000001</v>
      </c>
    </row>
    <row r="1034" spans="1:6" hidden="1" x14ac:dyDescent="0.3">
      <c r="A1034">
        <v>2024</v>
      </c>
      <c r="B1034">
        <v>9</v>
      </c>
      <c r="C1034" s="105" t="s">
        <v>45</v>
      </c>
      <c r="D1034" s="105" t="s">
        <v>34</v>
      </c>
      <c r="E1034">
        <v>155</v>
      </c>
      <c r="F1034">
        <v>117602.15</v>
      </c>
    </row>
    <row r="1035" spans="1:6" hidden="1" x14ac:dyDescent="0.3">
      <c r="A1035">
        <v>2024</v>
      </c>
      <c r="B1035">
        <v>9</v>
      </c>
      <c r="C1035" s="105" t="s">
        <v>45</v>
      </c>
      <c r="D1035" s="105" t="s">
        <v>53</v>
      </c>
      <c r="E1035">
        <v>1</v>
      </c>
      <c r="F1035">
        <v>1018</v>
      </c>
    </row>
    <row r="1036" spans="1:6" hidden="1" x14ac:dyDescent="0.3">
      <c r="A1036">
        <v>2024</v>
      </c>
      <c r="B1036">
        <v>9</v>
      </c>
      <c r="C1036" s="105" t="s">
        <v>45</v>
      </c>
      <c r="D1036" s="105" t="s">
        <v>35</v>
      </c>
      <c r="E1036">
        <v>87</v>
      </c>
      <c r="F1036">
        <v>56476.53</v>
      </c>
    </row>
    <row r="1037" spans="1:6" hidden="1" x14ac:dyDescent="0.3">
      <c r="A1037">
        <v>2024</v>
      </c>
      <c r="B1037">
        <v>9</v>
      </c>
      <c r="C1037" s="105" t="s">
        <v>45</v>
      </c>
      <c r="D1037" s="105" t="s">
        <v>36</v>
      </c>
      <c r="E1037">
        <v>61</v>
      </c>
      <c r="F1037">
        <v>48375.42</v>
      </c>
    </row>
    <row r="1038" spans="1:6" hidden="1" x14ac:dyDescent="0.3">
      <c r="A1038">
        <v>2024</v>
      </c>
      <c r="B1038">
        <v>9</v>
      </c>
      <c r="C1038" s="105" t="s">
        <v>45</v>
      </c>
      <c r="D1038" s="105" t="s">
        <v>37</v>
      </c>
      <c r="E1038">
        <v>120</v>
      </c>
      <c r="F1038">
        <v>91214.06</v>
      </c>
    </row>
    <row r="1039" spans="1:6" hidden="1" x14ac:dyDescent="0.3">
      <c r="A1039">
        <v>2024</v>
      </c>
      <c r="B1039">
        <v>10</v>
      </c>
      <c r="C1039" s="105" t="s">
        <v>46</v>
      </c>
      <c r="D1039" s="105" t="s">
        <v>7</v>
      </c>
      <c r="E1039">
        <v>49</v>
      </c>
      <c r="F1039">
        <v>37521.19</v>
      </c>
    </row>
    <row r="1040" spans="1:6" hidden="1" x14ac:dyDescent="0.3">
      <c r="A1040">
        <v>2024</v>
      </c>
      <c r="B1040">
        <v>10</v>
      </c>
      <c r="C1040" s="105" t="s">
        <v>46</v>
      </c>
      <c r="D1040" s="105" t="s">
        <v>8</v>
      </c>
      <c r="E1040">
        <v>42</v>
      </c>
      <c r="F1040">
        <v>24429.49</v>
      </c>
    </row>
    <row r="1041" spans="1:6" hidden="1" x14ac:dyDescent="0.3">
      <c r="A1041">
        <v>2024</v>
      </c>
      <c r="B1041">
        <v>10</v>
      </c>
      <c r="C1041" s="105" t="s">
        <v>46</v>
      </c>
      <c r="D1041" s="105" t="s">
        <v>9</v>
      </c>
      <c r="E1041">
        <v>15</v>
      </c>
      <c r="F1041">
        <v>9906</v>
      </c>
    </row>
    <row r="1042" spans="1:6" hidden="1" x14ac:dyDescent="0.3">
      <c r="A1042">
        <v>2024</v>
      </c>
      <c r="B1042">
        <v>10</v>
      </c>
      <c r="C1042" s="105" t="s">
        <v>46</v>
      </c>
      <c r="D1042" s="105" t="s">
        <v>10</v>
      </c>
      <c r="E1042">
        <v>99</v>
      </c>
      <c r="F1042">
        <v>83330.38</v>
      </c>
    </row>
    <row r="1043" spans="1:6" hidden="1" x14ac:dyDescent="0.3">
      <c r="A1043">
        <v>2024</v>
      </c>
      <c r="B1043">
        <v>10</v>
      </c>
      <c r="C1043" s="105" t="s">
        <v>46</v>
      </c>
      <c r="D1043" s="105" t="s">
        <v>11</v>
      </c>
      <c r="E1043">
        <v>90</v>
      </c>
      <c r="F1043">
        <v>58733.09</v>
      </c>
    </row>
    <row r="1044" spans="1:6" hidden="1" x14ac:dyDescent="0.3">
      <c r="A1044">
        <v>2024</v>
      </c>
      <c r="B1044">
        <v>10</v>
      </c>
      <c r="C1044" s="105" t="s">
        <v>46</v>
      </c>
      <c r="D1044" s="105" t="s">
        <v>12</v>
      </c>
      <c r="E1044">
        <v>80</v>
      </c>
      <c r="F1044">
        <v>55239.61</v>
      </c>
    </row>
    <row r="1045" spans="1:6" hidden="1" x14ac:dyDescent="0.3">
      <c r="A1045">
        <v>2024</v>
      </c>
      <c r="B1045">
        <v>10</v>
      </c>
      <c r="C1045" s="105" t="s">
        <v>46</v>
      </c>
      <c r="D1045" s="105" t="s">
        <v>13</v>
      </c>
      <c r="E1045">
        <v>99</v>
      </c>
      <c r="F1045">
        <v>69334.13</v>
      </c>
    </row>
    <row r="1046" spans="1:6" hidden="1" x14ac:dyDescent="0.3">
      <c r="A1046">
        <v>2024</v>
      </c>
      <c r="B1046">
        <v>10</v>
      </c>
      <c r="C1046" s="105" t="s">
        <v>46</v>
      </c>
      <c r="D1046" s="105" t="s">
        <v>14</v>
      </c>
      <c r="E1046">
        <v>41</v>
      </c>
      <c r="F1046">
        <v>27950.05</v>
      </c>
    </row>
    <row r="1047" spans="1:6" hidden="1" x14ac:dyDescent="0.3">
      <c r="A1047">
        <v>2024</v>
      </c>
      <c r="B1047">
        <v>10</v>
      </c>
      <c r="C1047" s="105" t="s">
        <v>46</v>
      </c>
      <c r="D1047" s="105" t="s">
        <v>15</v>
      </c>
      <c r="E1047">
        <v>15</v>
      </c>
      <c r="F1047">
        <v>11309</v>
      </c>
    </row>
    <row r="1048" spans="1:6" hidden="1" x14ac:dyDescent="0.3">
      <c r="A1048">
        <v>2024</v>
      </c>
      <c r="B1048">
        <v>10</v>
      </c>
      <c r="C1048" s="105" t="s">
        <v>46</v>
      </c>
      <c r="D1048" s="105" t="s">
        <v>16</v>
      </c>
      <c r="E1048">
        <v>26</v>
      </c>
      <c r="F1048">
        <v>16038.95</v>
      </c>
    </row>
    <row r="1049" spans="1:6" hidden="1" x14ac:dyDescent="0.3">
      <c r="A1049">
        <v>2024</v>
      </c>
      <c r="B1049">
        <v>10</v>
      </c>
      <c r="C1049" s="105" t="s">
        <v>46</v>
      </c>
      <c r="D1049" s="105" t="s">
        <v>17</v>
      </c>
      <c r="E1049">
        <v>168</v>
      </c>
      <c r="F1049">
        <v>107392.33</v>
      </c>
    </row>
    <row r="1050" spans="1:6" hidden="1" x14ac:dyDescent="0.3">
      <c r="A1050">
        <v>2024</v>
      </c>
      <c r="B1050">
        <v>10</v>
      </c>
      <c r="C1050" s="105" t="s">
        <v>46</v>
      </c>
      <c r="D1050" s="105" t="s">
        <v>18</v>
      </c>
      <c r="E1050">
        <v>145</v>
      </c>
      <c r="F1050">
        <v>122116.37</v>
      </c>
    </row>
    <row r="1051" spans="1:6" hidden="1" x14ac:dyDescent="0.3">
      <c r="A1051">
        <v>2024</v>
      </c>
      <c r="B1051">
        <v>10</v>
      </c>
      <c r="C1051" s="105" t="s">
        <v>46</v>
      </c>
      <c r="D1051" s="105" t="s">
        <v>50</v>
      </c>
      <c r="E1051">
        <v>3</v>
      </c>
      <c r="F1051">
        <v>2171</v>
      </c>
    </row>
    <row r="1052" spans="1:6" hidden="1" x14ac:dyDescent="0.3">
      <c r="A1052">
        <v>2024</v>
      </c>
      <c r="B1052">
        <v>10</v>
      </c>
      <c r="C1052" s="105" t="s">
        <v>46</v>
      </c>
      <c r="D1052" s="105" t="s">
        <v>19</v>
      </c>
      <c r="E1052">
        <v>15</v>
      </c>
      <c r="F1052">
        <v>10277.31</v>
      </c>
    </row>
    <row r="1053" spans="1:6" x14ac:dyDescent="0.3">
      <c r="A1053">
        <v>2024</v>
      </c>
      <c r="B1053">
        <v>10</v>
      </c>
      <c r="C1053" s="105" t="s">
        <v>46</v>
      </c>
      <c r="D1053" s="105" t="s">
        <v>20</v>
      </c>
      <c r="E1053">
        <v>84</v>
      </c>
      <c r="F1053">
        <v>61316.9</v>
      </c>
    </row>
    <row r="1054" spans="1:6" hidden="1" x14ac:dyDescent="0.3">
      <c r="A1054">
        <v>2024</v>
      </c>
      <c r="B1054">
        <v>10</v>
      </c>
      <c r="C1054" s="105" t="s">
        <v>46</v>
      </c>
      <c r="D1054" s="105" t="s">
        <v>21</v>
      </c>
      <c r="E1054">
        <v>206</v>
      </c>
      <c r="F1054">
        <v>148539.1</v>
      </c>
    </row>
    <row r="1055" spans="1:6" hidden="1" x14ac:dyDescent="0.3">
      <c r="A1055">
        <v>2024</v>
      </c>
      <c r="B1055">
        <v>10</v>
      </c>
      <c r="C1055" s="105" t="s">
        <v>46</v>
      </c>
      <c r="D1055" s="105" t="s">
        <v>22</v>
      </c>
      <c r="E1055">
        <v>49</v>
      </c>
      <c r="F1055">
        <v>33900.04</v>
      </c>
    </row>
    <row r="1056" spans="1:6" hidden="1" x14ac:dyDescent="0.3">
      <c r="A1056">
        <v>2024</v>
      </c>
      <c r="B1056">
        <v>10</v>
      </c>
      <c r="C1056" s="105" t="s">
        <v>46</v>
      </c>
      <c r="D1056" s="105" t="s">
        <v>23</v>
      </c>
      <c r="E1056">
        <v>55</v>
      </c>
      <c r="F1056">
        <v>38655.440000000002</v>
      </c>
    </row>
    <row r="1057" spans="1:6" hidden="1" x14ac:dyDescent="0.3">
      <c r="A1057">
        <v>2024</v>
      </c>
      <c r="B1057">
        <v>10</v>
      </c>
      <c r="C1057" s="105" t="s">
        <v>46</v>
      </c>
      <c r="D1057" s="105" t="s">
        <v>24</v>
      </c>
      <c r="E1057">
        <v>48</v>
      </c>
      <c r="F1057">
        <v>33401.379999999997</v>
      </c>
    </row>
    <row r="1058" spans="1:6" hidden="1" x14ac:dyDescent="0.3">
      <c r="A1058">
        <v>2024</v>
      </c>
      <c r="B1058">
        <v>10</v>
      </c>
      <c r="C1058" s="105" t="s">
        <v>46</v>
      </c>
      <c r="D1058" s="105" t="s">
        <v>25</v>
      </c>
      <c r="E1058">
        <v>94</v>
      </c>
      <c r="F1058">
        <v>76716.460000000006</v>
      </c>
    </row>
    <row r="1059" spans="1:6" hidden="1" x14ac:dyDescent="0.3">
      <c r="A1059">
        <v>2024</v>
      </c>
      <c r="B1059">
        <v>10</v>
      </c>
      <c r="C1059" s="105" t="s">
        <v>46</v>
      </c>
      <c r="D1059" s="105" t="s">
        <v>26</v>
      </c>
      <c r="E1059">
        <v>48</v>
      </c>
      <c r="F1059">
        <v>35019.46</v>
      </c>
    </row>
    <row r="1060" spans="1:6" hidden="1" x14ac:dyDescent="0.3">
      <c r="A1060">
        <v>2024</v>
      </c>
      <c r="B1060">
        <v>10</v>
      </c>
      <c r="C1060" s="105" t="s">
        <v>46</v>
      </c>
      <c r="D1060" s="105" t="s">
        <v>27</v>
      </c>
      <c r="E1060">
        <v>51</v>
      </c>
      <c r="F1060">
        <v>38703.199999999997</v>
      </c>
    </row>
    <row r="1061" spans="1:6" hidden="1" x14ac:dyDescent="0.3">
      <c r="A1061">
        <v>2024</v>
      </c>
      <c r="B1061">
        <v>10</v>
      </c>
      <c r="C1061" s="105" t="s">
        <v>46</v>
      </c>
      <c r="D1061" s="105" t="s">
        <v>28</v>
      </c>
      <c r="E1061">
        <v>9</v>
      </c>
      <c r="F1061">
        <v>7126.4</v>
      </c>
    </row>
    <row r="1062" spans="1:6" hidden="1" x14ac:dyDescent="0.3">
      <c r="A1062">
        <v>2024</v>
      </c>
      <c r="B1062">
        <v>10</v>
      </c>
      <c r="C1062" s="105" t="s">
        <v>46</v>
      </c>
      <c r="D1062" s="105" t="s">
        <v>29</v>
      </c>
      <c r="E1062">
        <v>111</v>
      </c>
      <c r="F1062">
        <v>84345.71</v>
      </c>
    </row>
    <row r="1063" spans="1:6" hidden="1" x14ac:dyDescent="0.3">
      <c r="A1063">
        <v>2024</v>
      </c>
      <c r="B1063">
        <v>10</v>
      </c>
      <c r="C1063" s="105" t="s">
        <v>46</v>
      </c>
      <c r="D1063" s="105" t="s">
        <v>30</v>
      </c>
      <c r="E1063">
        <v>15</v>
      </c>
      <c r="F1063">
        <v>10494</v>
      </c>
    </row>
    <row r="1064" spans="1:6" hidden="1" x14ac:dyDescent="0.3">
      <c r="A1064">
        <v>2024</v>
      </c>
      <c r="B1064">
        <v>10</v>
      </c>
      <c r="C1064" s="105" t="s">
        <v>46</v>
      </c>
      <c r="D1064" s="105" t="s">
        <v>31</v>
      </c>
      <c r="E1064">
        <v>194</v>
      </c>
      <c r="F1064">
        <v>162647.14000000001</v>
      </c>
    </row>
    <row r="1065" spans="1:6" hidden="1" x14ac:dyDescent="0.3">
      <c r="A1065">
        <v>2024</v>
      </c>
      <c r="B1065">
        <v>10</v>
      </c>
      <c r="C1065" s="105" t="s">
        <v>46</v>
      </c>
      <c r="D1065" s="105" t="s">
        <v>51</v>
      </c>
      <c r="E1065">
        <v>1</v>
      </c>
      <c r="F1065">
        <v>276</v>
      </c>
    </row>
    <row r="1066" spans="1:6" hidden="1" x14ac:dyDescent="0.3">
      <c r="A1066">
        <v>2024</v>
      </c>
      <c r="B1066">
        <v>10</v>
      </c>
      <c r="C1066" s="105" t="s">
        <v>46</v>
      </c>
      <c r="D1066" s="105" t="s">
        <v>32</v>
      </c>
      <c r="E1066">
        <v>63</v>
      </c>
      <c r="F1066">
        <v>40532.199999999997</v>
      </c>
    </row>
    <row r="1067" spans="1:6" hidden="1" x14ac:dyDescent="0.3">
      <c r="A1067">
        <v>2024</v>
      </c>
      <c r="B1067">
        <v>10</v>
      </c>
      <c r="C1067" s="105" t="s">
        <v>46</v>
      </c>
      <c r="D1067" s="105" t="s">
        <v>52</v>
      </c>
      <c r="E1067">
        <v>3</v>
      </c>
      <c r="F1067">
        <v>1590</v>
      </c>
    </row>
    <row r="1068" spans="1:6" hidden="1" x14ac:dyDescent="0.3">
      <c r="A1068">
        <v>2024</v>
      </c>
      <c r="B1068">
        <v>10</v>
      </c>
      <c r="C1068" s="105" t="s">
        <v>46</v>
      </c>
      <c r="D1068" s="105" t="s">
        <v>33</v>
      </c>
      <c r="E1068">
        <v>199</v>
      </c>
      <c r="F1068">
        <v>161201.74</v>
      </c>
    </row>
    <row r="1069" spans="1:6" hidden="1" x14ac:dyDescent="0.3">
      <c r="A1069">
        <v>2024</v>
      </c>
      <c r="B1069">
        <v>10</v>
      </c>
      <c r="C1069" s="105" t="s">
        <v>46</v>
      </c>
      <c r="D1069" s="105" t="s">
        <v>34</v>
      </c>
      <c r="E1069">
        <v>87</v>
      </c>
      <c r="F1069">
        <v>68661.149999999994</v>
      </c>
    </row>
    <row r="1070" spans="1:6" hidden="1" x14ac:dyDescent="0.3">
      <c r="A1070">
        <v>2024</v>
      </c>
      <c r="B1070">
        <v>10</v>
      </c>
      <c r="C1070" s="105" t="s">
        <v>46</v>
      </c>
      <c r="D1070" s="105" t="s">
        <v>53</v>
      </c>
      <c r="E1070">
        <v>3</v>
      </c>
      <c r="F1070">
        <v>1384</v>
      </c>
    </row>
    <row r="1071" spans="1:6" hidden="1" x14ac:dyDescent="0.3">
      <c r="A1071">
        <v>2024</v>
      </c>
      <c r="B1071">
        <v>10</v>
      </c>
      <c r="C1071" s="105" t="s">
        <v>46</v>
      </c>
      <c r="D1071" s="105" t="s">
        <v>35</v>
      </c>
      <c r="E1071">
        <v>73</v>
      </c>
      <c r="F1071">
        <v>49479.03</v>
      </c>
    </row>
    <row r="1072" spans="1:6" hidden="1" x14ac:dyDescent="0.3">
      <c r="A1072">
        <v>2024</v>
      </c>
      <c r="B1072">
        <v>10</v>
      </c>
      <c r="C1072" s="105" t="s">
        <v>46</v>
      </c>
      <c r="D1072" s="105" t="s">
        <v>36</v>
      </c>
      <c r="E1072">
        <v>81</v>
      </c>
      <c r="F1072">
        <v>48658.02</v>
      </c>
    </row>
    <row r="1073" spans="1:6" hidden="1" x14ac:dyDescent="0.3">
      <c r="A1073">
        <v>2024</v>
      </c>
      <c r="B1073">
        <v>10</v>
      </c>
      <c r="C1073" s="105" t="s">
        <v>46</v>
      </c>
      <c r="D1073" s="105" t="s">
        <v>37</v>
      </c>
      <c r="E1073">
        <v>115</v>
      </c>
      <c r="F1073">
        <v>83152.7</v>
      </c>
    </row>
    <row r="1074" spans="1:6" hidden="1" x14ac:dyDescent="0.3">
      <c r="A1074">
        <v>2024</v>
      </c>
      <c r="B1074">
        <v>11</v>
      </c>
      <c r="C1074" s="105" t="s">
        <v>47</v>
      </c>
      <c r="D1074" s="105" t="s">
        <v>7</v>
      </c>
      <c r="E1074">
        <v>23</v>
      </c>
      <c r="F1074">
        <v>17136.189999999999</v>
      </c>
    </row>
    <row r="1075" spans="1:6" hidden="1" x14ac:dyDescent="0.3">
      <c r="A1075">
        <v>2024</v>
      </c>
      <c r="B1075">
        <v>11</v>
      </c>
      <c r="C1075" s="105" t="s">
        <v>47</v>
      </c>
      <c r="D1075" s="105" t="s">
        <v>8</v>
      </c>
      <c r="E1075">
        <v>34</v>
      </c>
      <c r="F1075">
        <v>21446.29</v>
      </c>
    </row>
    <row r="1076" spans="1:6" hidden="1" x14ac:dyDescent="0.3">
      <c r="A1076">
        <v>2024</v>
      </c>
      <c r="B1076">
        <v>11</v>
      </c>
      <c r="C1076" s="105" t="s">
        <v>47</v>
      </c>
      <c r="D1076" s="105" t="s">
        <v>9</v>
      </c>
      <c r="E1076">
        <v>18</v>
      </c>
      <c r="F1076">
        <v>12844.4</v>
      </c>
    </row>
    <row r="1077" spans="1:6" hidden="1" x14ac:dyDescent="0.3">
      <c r="A1077">
        <v>2024</v>
      </c>
      <c r="B1077">
        <v>11</v>
      </c>
      <c r="C1077" s="105" t="s">
        <v>47</v>
      </c>
      <c r="D1077" s="105" t="s">
        <v>10</v>
      </c>
      <c r="E1077">
        <v>64</v>
      </c>
      <c r="F1077">
        <v>61174.14</v>
      </c>
    </row>
    <row r="1078" spans="1:6" hidden="1" x14ac:dyDescent="0.3">
      <c r="A1078">
        <v>2024</v>
      </c>
      <c r="B1078">
        <v>11</v>
      </c>
      <c r="C1078" s="105" t="s">
        <v>47</v>
      </c>
      <c r="D1078" s="105" t="s">
        <v>11</v>
      </c>
      <c r="E1078">
        <v>59</v>
      </c>
      <c r="F1078">
        <v>42471.96</v>
      </c>
    </row>
    <row r="1079" spans="1:6" hidden="1" x14ac:dyDescent="0.3">
      <c r="A1079">
        <v>2024</v>
      </c>
      <c r="B1079">
        <v>11</v>
      </c>
      <c r="C1079" s="105" t="s">
        <v>47</v>
      </c>
      <c r="D1079" s="105" t="s">
        <v>12</v>
      </c>
      <c r="E1079">
        <v>62</v>
      </c>
      <c r="F1079">
        <v>43300.91</v>
      </c>
    </row>
    <row r="1080" spans="1:6" hidden="1" x14ac:dyDescent="0.3">
      <c r="A1080">
        <v>2024</v>
      </c>
      <c r="B1080">
        <v>11</v>
      </c>
      <c r="C1080" s="105" t="s">
        <v>47</v>
      </c>
      <c r="D1080" s="105" t="s">
        <v>13</v>
      </c>
      <c r="E1080">
        <v>67</v>
      </c>
      <c r="F1080">
        <v>49821.26</v>
      </c>
    </row>
    <row r="1081" spans="1:6" hidden="1" x14ac:dyDescent="0.3">
      <c r="A1081">
        <v>2024</v>
      </c>
      <c r="B1081">
        <v>11</v>
      </c>
      <c r="C1081" s="105" t="s">
        <v>47</v>
      </c>
      <c r="D1081" s="105" t="s">
        <v>14</v>
      </c>
      <c r="E1081">
        <v>37</v>
      </c>
      <c r="F1081">
        <v>27069.84</v>
      </c>
    </row>
    <row r="1082" spans="1:6" hidden="1" x14ac:dyDescent="0.3">
      <c r="A1082">
        <v>2024</v>
      </c>
      <c r="B1082">
        <v>11</v>
      </c>
      <c r="C1082" s="105" t="s">
        <v>47</v>
      </c>
      <c r="D1082" s="105" t="s">
        <v>15</v>
      </c>
      <c r="E1082">
        <v>10</v>
      </c>
      <c r="F1082">
        <v>6588</v>
      </c>
    </row>
    <row r="1083" spans="1:6" hidden="1" x14ac:dyDescent="0.3">
      <c r="A1083">
        <v>2024</v>
      </c>
      <c r="B1083">
        <v>11</v>
      </c>
      <c r="C1083" s="105" t="s">
        <v>47</v>
      </c>
      <c r="D1083" s="105" t="s">
        <v>16</v>
      </c>
      <c r="E1083">
        <v>31</v>
      </c>
      <c r="F1083">
        <v>25597.71</v>
      </c>
    </row>
    <row r="1084" spans="1:6" hidden="1" x14ac:dyDescent="0.3">
      <c r="A1084">
        <v>2024</v>
      </c>
      <c r="B1084">
        <v>11</v>
      </c>
      <c r="C1084" s="105" t="s">
        <v>47</v>
      </c>
      <c r="D1084" s="105" t="s">
        <v>17</v>
      </c>
      <c r="E1084">
        <v>174</v>
      </c>
      <c r="F1084">
        <v>103447.52</v>
      </c>
    </row>
    <row r="1085" spans="1:6" hidden="1" x14ac:dyDescent="0.3">
      <c r="A1085">
        <v>2024</v>
      </c>
      <c r="B1085">
        <v>11</v>
      </c>
      <c r="C1085" s="105" t="s">
        <v>47</v>
      </c>
      <c r="D1085" s="105" t="s">
        <v>18</v>
      </c>
      <c r="E1085">
        <v>111</v>
      </c>
      <c r="F1085">
        <v>103145.84</v>
      </c>
    </row>
    <row r="1086" spans="1:6" hidden="1" x14ac:dyDescent="0.3">
      <c r="A1086">
        <v>2024</v>
      </c>
      <c r="B1086">
        <v>11</v>
      </c>
      <c r="C1086" s="105" t="s">
        <v>47</v>
      </c>
      <c r="D1086" s="105" t="s">
        <v>50</v>
      </c>
      <c r="E1086">
        <v>1</v>
      </c>
      <c r="F1086">
        <v>878</v>
      </c>
    </row>
    <row r="1087" spans="1:6" hidden="1" x14ac:dyDescent="0.3">
      <c r="A1087">
        <v>2024</v>
      </c>
      <c r="B1087">
        <v>11</v>
      </c>
      <c r="C1087" s="105" t="s">
        <v>47</v>
      </c>
      <c r="D1087" s="105" t="s">
        <v>19</v>
      </c>
      <c r="E1087">
        <v>7</v>
      </c>
      <c r="F1087">
        <v>5044.6400000000003</v>
      </c>
    </row>
    <row r="1088" spans="1:6" x14ac:dyDescent="0.3">
      <c r="A1088">
        <v>2024</v>
      </c>
      <c r="B1088">
        <v>11</v>
      </c>
      <c r="C1088" s="105" t="s">
        <v>47</v>
      </c>
      <c r="D1088" s="105" t="s">
        <v>20</v>
      </c>
      <c r="E1088">
        <v>51</v>
      </c>
      <c r="F1088">
        <v>40140.86</v>
      </c>
    </row>
    <row r="1089" spans="1:6" hidden="1" x14ac:dyDescent="0.3">
      <c r="A1089">
        <v>2024</v>
      </c>
      <c r="B1089">
        <v>11</v>
      </c>
      <c r="C1089" s="105" t="s">
        <v>47</v>
      </c>
      <c r="D1089" s="105" t="s">
        <v>21</v>
      </c>
      <c r="E1089">
        <v>98</v>
      </c>
      <c r="F1089">
        <v>93058.54</v>
      </c>
    </row>
    <row r="1090" spans="1:6" hidden="1" x14ac:dyDescent="0.3">
      <c r="A1090">
        <v>2024</v>
      </c>
      <c r="B1090">
        <v>11</v>
      </c>
      <c r="C1090" s="105" t="s">
        <v>47</v>
      </c>
      <c r="D1090" s="105" t="s">
        <v>22</v>
      </c>
      <c r="E1090">
        <v>35</v>
      </c>
      <c r="F1090">
        <v>28139.59</v>
      </c>
    </row>
    <row r="1091" spans="1:6" hidden="1" x14ac:dyDescent="0.3">
      <c r="A1091">
        <v>2024</v>
      </c>
      <c r="B1091">
        <v>11</v>
      </c>
      <c r="C1091" s="105" t="s">
        <v>47</v>
      </c>
      <c r="D1091" s="105" t="s">
        <v>23</v>
      </c>
      <c r="E1091">
        <v>26</v>
      </c>
      <c r="F1091">
        <v>29746.9</v>
      </c>
    </row>
    <row r="1092" spans="1:6" hidden="1" x14ac:dyDescent="0.3">
      <c r="A1092">
        <v>2024</v>
      </c>
      <c r="B1092">
        <v>11</v>
      </c>
      <c r="C1092" s="105" t="s">
        <v>47</v>
      </c>
      <c r="D1092" s="105" t="s">
        <v>24</v>
      </c>
      <c r="E1092">
        <v>43</v>
      </c>
      <c r="F1092">
        <v>29548.18</v>
      </c>
    </row>
    <row r="1093" spans="1:6" hidden="1" x14ac:dyDescent="0.3">
      <c r="A1093">
        <v>2024</v>
      </c>
      <c r="B1093">
        <v>11</v>
      </c>
      <c r="C1093" s="105" t="s">
        <v>47</v>
      </c>
      <c r="D1093" s="105" t="s">
        <v>25</v>
      </c>
      <c r="E1093">
        <v>59</v>
      </c>
      <c r="F1093">
        <v>59490.78</v>
      </c>
    </row>
    <row r="1094" spans="1:6" hidden="1" x14ac:dyDescent="0.3">
      <c r="A1094">
        <v>2024</v>
      </c>
      <c r="B1094">
        <v>11</v>
      </c>
      <c r="C1094" s="105" t="s">
        <v>47</v>
      </c>
      <c r="D1094" s="105" t="s">
        <v>26</v>
      </c>
      <c r="E1094">
        <v>29</v>
      </c>
      <c r="F1094">
        <v>24426.36</v>
      </c>
    </row>
    <row r="1095" spans="1:6" hidden="1" x14ac:dyDescent="0.3">
      <c r="A1095">
        <v>2024</v>
      </c>
      <c r="B1095">
        <v>11</v>
      </c>
      <c r="C1095" s="105" t="s">
        <v>47</v>
      </c>
      <c r="D1095" s="105" t="s">
        <v>27</v>
      </c>
      <c r="E1095">
        <v>41</v>
      </c>
      <c r="F1095">
        <v>35958.800000000003</v>
      </c>
    </row>
    <row r="1096" spans="1:6" hidden="1" x14ac:dyDescent="0.3">
      <c r="A1096">
        <v>2024</v>
      </c>
      <c r="B1096">
        <v>11</v>
      </c>
      <c r="C1096" s="105" t="s">
        <v>47</v>
      </c>
      <c r="D1096" s="105" t="s">
        <v>28</v>
      </c>
      <c r="E1096">
        <v>10</v>
      </c>
      <c r="F1096">
        <v>7518.1</v>
      </c>
    </row>
    <row r="1097" spans="1:6" hidden="1" x14ac:dyDescent="0.3">
      <c r="A1097">
        <v>2024</v>
      </c>
      <c r="B1097">
        <v>11</v>
      </c>
      <c r="C1097" s="105" t="s">
        <v>47</v>
      </c>
      <c r="D1097" s="105" t="s">
        <v>29</v>
      </c>
      <c r="E1097">
        <v>92</v>
      </c>
      <c r="F1097">
        <v>72357.119999999995</v>
      </c>
    </row>
    <row r="1098" spans="1:6" hidden="1" x14ac:dyDescent="0.3">
      <c r="A1098">
        <v>2024</v>
      </c>
      <c r="B1098">
        <v>11</v>
      </c>
      <c r="C1098" s="105" t="s">
        <v>47</v>
      </c>
      <c r="D1098" s="105" t="s">
        <v>30</v>
      </c>
      <c r="E1098">
        <v>17</v>
      </c>
      <c r="F1098">
        <v>10463.48</v>
      </c>
    </row>
    <row r="1099" spans="1:6" hidden="1" x14ac:dyDescent="0.3">
      <c r="A1099">
        <v>2024</v>
      </c>
      <c r="B1099">
        <v>11</v>
      </c>
      <c r="C1099" s="105" t="s">
        <v>47</v>
      </c>
      <c r="D1099" s="105" t="s">
        <v>31</v>
      </c>
      <c r="E1099">
        <v>137</v>
      </c>
      <c r="F1099">
        <v>126623.33</v>
      </c>
    </row>
    <row r="1100" spans="1:6" hidden="1" x14ac:dyDescent="0.3">
      <c r="A1100">
        <v>2024</v>
      </c>
      <c r="B1100">
        <v>11</v>
      </c>
      <c r="C1100" s="105" t="s">
        <v>47</v>
      </c>
      <c r="D1100" s="105" t="s">
        <v>51</v>
      </c>
      <c r="E1100">
        <v>7</v>
      </c>
      <c r="F1100">
        <v>3929</v>
      </c>
    </row>
    <row r="1101" spans="1:6" hidden="1" x14ac:dyDescent="0.3">
      <c r="A1101">
        <v>2024</v>
      </c>
      <c r="B1101">
        <v>11</v>
      </c>
      <c r="C1101" s="105" t="s">
        <v>47</v>
      </c>
      <c r="D1101" s="105" t="s">
        <v>32</v>
      </c>
      <c r="E1101">
        <v>35</v>
      </c>
      <c r="F1101">
        <v>26613.86</v>
      </c>
    </row>
    <row r="1102" spans="1:6" hidden="1" x14ac:dyDescent="0.3">
      <c r="A1102">
        <v>2024</v>
      </c>
      <c r="B1102">
        <v>11</v>
      </c>
      <c r="C1102" s="105" t="s">
        <v>47</v>
      </c>
      <c r="D1102" s="105" t="s">
        <v>52</v>
      </c>
      <c r="E1102">
        <v>1</v>
      </c>
      <c r="F1102">
        <v>1081</v>
      </c>
    </row>
    <row r="1103" spans="1:6" hidden="1" x14ac:dyDescent="0.3">
      <c r="A1103">
        <v>2024</v>
      </c>
      <c r="B1103">
        <v>11</v>
      </c>
      <c r="C1103" s="105" t="s">
        <v>47</v>
      </c>
      <c r="D1103" s="105" t="s">
        <v>33</v>
      </c>
      <c r="E1103">
        <v>130</v>
      </c>
      <c r="F1103">
        <v>110677.64</v>
      </c>
    </row>
    <row r="1104" spans="1:6" hidden="1" x14ac:dyDescent="0.3">
      <c r="A1104">
        <v>2024</v>
      </c>
      <c r="B1104">
        <v>11</v>
      </c>
      <c r="C1104" s="105" t="s">
        <v>47</v>
      </c>
      <c r="D1104" s="105" t="s">
        <v>34</v>
      </c>
      <c r="E1104">
        <v>102</v>
      </c>
      <c r="F1104">
        <v>80936.34</v>
      </c>
    </row>
    <row r="1105" spans="1:6" hidden="1" x14ac:dyDescent="0.3">
      <c r="A1105">
        <v>2024</v>
      </c>
      <c r="B1105">
        <v>11</v>
      </c>
      <c r="C1105" s="105" t="s">
        <v>47</v>
      </c>
      <c r="D1105" s="105" t="s">
        <v>53</v>
      </c>
      <c r="E1105">
        <v>3</v>
      </c>
      <c r="F1105">
        <v>1438</v>
      </c>
    </row>
    <row r="1106" spans="1:6" hidden="1" x14ac:dyDescent="0.3">
      <c r="A1106">
        <v>2024</v>
      </c>
      <c r="B1106">
        <v>11</v>
      </c>
      <c r="C1106" s="105" t="s">
        <v>47</v>
      </c>
      <c r="D1106" s="105" t="s">
        <v>35</v>
      </c>
      <c r="E1106">
        <v>48</v>
      </c>
      <c r="F1106">
        <v>37282.1</v>
      </c>
    </row>
    <row r="1107" spans="1:6" hidden="1" x14ac:dyDescent="0.3">
      <c r="A1107">
        <v>2024</v>
      </c>
      <c r="B1107">
        <v>11</v>
      </c>
      <c r="C1107" s="105" t="s">
        <v>47</v>
      </c>
      <c r="D1107" s="105" t="s">
        <v>36</v>
      </c>
      <c r="E1107">
        <v>42</v>
      </c>
      <c r="F1107">
        <v>28524.79</v>
      </c>
    </row>
    <row r="1108" spans="1:6" hidden="1" x14ac:dyDescent="0.3">
      <c r="A1108">
        <v>2024</v>
      </c>
      <c r="B1108">
        <v>11</v>
      </c>
      <c r="C1108" s="105" t="s">
        <v>47</v>
      </c>
      <c r="D1108" s="105" t="s">
        <v>37</v>
      </c>
      <c r="E1108">
        <v>78</v>
      </c>
      <c r="F1108">
        <v>54056.19</v>
      </c>
    </row>
    <row r="1109" spans="1:6" hidden="1" x14ac:dyDescent="0.3">
      <c r="A1109">
        <v>2024</v>
      </c>
      <c r="B1109">
        <v>12</v>
      </c>
      <c r="C1109" s="105" t="s">
        <v>48</v>
      </c>
      <c r="D1109" s="105" t="s">
        <v>7</v>
      </c>
      <c r="E1109">
        <v>36</v>
      </c>
      <c r="F1109">
        <v>29869.47</v>
      </c>
    </row>
    <row r="1110" spans="1:6" hidden="1" x14ac:dyDescent="0.3">
      <c r="A1110">
        <v>2024</v>
      </c>
      <c r="B1110">
        <v>12</v>
      </c>
      <c r="C1110" s="105" t="s">
        <v>48</v>
      </c>
      <c r="D1110" s="105" t="s">
        <v>8</v>
      </c>
      <c r="E1110">
        <v>38</v>
      </c>
      <c r="F1110">
        <v>26754</v>
      </c>
    </row>
    <row r="1111" spans="1:6" hidden="1" x14ac:dyDescent="0.3">
      <c r="A1111">
        <v>2024</v>
      </c>
      <c r="B1111">
        <v>12</v>
      </c>
      <c r="C1111" s="105" t="s">
        <v>48</v>
      </c>
      <c r="D1111" s="105" t="s">
        <v>9</v>
      </c>
      <c r="E1111">
        <v>17</v>
      </c>
      <c r="F1111">
        <v>14306.95</v>
      </c>
    </row>
    <row r="1112" spans="1:6" hidden="1" x14ac:dyDescent="0.3">
      <c r="A1112">
        <v>2024</v>
      </c>
      <c r="B1112">
        <v>12</v>
      </c>
      <c r="C1112" s="105" t="s">
        <v>48</v>
      </c>
      <c r="D1112" s="105" t="s">
        <v>10</v>
      </c>
      <c r="E1112">
        <v>56</v>
      </c>
      <c r="F1112">
        <v>57518.75</v>
      </c>
    </row>
    <row r="1113" spans="1:6" hidden="1" x14ac:dyDescent="0.3">
      <c r="A1113">
        <v>2024</v>
      </c>
      <c r="B1113">
        <v>12</v>
      </c>
      <c r="C1113" s="105" t="s">
        <v>48</v>
      </c>
      <c r="D1113" s="105" t="s">
        <v>11</v>
      </c>
      <c r="E1113">
        <v>52</v>
      </c>
      <c r="F1113">
        <v>43256.63</v>
      </c>
    </row>
    <row r="1114" spans="1:6" hidden="1" x14ac:dyDescent="0.3">
      <c r="A1114">
        <v>2024</v>
      </c>
      <c r="B1114">
        <v>12</v>
      </c>
      <c r="C1114" s="105" t="s">
        <v>48</v>
      </c>
      <c r="D1114" s="105" t="s">
        <v>12</v>
      </c>
      <c r="E1114">
        <v>114</v>
      </c>
      <c r="F1114">
        <v>74155.81</v>
      </c>
    </row>
    <row r="1115" spans="1:6" hidden="1" x14ac:dyDescent="0.3">
      <c r="A1115">
        <v>2024</v>
      </c>
      <c r="B1115">
        <v>12</v>
      </c>
      <c r="C1115" s="105" t="s">
        <v>48</v>
      </c>
      <c r="D1115" s="105" t="s">
        <v>13</v>
      </c>
      <c r="E1115">
        <v>105</v>
      </c>
      <c r="F1115">
        <v>77247.78</v>
      </c>
    </row>
    <row r="1116" spans="1:6" hidden="1" x14ac:dyDescent="0.3">
      <c r="A1116">
        <v>2024</v>
      </c>
      <c r="B1116">
        <v>12</v>
      </c>
      <c r="C1116" s="105" t="s">
        <v>48</v>
      </c>
      <c r="D1116" s="105" t="s">
        <v>14</v>
      </c>
      <c r="E1116">
        <v>34</v>
      </c>
      <c r="F1116">
        <v>23081.21</v>
      </c>
    </row>
    <row r="1117" spans="1:6" hidden="1" x14ac:dyDescent="0.3">
      <c r="A1117">
        <v>2024</v>
      </c>
      <c r="B1117">
        <v>12</v>
      </c>
      <c r="C1117" s="105" t="s">
        <v>48</v>
      </c>
      <c r="D1117" s="105" t="s">
        <v>15</v>
      </c>
      <c r="E1117">
        <v>19</v>
      </c>
      <c r="F1117">
        <v>24086.11</v>
      </c>
    </row>
    <row r="1118" spans="1:6" hidden="1" x14ac:dyDescent="0.3">
      <c r="A1118">
        <v>2024</v>
      </c>
      <c r="B1118">
        <v>12</v>
      </c>
      <c r="C1118" s="105" t="s">
        <v>48</v>
      </c>
      <c r="D1118" s="105" t="s">
        <v>16</v>
      </c>
      <c r="E1118">
        <v>19</v>
      </c>
      <c r="F1118">
        <v>18032.18</v>
      </c>
    </row>
    <row r="1119" spans="1:6" hidden="1" x14ac:dyDescent="0.3">
      <c r="A1119">
        <v>2024</v>
      </c>
      <c r="B1119">
        <v>12</v>
      </c>
      <c r="C1119" s="105" t="s">
        <v>48</v>
      </c>
      <c r="D1119" s="105" t="s">
        <v>17</v>
      </c>
      <c r="E1119">
        <v>112</v>
      </c>
      <c r="F1119">
        <v>95463.82</v>
      </c>
    </row>
    <row r="1120" spans="1:6" hidden="1" x14ac:dyDescent="0.3">
      <c r="A1120">
        <v>2024</v>
      </c>
      <c r="B1120">
        <v>12</v>
      </c>
      <c r="C1120" s="105" t="s">
        <v>48</v>
      </c>
      <c r="D1120" s="105" t="s">
        <v>18</v>
      </c>
      <c r="E1120">
        <v>102</v>
      </c>
      <c r="F1120">
        <v>89871.58</v>
      </c>
    </row>
    <row r="1121" spans="1:6" hidden="1" x14ac:dyDescent="0.3">
      <c r="A1121">
        <v>2024</v>
      </c>
      <c r="B1121">
        <v>12</v>
      </c>
      <c r="C1121" s="105" t="s">
        <v>48</v>
      </c>
      <c r="D1121" s="105" t="s">
        <v>19</v>
      </c>
      <c r="E1121">
        <v>21</v>
      </c>
      <c r="F1121">
        <v>15288.94</v>
      </c>
    </row>
    <row r="1122" spans="1:6" x14ac:dyDescent="0.3">
      <c r="A1122">
        <v>2024</v>
      </c>
      <c r="B1122">
        <v>12</v>
      </c>
      <c r="C1122" s="105" t="s">
        <v>48</v>
      </c>
      <c r="D1122" s="105" t="s">
        <v>20</v>
      </c>
      <c r="E1122">
        <v>67</v>
      </c>
      <c r="F1122">
        <v>54768.1</v>
      </c>
    </row>
    <row r="1123" spans="1:6" hidden="1" x14ac:dyDescent="0.3">
      <c r="A1123">
        <v>2024</v>
      </c>
      <c r="B1123">
        <v>12</v>
      </c>
      <c r="C1123" s="105" t="s">
        <v>48</v>
      </c>
      <c r="D1123" s="105" t="s">
        <v>21</v>
      </c>
      <c r="E1123">
        <v>115</v>
      </c>
      <c r="F1123">
        <v>112436.24</v>
      </c>
    </row>
    <row r="1124" spans="1:6" hidden="1" x14ac:dyDescent="0.3">
      <c r="A1124">
        <v>2024</v>
      </c>
      <c r="B1124">
        <v>12</v>
      </c>
      <c r="C1124" s="105" t="s">
        <v>48</v>
      </c>
      <c r="D1124" s="105" t="s">
        <v>22</v>
      </c>
      <c r="E1124">
        <v>54</v>
      </c>
      <c r="F1124">
        <v>36179.74</v>
      </c>
    </row>
    <row r="1125" spans="1:6" hidden="1" x14ac:dyDescent="0.3">
      <c r="A1125">
        <v>2024</v>
      </c>
      <c r="B1125">
        <v>12</v>
      </c>
      <c r="C1125" s="105" t="s">
        <v>48</v>
      </c>
      <c r="D1125" s="105" t="s">
        <v>23</v>
      </c>
      <c r="E1125">
        <v>39</v>
      </c>
      <c r="F1125">
        <v>38274.160000000003</v>
      </c>
    </row>
    <row r="1126" spans="1:6" hidden="1" x14ac:dyDescent="0.3">
      <c r="A1126">
        <v>2024</v>
      </c>
      <c r="B1126">
        <v>12</v>
      </c>
      <c r="C1126" s="105" t="s">
        <v>48</v>
      </c>
      <c r="D1126" s="105" t="s">
        <v>24</v>
      </c>
      <c r="E1126">
        <v>65</v>
      </c>
      <c r="F1126">
        <v>48943.74</v>
      </c>
    </row>
    <row r="1127" spans="1:6" hidden="1" x14ac:dyDescent="0.3">
      <c r="A1127">
        <v>2024</v>
      </c>
      <c r="B1127">
        <v>12</v>
      </c>
      <c r="C1127" s="105" t="s">
        <v>48</v>
      </c>
      <c r="D1127" s="105" t="s">
        <v>25</v>
      </c>
      <c r="E1127">
        <v>83</v>
      </c>
      <c r="F1127">
        <v>65665.679999999993</v>
      </c>
    </row>
    <row r="1128" spans="1:6" hidden="1" x14ac:dyDescent="0.3">
      <c r="A1128">
        <v>2024</v>
      </c>
      <c r="B1128">
        <v>12</v>
      </c>
      <c r="C1128" s="105" t="s">
        <v>48</v>
      </c>
      <c r="D1128" s="105" t="s">
        <v>26</v>
      </c>
      <c r="E1128">
        <v>41</v>
      </c>
      <c r="F1128">
        <v>36229.33</v>
      </c>
    </row>
    <row r="1129" spans="1:6" hidden="1" x14ac:dyDescent="0.3">
      <c r="A1129">
        <v>2024</v>
      </c>
      <c r="B1129">
        <v>12</v>
      </c>
      <c r="C1129" s="105" t="s">
        <v>48</v>
      </c>
      <c r="D1129" s="105" t="s">
        <v>27</v>
      </c>
      <c r="E1129">
        <v>40</v>
      </c>
      <c r="F1129">
        <v>32369.37</v>
      </c>
    </row>
    <row r="1130" spans="1:6" hidden="1" x14ac:dyDescent="0.3">
      <c r="A1130">
        <v>2024</v>
      </c>
      <c r="B1130">
        <v>12</v>
      </c>
      <c r="C1130" s="105" t="s">
        <v>48</v>
      </c>
      <c r="D1130" s="105" t="s">
        <v>28</v>
      </c>
      <c r="E1130">
        <v>20</v>
      </c>
      <c r="F1130">
        <v>14051.26</v>
      </c>
    </row>
    <row r="1131" spans="1:6" hidden="1" x14ac:dyDescent="0.3">
      <c r="A1131">
        <v>2024</v>
      </c>
      <c r="B1131">
        <v>12</v>
      </c>
      <c r="C1131" s="105" t="s">
        <v>48</v>
      </c>
      <c r="D1131" s="105" t="s">
        <v>29</v>
      </c>
      <c r="E1131">
        <v>92</v>
      </c>
      <c r="F1131">
        <v>88267.45</v>
      </c>
    </row>
    <row r="1132" spans="1:6" hidden="1" x14ac:dyDescent="0.3">
      <c r="A1132">
        <v>2024</v>
      </c>
      <c r="B1132">
        <v>12</v>
      </c>
      <c r="C1132" s="105" t="s">
        <v>48</v>
      </c>
      <c r="D1132" s="105" t="s">
        <v>30</v>
      </c>
      <c r="E1132">
        <v>26</v>
      </c>
      <c r="F1132">
        <v>26439.62</v>
      </c>
    </row>
    <row r="1133" spans="1:6" hidden="1" x14ac:dyDescent="0.3">
      <c r="A1133">
        <v>2024</v>
      </c>
      <c r="B1133">
        <v>12</v>
      </c>
      <c r="C1133" s="105" t="s">
        <v>48</v>
      </c>
      <c r="D1133" s="105" t="s">
        <v>31</v>
      </c>
      <c r="E1133">
        <v>139</v>
      </c>
      <c r="F1133">
        <v>122926.97</v>
      </c>
    </row>
    <row r="1134" spans="1:6" hidden="1" x14ac:dyDescent="0.3">
      <c r="A1134">
        <v>2024</v>
      </c>
      <c r="B1134">
        <v>12</v>
      </c>
      <c r="C1134" s="105" t="s">
        <v>48</v>
      </c>
      <c r="D1134" s="105" t="s">
        <v>51</v>
      </c>
      <c r="E1134">
        <v>3</v>
      </c>
      <c r="F1134">
        <v>2526</v>
      </c>
    </row>
    <row r="1135" spans="1:6" hidden="1" x14ac:dyDescent="0.3">
      <c r="A1135">
        <v>2024</v>
      </c>
      <c r="B1135">
        <v>12</v>
      </c>
      <c r="C1135" s="105" t="s">
        <v>48</v>
      </c>
      <c r="D1135" s="105" t="s">
        <v>32</v>
      </c>
      <c r="E1135">
        <v>38</v>
      </c>
      <c r="F1135">
        <v>31718.86</v>
      </c>
    </row>
    <row r="1136" spans="1:6" hidden="1" x14ac:dyDescent="0.3">
      <c r="A1136">
        <v>2024</v>
      </c>
      <c r="B1136">
        <v>12</v>
      </c>
      <c r="C1136" s="105" t="s">
        <v>48</v>
      </c>
      <c r="D1136" s="105" t="s">
        <v>52</v>
      </c>
      <c r="E1136">
        <v>6</v>
      </c>
      <c r="F1136">
        <v>4512</v>
      </c>
    </row>
    <row r="1137" spans="1:6" hidden="1" x14ac:dyDescent="0.3">
      <c r="A1137">
        <v>2024</v>
      </c>
      <c r="B1137">
        <v>12</v>
      </c>
      <c r="C1137" s="105" t="s">
        <v>48</v>
      </c>
      <c r="D1137" s="105" t="s">
        <v>33</v>
      </c>
      <c r="E1137">
        <v>142</v>
      </c>
      <c r="F1137">
        <v>141387.38</v>
      </c>
    </row>
    <row r="1138" spans="1:6" hidden="1" x14ac:dyDescent="0.3">
      <c r="A1138">
        <v>2024</v>
      </c>
      <c r="B1138">
        <v>12</v>
      </c>
      <c r="C1138" s="105" t="s">
        <v>48</v>
      </c>
      <c r="D1138" s="105" t="s">
        <v>34</v>
      </c>
      <c r="E1138">
        <v>110</v>
      </c>
      <c r="F1138">
        <v>95508.31</v>
      </c>
    </row>
    <row r="1139" spans="1:6" hidden="1" x14ac:dyDescent="0.3">
      <c r="A1139">
        <v>2024</v>
      </c>
      <c r="B1139">
        <v>12</v>
      </c>
      <c r="C1139" s="105" t="s">
        <v>48</v>
      </c>
      <c r="D1139" s="105" t="s">
        <v>53</v>
      </c>
      <c r="E1139">
        <v>4</v>
      </c>
      <c r="F1139">
        <v>2735</v>
      </c>
    </row>
    <row r="1140" spans="1:6" hidden="1" x14ac:dyDescent="0.3">
      <c r="A1140">
        <v>2024</v>
      </c>
      <c r="B1140">
        <v>12</v>
      </c>
      <c r="C1140" s="105" t="s">
        <v>48</v>
      </c>
      <c r="D1140" s="105" t="s">
        <v>35</v>
      </c>
      <c r="E1140">
        <v>62</v>
      </c>
      <c r="F1140">
        <v>54046.11</v>
      </c>
    </row>
    <row r="1141" spans="1:6" hidden="1" x14ac:dyDescent="0.3">
      <c r="A1141">
        <v>2024</v>
      </c>
      <c r="B1141">
        <v>12</v>
      </c>
      <c r="C1141" s="105" t="s">
        <v>48</v>
      </c>
      <c r="D1141" s="105" t="s">
        <v>36</v>
      </c>
      <c r="E1141">
        <v>65</v>
      </c>
      <c r="F1141">
        <v>56199.64</v>
      </c>
    </row>
    <row r="1142" spans="1:6" hidden="1" x14ac:dyDescent="0.3">
      <c r="A1142">
        <v>2024</v>
      </c>
      <c r="B1142">
        <v>12</v>
      </c>
      <c r="C1142" s="105" t="s">
        <v>48</v>
      </c>
      <c r="D1142" s="105" t="s">
        <v>37</v>
      </c>
      <c r="E1142">
        <v>87</v>
      </c>
      <c r="F1142">
        <v>81647.289999999994</v>
      </c>
    </row>
    <row r="1143" spans="1:6" hidden="1" x14ac:dyDescent="0.3">
      <c r="A1143">
        <v>2025</v>
      </c>
      <c r="B1143">
        <v>1</v>
      </c>
      <c r="C1143" s="105" t="s">
        <v>6</v>
      </c>
      <c r="D1143" s="105" t="s">
        <v>7</v>
      </c>
      <c r="E1143">
        <v>23</v>
      </c>
      <c r="F1143">
        <v>22178.560000000001</v>
      </c>
    </row>
    <row r="1144" spans="1:6" hidden="1" x14ac:dyDescent="0.3">
      <c r="A1144">
        <v>2025</v>
      </c>
      <c r="B1144">
        <v>1</v>
      </c>
      <c r="C1144" s="105" t="s">
        <v>6</v>
      </c>
      <c r="D1144" s="105" t="s">
        <v>8</v>
      </c>
      <c r="E1144">
        <v>28</v>
      </c>
      <c r="F1144">
        <v>19862.419999999998</v>
      </c>
    </row>
    <row r="1145" spans="1:6" hidden="1" x14ac:dyDescent="0.3">
      <c r="A1145">
        <v>2025</v>
      </c>
      <c r="B1145">
        <v>1</v>
      </c>
      <c r="C1145" s="105" t="s">
        <v>6</v>
      </c>
      <c r="D1145" s="105" t="s">
        <v>9</v>
      </c>
      <c r="E1145">
        <v>18</v>
      </c>
      <c r="F1145">
        <v>13838.66</v>
      </c>
    </row>
    <row r="1146" spans="1:6" hidden="1" x14ac:dyDescent="0.3">
      <c r="A1146">
        <v>2025</v>
      </c>
      <c r="B1146">
        <v>1</v>
      </c>
      <c r="C1146" s="105" t="s">
        <v>6</v>
      </c>
      <c r="D1146" s="105" t="s">
        <v>10</v>
      </c>
      <c r="E1146">
        <v>54</v>
      </c>
      <c r="F1146">
        <v>51395.4</v>
      </c>
    </row>
    <row r="1147" spans="1:6" hidden="1" x14ac:dyDescent="0.3">
      <c r="A1147">
        <v>2025</v>
      </c>
      <c r="B1147">
        <v>1</v>
      </c>
      <c r="C1147" s="105" t="s">
        <v>6</v>
      </c>
      <c r="D1147" s="105" t="s">
        <v>11</v>
      </c>
      <c r="E1147">
        <v>69</v>
      </c>
      <c r="F1147">
        <v>61241.27</v>
      </c>
    </row>
    <row r="1148" spans="1:6" hidden="1" x14ac:dyDescent="0.3">
      <c r="A1148">
        <v>2025</v>
      </c>
      <c r="B1148">
        <v>1</v>
      </c>
      <c r="C1148" s="105" t="s">
        <v>6</v>
      </c>
      <c r="D1148" s="105" t="s">
        <v>12</v>
      </c>
      <c r="E1148">
        <v>57</v>
      </c>
      <c r="F1148">
        <v>44413.82</v>
      </c>
    </row>
    <row r="1149" spans="1:6" hidden="1" x14ac:dyDescent="0.3">
      <c r="A1149">
        <v>2025</v>
      </c>
      <c r="B1149">
        <v>1</v>
      </c>
      <c r="C1149" s="105" t="s">
        <v>6</v>
      </c>
      <c r="D1149" s="105" t="s">
        <v>13</v>
      </c>
      <c r="E1149">
        <v>91</v>
      </c>
      <c r="F1149">
        <v>70217.47</v>
      </c>
    </row>
    <row r="1150" spans="1:6" hidden="1" x14ac:dyDescent="0.3">
      <c r="A1150">
        <v>2025</v>
      </c>
      <c r="B1150">
        <v>1</v>
      </c>
      <c r="C1150" s="105" t="s">
        <v>6</v>
      </c>
      <c r="D1150" s="105" t="s">
        <v>14</v>
      </c>
      <c r="E1150">
        <v>43</v>
      </c>
      <c r="F1150">
        <v>30223.63</v>
      </c>
    </row>
    <row r="1151" spans="1:6" hidden="1" x14ac:dyDescent="0.3">
      <c r="A1151">
        <v>2025</v>
      </c>
      <c r="B1151">
        <v>1</v>
      </c>
      <c r="C1151" s="105" t="s">
        <v>6</v>
      </c>
      <c r="D1151" s="105" t="s">
        <v>15</v>
      </c>
      <c r="E1151">
        <v>22</v>
      </c>
      <c r="F1151">
        <v>14972.38</v>
      </c>
    </row>
    <row r="1152" spans="1:6" hidden="1" x14ac:dyDescent="0.3">
      <c r="A1152">
        <v>2025</v>
      </c>
      <c r="B1152">
        <v>1</v>
      </c>
      <c r="C1152" s="105" t="s">
        <v>6</v>
      </c>
      <c r="D1152" s="105" t="s">
        <v>16</v>
      </c>
      <c r="E1152">
        <v>15</v>
      </c>
      <c r="F1152">
        <v>12549.92</v>
      </c>
    </row>
    <row r="1153" spans="1:6" hidden="1" x14ac:dyDescent="0.3">
      <c r="A1153">
        <v>2025</v>
      </c>
      <c r="B1153">
        <v>1</v>
      </c>
      <c r="C1153" s="105" t="s">
        <v>6</v>
      </c>
      <c r="D1153" s="105" t="s">
        <v>17</v>
      </c>
      <c r="E1153">
        <v>85</v>
      </c>
      <c r="F1153">
        <v>75750.070000000007</v>
      </c>
    </row>
    <row r="1154" spans="1:6" hidden="1" x14ac:dyDescent="0.3">
      <c r="A1154">
        <v>2025</v>
      </c>
      <c r="B1154">
        <v>1</v>
      </c>
      <c r="C1154" s="105" t="s">
        <v>6</v>
      </c>
      <c r="D1154" s="105" t="s">
        <v>18</v>
      </c>
      <c r="E1154">
        <v>98</v>
      </c>
      <c r="F1154">
        <v>94973.35</v>
      </c>
    </row>
    <row r="1155" spans="1:6" hidden="1" x14ac:dyDescent="0.3">
      <c r="A1155">
        <v>2025</v>
      </c>
      <c r="B1155">
        <v>1</v>
      </c>
      <c r="C1155" s="105" t="s">
        <v>6</v>
      </c>
      <c r="D1155" s="105" t="s">
        <v>19</v>
      </c>
      <c r="E1155">
        <v>15</v>
      </c>
      <c r="F1155">
        <v>11350.5</v>
      </c>
    </row>
    <row r="1156" spans="1:6" x14ac:dyDescent="0.3">
      <c r="A1156">
        <v>2025</v>
      </c>
      <c r="B1156">
        <v>1</v>
      </c>
      <c r="C1156" s="105" t="s">
        <v>6</v>
      </c>
      <c r="D1156" s="105" t="s">
        <v>20</v>
      </c>
      <c r="E1156">
        <v>62</v>
      </c>
      <c r="F1156">
        <v>49683.4</v>
      </c>
    </row>
    <row r="1157" spans="1:6" hidden="1" x14ac:dyDescent="0.3">
      <c r="A1157">
        <v>2025</v>
      </c>
      <c r="B1157">
        <v>1</v>
      </c>
      <c r="C1157" s="105" t="s">
        <v>6</v>
      </c>
      <c r="D1157" s="105" t="s">
        <v>21</v>
      </c>
      <c r="E1157">
        <v>95</v>
      </c>
      <c r="F1157">
        <v>92707.31</v>
      </c>
    </row>
    <row r="1158" spans="1:6" hidden="1" x14ac:dyDescent="0.3">
      <c r="A1158">
        <v>2025</v>
      </c>
      <c r="B1158">
        <v>1</v>
      </c>
      <c r="C1158" s="105" t="s">
        <v>6</v>
      </c>
      <c r="D1158" s="105" t="s">
        <v>22</v>
      </c>
      <c r="E1158">
        <v>39</v>
      </c>
      <c r="F1158">
        <v>27301.35</v>
      </c>
    </row>
    <row r="1159" spans="1:6" hidden="1" x14ac:dyDescent="0.3">
      <c r="A1159">
        <v>2025</v>
      </c>
      <c r="B1159">
        <v>1</v>
      </c>
      <c r="C1159" s="105" t="s">
        <v>6</v>
      </c>
      <c r="D1159" s="105" t="s">
        <v>23</v>
      </c>
      <c r="E1159">
        <v>26</v>
      </c>
      <c r="F1159">
        <v>27309.17</v>
      </c>
    </row>
    <row r="1160" spans="1:6" hidden="1" x14ac:dyDescent="0.3">
      <c r="A1160">
        <v>2025</v>
      </c>
      <c r="B1160">
        <v>1</v>
      </c>
      <c r="C1160" s="105" t="s">
        <v>6</v>
      </c>
      <c r="D1160" s="105" t="s">
        <v>24</v>
      </c>
      <c r="E1160">
        <v>57</v>
      </c>
      <c r="F1160">
        <v>40801.47</v>
      </c>
    </row>
    <row r="1161" spans="1:6" hidden="1" x14ac:dyDescent="0.3">
      <c r="A1161">
        <v>2025</v>
      </c>
      <c r="B1161">
        <v>1</v>
      </c>
      <c r="C1161" s="105" t="s">
        <v>6</v>
      </c>
      <c r="D1161" s="105" t="s">
        <v>25</v>
      </c>
      <c r="E1161">
        <v>78</v>
      </c>
      <c r="F1161">
        <v>65103.3</v>
      </c>
    </row>
    <row r="1162" spans="1:6" hidden="1" x14ac:dyDescent="0.3">
      <c r="A1162">
        <v>2025</v>
      </c>
      <c r="B1162">
        <v>1</v>
      </c>
      <c r="C1162" s="105" t="s">
        <v>6</v>
      </c>
      <c r="D1162" s="105" t="s">
        <v>26</v>
      </c>
      <c r="E1162">
        <v>26</v>
      </c>
      <c r="F1162">
        <v>23967.599999999999</v>
      </c>
    </row>
    <row r="1163" spans="1:6" hidden="1" x14ac:dyDescent="0.3">
      <c r="A1163">
        <v>2025</v>
      </c>
      <c r="B1163">
        <v>1</v>
      </c>
      <c r="C1163" s="105" t="s">
        <v>6</v>
      </c>
      <c r="D1163" s="105" t="s">
        <v>27</v>
      </c>
      <c r="E1163">
        <v>40</v>
      </c>
      <c r="F1163">
        <v>33814.44</v>
      </c>
    </row>
    <row r="1164" spans="1:6" hidden="1" x14ac:dyDescent="0.3">
      <c r="A1164">
        <v>2025</v>
      </c>
      <c r="B1164">
        <v>1</v>
      </c>
      <c r="C1164" s="105" t="s">
        <v>6</v>
      </c>
      <c r="D1164" s="105" t="s">
        <v>28</v>
      </c>
      <c r="E1164">
        <v>6</v>
      </c>
      <c r="F1164">
        <v>8306.5</v>
      </c>
    </row>
    <row r="1165" spans="1:6" hidden="1" x14ac:dyDescent="0.3">
      <c r="A1165">
        <v>2025</v>
      </c>
      <c r="B1165">
        <v>1</v>
      </c>
      <c r="C1165" s="105" t="s">
        <v>6</v>
      </c>
      <c r="D1165" s="105" t="s">
        <v>29</v>
      </c>
      <c r="E1165">
        <v>97</v>
      </c>
      <c r="F1165">
        <v>76096.23</v>
      </c>
    </row>
    <row r="1166" spans="1:6" hidden="1" x14ac:dyDescent="0.3">
      <c r="A1166">
        <v>2025</v>
      </c>
      <c r="B1166">
        <v>1</v>
      </c>
      <c r="C1166" s="105" t="s">
        <v>6</v>
      </c>
      <c r="D1166" s="105" t="s">
        <v>30</v>
      </c>
      <c r="E1166">
        <v>20</v>
      </c>
      <c r="F1166">
        <v>18510.490000000002</v>
      </c>
    </row>
    <row r="1167" spans="1:6" hidden="1" x14ac:dyDescent="0.3">
      <c r="A1167">
        <v>2025</v>
      </c>
      <c r="B1167">
        <v>1</v>
      </c>
      <c r="C1167" s="105" t="s">
        <v>6</v>
      </c>
      <c r="D1167" s="105" t="s">
        <v>31</v>
      </c>
      <c r="E1167">
        <v>138</v>
      </c>
      <c r="F1167">
        <v>144059.57999999999</v>
      </c>
    </row>
    <row r="1168" spans="1:6" hidden="1" x14ac:dyDescent="0.3">
      <c r="A1168">
        <v>2025</v>
      </c>
      <c r="B1168">
        <v>1</v>
      </c>
      <c r="C1168" s="105" t="s">
        <v>6</v>
      </c>
      <c r="D1168" s="105" t="s">
        <v>51</v>
      </c>
      <c r="E1168">
        <v>2</v>
      </c>
      <c r="F1168">
        <v>766</v>
      </c>
    </row>
    <row r="1169" spans="1:6" hidden="1" x14ac:dyDescent="0.3">
      <c r="A1169">
        <v>2025</v>
      </c>
      <c r="B1169">
        <v>1</v>
      </c>
      <c r="C1169" s="105" t="s">
        <v>6</v>
      </c>
      <c r="D1169" s="105" t="s">
        <v>32</v>
      </c>
      <c r="E1169">
        <v>41</v>
      </c>
      <c r="F1169">
        <v>36677.18</v>
      </c>
    </row>
    <row r="1170" spans="1:6" hidden="1" x14ac:dyDescent="0.3">
      <c r="A1170">
        <v>2025</v>
      </c>
      <c r="B1170">
        <v>1</v>
      </c>
      <c r="C1170" s="105" t="s">
        <v>6</v>
      </c>
      <c r="D1170" s="105" t="s">
        <v>52</v>
      </c>
      <c r="E1170">
        <v>1</v>
      </c>
      <c r="F1170">
        <v>1040</v>
      </c>
    </row>
    <row r="1171" spans="1:6" hidden="1" x14ac:dyDescent="0.3">
      <c r="A1171">
        <v>2025</v>
      </c>
      <c r="B1171">
        <v>1</v>
      </c>
      <c r="C1171" s="105" t="s">
        <v>6</v>
      </c>
      <c r="D1171" s="105" t="s">
        <v>33</v>
      </c>
      <c r="E1171">
        <v>123</v>
      </c>
      <c r="F1171">
        <v>131027.4</v>
      </c>
    </row>
    <row r="1172" spans="1:6" hidden="1" x14ac:dyDescent="0.3">
      <c r="A1172">
        <v>2025</v>
      </c>
      <c r="B1172">
        <v>1</v>
      </c>
      <c r="C1172" s="105" t="s">
        <v>6</v>
      </c>
      <c r="D1172" s="105" t="s">
        <v>34</v>
      </c>
      <c r="E1172">
        <v>76</v>
      </c>
      <c r="F1172">
        <v>61127.29</v>
      </c>
    </row>
    <row r="1173" spans="1:6" hidden="1" x14ac:dyDescent="0.3">
      <c r="A1173">
        <v>2025</v>
      </c>
      <c r="B1173">
        <v>1</v>
      </c>
      <c r="C1173" s="105" t="s">
        <v>6</v>
      </c>
      <c r="D1173" s="105" t="s">
        <v>53</v>
      </c>
      <c r="E1173">
        <v>1</v>
      </c>
      <c r="F1173">
        <v>948</v>
      </c>
    </row>
    <row r="1174" spans="1:6" hidden="1" x14ac:dyDescent="0.3">
      <c r="A1174">
        <v>2025</v>
      </c>
      <c r="B1174">
        <v>1</v>
      </c>
      <c r="C1174" s="105" t="s">
        <v>6</v>
      </c>
      <c r="D1174" s="105" t="s">
        <v>35</v>
      </c>
      <c r="E1174">
        <v>62</v>
      </c>
      <c r="F1174">
        <v>53083.13</v>
      </c>
    </row>
    <row r="1175" spans="1:6" hidden="1" x14ac:dyDescent="0.3">
      <c r="A1175">
        <v>2025</v>
      </c>
      <c r="B1175">
        <v>1</v>
      </c>
      <c r="C1175" s="105" t="s">
        <v>6</v>
      </c>
      <c r="D1175" s="105" t="s">
        <v>36</v>
      </c>
      <c r="E1175">
        <v>42</v>
      </c>
      <c r="F1175">
        <v>35757.56</v>
      </c>
    </row>
    <row r="1176" spans="1:6" hidden="1" x14ac:dyDescent="0.3">
      <c r="A1176">
        <v>2025</v>
      </c>
      <c r="B1176">
        <v>1</v>
      </c>
      <c r="C1176" s="105" t="s">
        <v>6</v>
      </c>
      <c r="D1176" s="105" t="s">
        <v>37</v>
      </c>
      <c r="E1176">
        <v>56</v>
      </c>
      <c r="F1176">
        <v>51779.839999999997</v>
      </c>
    </row>
    <row r="1177" spans="1:6" hidden="1" x14ac:dyDescent="0.3">
      <c r="A1177">
        <v>2025</v>
      </c>
      <c r="B1177">
        <v>2</v>
      </c>
      <c r="C1177" s="105" t="s">
        <v>38</v>
      </c>
      <c r="D1177" s="105" t="s">
        <v>7</v>
      </c>
      <c r="E1177">
        <v>35</v>
      </c>
      <c r="F1177">
        <v>32521.83</v>
      </c>
    </row>
    <row r="1178" spans="1:6" hidden="1" x14ac:dyDescent="0.3">
      <c r="A1178">
        <v>2025</v>
      </c>
      <c r="B1178">
        <v>2</v>
      </c>
      <c r="C1178" s="105" t="s">
        <v>38</v>
      </c>
      <c r="D1178" s="105" t="s">
        <v>8</v>
      </c>
      <c r="E1178">
        <v>31</v>
      </c>
      <c r="F1178">
        <v>25819.599999999999</v>
      </c>
    </row>
    <row r="1179" spans="1:6" hidden="1" x14ac:dyDescent="0.3">
      <c r="A1179">
        <v>2025</v>
      </c>
      <c r="B1179">
        <v>2</v>
      </c>
      <c r="C1179" s="105" t="s">
        <v>38</v>
      </c>
      <c r="D1179" s="105" t="s">
        <v>9</v>
      </c>
      <c r="E1179">
        <v>13</v>
      </c>
      <c r="F1179">
        <v>9980.11</v>
      </c>
    </row>
    <row r="1180" spans="1:6" hidden="1" x14ac:dyDescent="0.3">
      <c r="A1180">
        <v>2025</v>
      </c>
      <c r="B1180">
        <v>2</v>
      </c>
      <c r="C1180" s="105" t="s">
        <v>38</v>
      </c>
      <c r="D1180" s="105" t="s">
        <v>10</v>
      </c>
      <c r="E1180">
        <v>69</v>
      </c>
      <c r="F1180">
        <v>68893.03</v>
      </c>
    </row>
    <row r="1181" spans="1:6" hidden="1" x14ac:dyDescent="0.3">
      <c r="A1181">
        <v>2025</v>
      </c>
      <c r="B1181">
        <v>2</v>
      </c>
      <c r="C1181" s="105" t="s">
        <v>38</v>
      </c>
      <c r="D1181" s="105" t="s">
        <v>11</v>
      </c>
      <c r="E1181">
        <v>49</v>
      </c>
      <c r="F1181">
        <v>41003.06</v>
      </c>
    </row>
    <row r="1182" spans="1:6" hidden="1" x14ac:dyDescent="0.3">
      <c r="A1182">
        <v>2025</v>
      </c>
      <c r="B1182">
        <v>2</v>
      </c>
      <c r="C1182" s="105" t="s">
        <v>38</v>
      </c>
      <c r="D1182" s="105" t="s">
        <v>12</v>
      </c>
      <c r="E1182">
        <v>48</v>
      </c>
      <c r="F1182">
        <v>35129.980000000003</v>
      </c>
    </row>
    <row r="1183" spans="1:6" hidden="1" x14ac:dyDescent="0.3">
      <c r="A1183">
        <v>2025</v>
      </c>
      <c r="B1183">
        <v>2</v>
      </c>
      <c r="C1183" s="105" t="s">
        <v>38</v>
      </c>
      <c r="D1183" s="105" t="s">
        <v>13</v>
      </c>
      <c r="E1183">
        <v>80</v>
      </c>
      <c r="F1183">
        <v>61160.58</v>
      </c>
    </row>
    <row r="1184" spans="1:6" hidden="1" x14ac:dyDescent="0.3">
      <c r="A1184">
        <v>2025</v>
      </c>
      <c r="B1184">
        <v>2</v>
      </c>
      <c r="C1184" s="105" t="s">
        <v>38</v>
      </c>
      <c r="D1184" s="105" t="s">
        <v>14</v>
      </c>
      <c r="E1184">
        <v>44</v>
      </c>
      <c r="F1184">
        <v>31765.55</v>
      </c>
    </row>
    <row r="1185" spans="1:6" hidden="1" x14ac:dyDescent="0.3">
      <c r="A1185">
        <v>2025</v>
      </c>
      <c r="B1185">
        <v>2</v>
      </c>
      <c r="C1185" s="105" t="s">
        <v>38</v>
      </c>
      <c r="D1185" s="105" t="s">
        <v>15</v>
      </c>
      <c r="E1185">
        <v>17</v>
      </c>
      <c r="F1185">
        <v>13626.01</v>
      </c>
    </row>
    <row r="1186" spans="1:6" hidden="1" x14ac:dyDescent="0.3">
      <c r="A1186">
        <v>2025</v>
      </c>
      <c r="B1186">
        <v>2</v>
      </c>
      <c r="C1186" s="105" t="s">
        <v>38</v>
      </c>
      <c r="D1186" s="105" t="s">
        <v>16</v>
      </c>
      <c r="E1186">
        <v>17</v>
      </c>
      <c r="F1186">
        <v>14517.63</v>
      </c>
    </row>
    <row r="1187" spans="1:6" hidden="1" x14ac:dyDescent="0.3">
      <c r="A1187">
        <v>2025</v>
      </c>
      <c r="B1187">
        <v>2</v>
      </c>
      <c r="C1187" s="105" t="s">
        <v>38</v>
      </c>
      <c r="D1187" s="105" t="s">
        <v>17</v>
      </c>
      <c r="E1187">
        <v>100</v>
      </c>
      <c r="F1187">
        <v>94135.89</v>
      </c>
    </row>
    <row r="1188" spans="1:6" hidden="1" x14ac:dyDescent="0.3">
      <c r="A1188">
        <v>2025</v>
      </c>
      <c r="B1188">
        <v>2</v>
      </c>
      <c r="C1188" s="105" t="s">
        <v>38</v>
      </c>
      <c r="D1188" s="105" t="s">
        <v>18</v>
      </c>
      <c r="E1188">
        <v>85</v>
      </c>
      <c r="F1188">
        <v>80754.929999999993</v>
      </c>
    </row>
    <row r="1189" spans="1:6" hidden="1" x14ac:dyDescent="0.3">
      <c r="A1189">
        <v>2025</v>
      </c>
      <c r="B1189">
        <v>2</v>
      </c>
      <c r="C1189" s="105" t="s">
        <v>38</v>
      </c>
      <c r="D1189" s="105" t="s">
        <v>19</v>
      </c>
      <c r="E1189">
        <v>27</v>
      </c>
      <c r="F1189">
        <v>17308.490000000002</v>
      </c>
    </row>
    <row r="1190" spans="1:6" x14ac:dyDescent="0.3">
      <c r="A1190">
        <v>2025</v>
      </c>
      <c r="B1190">
        <v>2</v>
      </c>
      <c r="C1190" s="105" t="s">
        <v>38</v>
      </c>
      <c r="D1190" s="105" t="s">
        <v>20</v>
      </c>
      <c r="E1190">
        <v>28</v>
      </c>
      <c r="F1190">
        <v>21585</v>
      </c>
    </row>
    <row r="1191" spans="1:6" hidden="1" x14ac:dyDescent="0.3">
      <c r="A1191">
        <v>2025</v>
      </c>
      <c r="B1191">
        <v>2</v>
      </c>
      <c r="C1191" s="105" t="s">
        <v>38</v>
      </c>
      <c r="D1191" s="105" t="s">
        <v>21</v>
      </c>
      <c r="E1191">
        <v>81</v>
      </c>
      <c r="F1191">
        <v>80276.289999999994</v>
      </c>
    </row>
    <row r="1192" spans="1:6" hidden="1" x14ac:dyDescent="0.3">
      <c r="A1192">
        <v>2025</v>
      </c>
      <c r="B1192">
        <v>2</v>
      </c>
      <c r="C1192" s="105" t="s">
        <v>38</v>
      </c>
      <c r="D1192" s="105" t="s">
        <v>22</v>
      </c>
      <c r="E1192">
        <v>40</v>
      </c>
      <c r="F1192">
        <v>28266.73</v>
      </c>
    </row>
    <row r="1193" spans="1:6" hidden="1" x14ac:dyDescent="0.3">
      <c r="A1193">
        <v>2025</v>
      </c>
      <c r="B1193">
        <v>2</v>
      </c>
      <c r="C1193" s="105" t="s">
        <v>38</v>
      </c>
      <c r="D1193" s="105" t="s">
        <v>23</v>
      </c>
      <c r="E1193">
        <v>21</v>
      </c>
      <c r="F1193">
        <v>20166.21</v>
      </c>
    </row>
    <row r="1194" spans="1:6" hidden="1" x14ac:dyDescent="0.3">
      <c r="A1194">
        <v>2025</v>
      </c>
      <c r="B1194">
        <v>2</v>
      </c>
      <c r="C1194" s="105" t="s">
        <v>38</v>
      </c>
      <c r="D1194" s="105" t="s">
        <v>24</v>
      </c>
      <c r="E1194">
        <v>54</v>
      </c>
      <c r="F1194">
        <v>39857.5</v>
      </c>
    </row>
    <row r="1195" spans="1:6" hidden="1" x14ac:dyDescent="0.3">
      <c r="A1195">
        <v>2025</v>
      </c>
      <c r="B1195">
        <v>2</v>
      </c>
      <c r="C1195" s="105" t="s">
        <v>38</v>
      </c>
      <c r="D1195" s="105" t="s">
        <v>25</v>
      </c>
      <c r="E1195">
        <v>81</v>
      </c>
      <c r="F1195">
        <v>64854.19</v>
      </c>
    </row>
    <row r="1196" spans="1:6" hidden="1" x14ac:dyDescent="0.3">
      <c r="A1196">
        <v>2025</v>
      </c>
      <c r="B1196">
        <v>2</v>
      </c>
      <c r="C1196" s="105" t="s">
        <v>38</v>
      </c>
      <c r="D1196" s="105" t="s">
        <v>26</v>
      </c>
      <c r="E1196">
        <v>22</v>
      </c>
      <c r="F1196">
        <v>19895.57</v>
      </c>
    </row>
    <row r="1197" spans="1:6" hidden="1" x14ac:dyDescent="0.3">
      <c r="A1197">
        <v>2025</v>
      </c>
      <c r="B1197">
        <v>2</v>
      </c>
      <c r="C1197" s="105" t="s">
        <v>38</v>
      </c>
      <c r="D1197" s="105" t="s">
        <v>27</v>
      </c>
      <c r="E1197">
        <v>30</v>
      </c>
      <c r="F1197">
        <v>26206.59</v>
      </c>
    </row>
    <row r="1198" spans="1:6" hidden="1" x14ac:dyDescent="0.3">
      <c r="A1198">
        <v>2025</v>
      </c>
      <c r="B1198">
        <v>2</v>
      </c>
      <c r="C1198" s="105" t="s">
        <v>38</v>
      </c>
      <c r="D1198" s="105" t="s">
        <v>28</v>
      </c>
      <c r="E1198">
        <v>13</v>
      </c>
      <c r="F1198">
        <v>9575.41</v>
      </c>
    </row>
    <row r="1199" spans="1:6" hidden="1" x14ac:dyDescent="0.3">
      <c r="A1199">
        <v>2025</v>
      </c>
      <c r="B1199">
        <v>2</v>
      </c>
      <c r="C1199" s="105" t="s">
        <v>38</v>
      </c>
      <c r="D1199" s="105" t="s">
        <v>29</v>
      </c>
      <c r="E1199">
        <v>63</v>
      </c>
      <c r="F1199">
        <v>58124.41</v>
      </c>
    </row>
    <row r="1200" spans="1:6" hidden="1" x14ac:dyDescent="0.3">
      <c r="A1200">
        <v>2025</v>
      </c>
      <c r="B1200">
        <v>2</v>
      </c>
      <c r="C1200" s="105" t="s">
        <v>38</v>
      </c>
      <c r="D1200" s="105" t="s">
        <v>30</v>
      </c>
      <c r="E1200">
        <v>6</v>
      </c>
      <c r="F1200">
        <v>5904.59</v>
      </c>
    </row>
    <row r="1201" spans="1:6" hidden="1" x14ac:dyDescent="0.3">
      <c r="A1201">
        <v>2025</v>
      </c>
      <c r="B1201">
        <v>2</v>
      </c>
      <c r="C1201" s="105" t="s">
        <v>38</v>
      </c>
      <c r="D1201" s="105" t="s">
        <v>31</v>
      </c>
      <c r="E1201">
        <v>117</v>
      </c>
      <c r="F1201">
        <v>107568.49</v>
      </c>
    </row>
    <row r="1202" spans="1:6" hidden="1" x14ac:dyDescent="0.3">
      <c r="A1202">
        <v>2025</v>
      </c>
      <c r="B1202">
        <v>2</v>
      </c>
      <c r="C1202" s="105" t="s">
        <v>38</v>
      </c>
      <c r="D1202" s="105" t="s">
        <v>51</v>
      </c>
      <c r="E1202">
        <v>2</v>
      </c>
      <c r="F1202">
        <v>525</v>
      </c>
    </row>
    <row r="1203" spans="1:6" hidden="1" x14ac:dyDescent="0.3">
      <c r="A1203">
        <v>2025</v>
      </c>
      <c r="B1203">
        <v>2</v>
      </c>
      <c r="C1203" s="105" t="s">
        <v>38</v>
      </c>
      <c r="D1203" s="105" t="s">
        <v>32</v>
      </c>
      <c r="E1203">
        <v>27</v>
      </c>
      <c r="F1203">
        <v>24195.85</v>
      </c>
    </row>
    <row r="1204" spans="1:6" hidden="1" x14ac:dyDescent="0.3">
      <c r="A1204">
        <v>2025</v>
      </c>
      <c r="B1204">
        <v>2</v>
      </c>
      <c r="C1204" s="105" t="s">
        <v>38</v>
      </c>
      <c r="D1204" s="105" t="s">
        <v>52</v>
      </c>
      <c r="E1204">
        <v>1</v>
      </c>
      <c r="F1204">
        <v>948</v>
      </c>
    </row>
    <row r="1205" spans="1:6" hidden="1" x14ac:dyDescent="0.3">
      <c r="A1205">
        <v>2025</v>
      </c>
      <c r="B1205">
        <v>2</v>
      </c>
      <c r="C1205" s="105" t="s">
        <v>38</v>
      </c>
      <c r="D1205" s="105" t="s">
        <v>33</v>
      </c>
      <c r="E1205">
        <v>122</v>
      </c>
      <c r="F1205">
        <v>121645.45</v>
      </c>
    </row>
    <row r="1206" spans="1:6" hidden="1" x14ac:dyDescent="0.3">
      <c r="A1206">
        <v>2025</v>
      </c>
      <c r="B1206">
        <v>2</v>
      </c>
      <c r="C1206" s="105" t="s">
        <v>38</v>
      </c>
      <c r="D1206" s="105" t="s">
        <v>34</v>
      </c>
      <c r="E1206">
        <v>68</v>
      </c>
      <c r="F1206">
        <v>63043.07</v>
      </c>
    </row>
    <row r="1207" spans="1:6" hidden="1" x14ac:dyDescent="0.3">
      <c r="A1207">
        <v>2025</v>
      </c>
      <c r="B1207">
        <v>2</v>
      </c>
      <c r="C1207" s="105" t="s">
        <v>38</v>
      </c>
      <c r="D1207" s="105" t="s">
        <v>53</v>
      </c>
      <c r="E1207">
        <v>2</v>
      </c>
      <c r="F1207">
        <v>1869</v>
      </c>
    </row>
    <row r="1208" spans="1:6" hidden="1" x14ac:dyDescent="0.3">
      <c r="A1208">
        <v>2025</v>
      </c>
      <c r="B1208">
        <v>2</v>
      </c>
      <c r="C1208" s="105" t="s">
        <v>38</v>
      </c>
      <c r="D1208" s="105" t="s">
        <v>35</v>
      </c>
      <c r="E1208">
        <v>46</v>
      </c>
      <c r="F1208">
        <v>38742.879999999997</v>
      </c>
    </row>
    <row r="1209" spans="1:6" hidden="1" x14ac:dyDescent="0.3">
      <c r="A1209">
        <v>2025</v>
      </c>
      <c r="B1209">
        <v>2</v>
      </c>
      <c r="C1209" s="105" t="s">
        <v>38</v>
      </c>
      <c r="D1209" s="105" t="s">
        <v>36</v>
      </c>
      <c r="E1209">
        <v>48</v>
      </c>
      <c r="F1209">
        <v>42150.79</v>
      </c>
    </row>
    <row r="1210" spans="1:6" hidden="1" x14ac:dyDescent="0.3">
      <c r="A1210">
        <v>2025</v>
      </c>
      <c r="B1210">
        <v>2</v>
      </c>
      <c r="C1210" s="105" t="s">
        <v>38</v>
      </c>
      <c r="D1210" s="105" t="s">
        <v>37</v>
      </c>
      <c r="E1210">
        <v>35</v>
      </c>
      <c r="F1210">
        <v>31437</v>
      </c>
    </row>
    <row r="1211" spans="1:6" hidden="1" x14ac:dyDescent="0.3">
      <c r="A1211">
        <v>2025</v>
      </c>
      <c r="B1211">
        <v>3</v>
      </c>
      <c r="C1211" s="105" t="s">
        <v>39</v>
      </c>
      <c r="D1211" s="105" t="s">
        <v>7</v>
      </c>
      <c r="E1211">
        <v>33</v>
      </c>
      <c r="F1211">
        <v>28412.62</v>
      </c>
    </row>
    <row r="1212" spans="1:6" hidden="1" x14ac:dyDescent="0.3">
      <c r="A1212">
        <v>2025</v>
      </c>
      <c r="B1212">
        <v>3</v>
      </c>
      <c r="C1212" s="105" t="s">
        <v>39</v>
      </c>
      <c r="D1212" s="105" t="s">
        <v>8</v>
      </c>
      <c r="E1212">
        <v>36</v>
      </c>
      <c r="F1212">
        <v>41031.15</v>
      </c>
    </row>
    <row r="1213" spans="1:6" hidden="1" x14ac:dyDescent="0.3">
      <c r="A1213">
        <v>2025</v>
      </c>
      <c r="B1213">
        <v>3</v>
      </c>
      <c r="C1213" s="105" t="s">
        <v>39</v>
      </c>
      <c r="D1213" s="105" t="s">
        <v>9</v>
      </c>
      <c r="E1213">
        <v>9</v>
      </c>
      <c r="F1213">
        <v>7403.95</v>
      </c>
    </row>
    <row r="1214" spans="1:6" hidden="1" x14ac:dyDescent="0.3">
      <c r="A1214">
        <v>2025</v>
      </c>
      <c r="B1214">
        <v>3</v>
      </c>
      <c r="C1214" s="105" t="s">
        <v>39</v>
      </c>
      <c r="D1214" s="105" t="s">
        <v>10</v>
      </c>
      <c r="E1214">
        <v>47</v>
      </c>
      <c r="F1214">
        <v>49898.239999999998</v>
      </c>
    </row>
    <row r="1215" spans="1:6" hidden="1" x14ac:dyDescent="0.3">
      <c r="A1215">
        <v>2025</v>
      </c>
      <c r="B1215">
        <v>3</v>
      </c>
      <c r="C1215" s="105" t="s">
        <v>39</v>
      </c>
      <c r="D1215" s="105" t="s">
        <v>11</v>
      </c>
      <c r="E1215">
        <v>53</v>
      </c>
      <c r="F1215">
        <v>46664.28</v>
      </c>
    </row>
    <row r="1216" spans="1:6" hidden="1" x14ac:dyDescent="0.3">
      <c r="A1216">
        <v>2025</v>
      </c>
      <c r="B1216">
        <v>3</v>
      </c>
      <c r="C1216" s="105" t="s">
        <v>39</v>
      </c>
      <c r="D1216" s="105" t="s">
        <v>12</v>
      </c>
      <c r="E1216">
        <v>59</v>
      </c>
      <c r="F1216">
        <v>41638.92</v>
      </c>
    </row>
    <row r="1217" spans="1:6" hidden="1" x14ac:dyDescent="0.3">
      <c r="A1217">
        <v>2025</v>
      </c>
      <c r="B1217">
        <v>3</v>
      </c>
      <c r="C1217" s="105" t="s">
        <v>39</v>
      </c>
      <c r="D1217" s="105" t="s">
        <v>13</v>
      </c>
      <c r="E1217">
        <v>86</v>
      </c>
      <c r="F1217">
        <v>71299.289999999994</v>
      </c>
    </row>
    <row r="1218" spans="1:6" hidden="1" x14ac:dyDescent="0.3">
      <c r="A1218">
        <v>2025</v>
      </c>
      <c r="B1218">
        <v>3</v>
      </c>
      <c r="C1218" s="105" t="s">
        <v>39</v>
      </c>
      <c r="D1218" s="105" t="s">
        <v>14</v>
      </c>
      <c r="E1218">
        <v>39</v>
      </c>
      <c r="F1218">
        <v>28442.86</v>
      </c>
    </row>
    <row r="1219" spans="1:6" hidden="1" x14ac:dyDescent="0.3">
      <c r="A1219">
        <v>2025</v>
      </c>
      <c r="B1219">
        <v>3</v>
      </c>
      <c r="C1219" s="105" t="s">
        <v>39</v>
      </c>
      <c r="D1219" s="105" t="s">
        <v>15</v>
      </c>
      <c r="E1219">
        <v>32</v>
      </c>
      <c r="F1219">
        <v>24666.67</v>
      </c>
    </row>
    <row r="1220" spans="1:6" hidden="1" x14ac:dyDescent="0.3">
      <c r="A1220">
        <v>2025</v>
      </c>
      <c r="B1220">
        <v>3</v>
      </c>
      <c r="C1220" s="105" t="s">
        <v>39</v>
      </c>
      <c r="D1220" s="105" t="s">
        <v>16</v>
      </c>
      <c r="E1220">
        <v>25</v>
      </c>
      <c r="F1220">
        <v>21275.91</v>
      </c>
    </row>
    <row r="1221" spans="1:6" hidden="1" x14ac:dyDescent="0.3">
      <c r="A1221">
        <v>2025</v>
      </c>
      <c r="B1221">
        <v>3</v>
      </c>
      <c r="C1221" s="105" t="s">
        <v>39</v>
      </c>
      <c r="D1221" s="105" t="s">
        <v>17</v>
      </c>
      <c r="E1221">
        <v>80</v>
      </c>
      <c r="F1221">
        <v>67094.19</v>
      </c>
    </row>
    <row r="1222" spans="1:6" hidden="1" x14ac:dyDescent="0.3">
      <c r="A1222">
        <v>2025</v>
      </c>
      <c r="B1222">
        <v>3</v>
      </c>
      <c r="C1222" s="105" t="s">
        <v>39</v>
      </c>
      <c r="D1222" s="105" t="s">
        <v>18</v>
      </c>
      <c r="E1222">
        <v>101</v>
      </c>
      <c r="F1222">
        <v>105307.94</v>
      </c>
    </row>
    <row r="1223" spans="1:6" hidden="1" x14ac:dyDescent="0.3">
      <c r="A1223">
        <v>2025</v>
      </c>
      <c r="B1223">
        <v>3</v>
      </c>
      <c r="C1223" s="105" t="s">
        <v>39</v>
      </c>
      <c r="D1223" s="105" t="s">
        <v>50</v>
      </c>
      <c r="E1223">
        <v>3</v>
      </c>
      <c r="F1223">
        <v>1338</v>
      </c>
    </row>
    <row r="1224" spans="1:6" hidden="1" x14ac:dyDescent="0.3">
      <c r="A1224">
        <v>2025</v>
      </c>
      <c r="B1224">
        <v>3</v>
      </c>
      <c r="C1224" s="105" t="s">
        <v>39</v>
      </c>
      <c r="D1224" s="105" t="s">
        <v>19</v>
      </c>
      <c r="E1224">
        <v>17</v>
      </c>
      <c r="F1224">
        <v>12782.44</v>
      </c>
    </row>
    <row r="1225" spans="1:6" x14ac:dyDescent="0.3">
      <c r="A1225">
        <v>2025</v>
      </c>
      <c r="B1225">
        <v>3</v>
      </c>
      <c r="C1225" s="105" t="s">
        <v>39</v>
      </c>
      <c r="D1225" s="105" t="s">
        <v>20</v>
      </c>
      <c r="E1225">
        <v>56</v>
      </c>
      <c r="F1225">
        <v>47117.86</v>
      </c>
    </row>
    <row r="1226" spans="1:6" hidden="1" x14ac:dyDescent="0.3">
      <c r="A1226">
        <v>2025</v>
      </c>
      <c r="B1226">
        <v>3</v>
      </c>
      <c r="C1226" s="105" t="s">
        <v>39</v>
      </c>
      <c r="D1226" s="105" t="s">
        <v>21</v>
      </c>
      <c r="E1226">
        <v>96</v>
      </c>
      <c r="F1226">
        <v>94688.91</v>
      </c>
    </row>
    <row r="1227" spans="1:6" hidden="1" x14ac:dyDescent="0.3">
      <c r="A1227">
        <v>2025</v>
      </c>
      <c r="B1227">
        <v>3</v>
      </c>
      <c r="C1227" s="105" t="s">
        <v>39</v>
      </c>
      <c r="D1227" s="105" t="s">
        <v>22</v>
      </c>
      <c r="E1227">
        <v>48</v>
      </c>
      <c r="F1227">
        <v>34384.57</v>
      </c>
    </row>
    <row r="1228" spans="1:6" hidden="1" x14ac:dyDescent="0.3">
      <c r="A1228">
        <v>2025</v>
      </c>
      <c r="B1228">
        <v>3</v>
      </c>
      <c r="C1228" s="105" t="s">
        <v>39</v>
      </c>
      <c r="D1228" s="105" t="s">
        <v>23</v>
      </c>
      <c r="E1228">
        <v>23</v>
      </c>
      <c r="F1228">
        <v>46363.87</v>
      </c>
    </row>
    <row r="1229" spans="1:6" hidden="1" x14ac:dyDescent="0.3">
      <c r="A1229">
        <v>2025</v>
      </c>
      <c r="B1229">
        <v>3</v>
      </c>
      <c r="C1229" s="105" t="s">
        <v>39</v>
      </c>
      <c r="D1229" s="105" t="s">
        <v>24</v>
      </c>
      <c r="E1229">
        <v>56</v>
      </c>
      <c r="F1229">
        <v>38978.89</v>
      </c>
    </row>
    <row r="1230" spans="1:6" hidden="1" x14ac:dyDescent="0.3">
      <c r="A1230">
        <v>2025</v>
      </c>
      <c r="B1230">
        <v>3</v>
      </c>
      <c r="C1230" s="105" t="s">
        <v>39</v>
      </c>
      <c r="D1230" s="105" t="s">
        <v>25</v>
      </c>
      <c r="E1230">
        <v>67</v>
      </c>
      <c r="F1230">
        <v>62149.55</v>
      </c>
    </row>
    <row r="1231" spans="1:6" hidden="1" x14ac:dyDescent="0.3">
      <c r="A1231">
        <v>2025</v>
      </c>
      <c r="B1231">
        <v>3</v>
      </c>
      <c r="C1231" s="105" t="s">
        <v>39</v>
      </c>
      <c r="D1231" s="105" t="s">
        <v>26</v>
      </c>
      <c r="E1231">
        <v>25</v>
      </c>
      <c r="F1231">
        <v>19437.2</v>
      </c>
    </row>
    <row r="1232" spans="1:6" hidden="1" x14ac:dyDescent="0.3">
      <c r="A1232">
        <v>2025</v>
      </c>
      <c r="B1232">
        <v>3</v>
      </c>
      <c r="C1232" s="105" t="s">
        <v>39</v>
      </c>
      <c r="D1232" s="105" t="s">
        <v>27</v>
      </c>
      <c r="E1232">
        <v>43</v>
      </c>
      <c r="F1232">
        <v>58175.47</v>
      </c>
    </row>
    <row r="1233" spans="1:6" hidden="1" x14ac:dyDescent="0.3">
      <c r="A1233">
        <v>2025</v>
      </c>
      <c r="B1233">
        <v>3</v>
      </c>
      <c r="C1233" s="105" t="s">
        <v>39</v>
      </c>
      <c r="D1233" s="105" t="s">
        <v>28</v>
      </c>
      <c r="E1233">
        <v>17</v>
      </c>
      <c r="F1233">
        <v>12711.05</v>
      </c>
    </row>
    <row r="1234" spans="1:6" hidden="1" x14ac:dyDescent="0.3">
      <c r="A1234">
        <v>2025</v>
      </c>
      <c r="B1234">
        <v>3</v>
      </c>
      <c r="C1234" s="105" t="s">
        <v>39</v>
      </c>
      <c r="D1234" s="105" t="s">
        <v>29</v>
      </c>
      <c r="E1234">
        <v>74</v>
      </c>
      <c r="F1234">
        <v>68074.53</v>
      </c>
    </row>
    <row r="1235" spans="1:6" hidden="1" x14ac:dyDescent="0.3">
      <c r="A1235">
        <v>2025</v>
      </c>
      <c r="B1235">
        <v>3</v>
      </c>
      <c r="C1235" s="105" t="s">
        <v>39</v>
      </c>
      <c r="D1235" s="105" t="s">
        <v>30</v>
      </c>
      <c r="E1235">
        <v>21</v>
      </c>
      <c r="F1235">
        <v>17225.490000000002</v>
      </c>
    </row>
    <row r="1236" spans="1:6" hidden="1" x14ac:dyDescent="0.3">
      <c r="A1236">
        <v>2025</v>
      </c>
      <c r="B1236">
        <v>3</v>
      </c>
      <c r="C1236" s="105" t="s">
        <v>39</v>
      </c>
      <c r="D1236" s="105" t="s">
        <v>31</v>
      </c>
      <c r="E1236">
        <v>124</v>
      </c>
      <c r="F1236">
        <v>119287.94</v>
      </c>
    </row>
    <row r="1237" spans="1:6" hidden="1" x14ac:dyDescent="0.3">
      <c r="A1237">
        <v>2025</v>
      </c>
      <c r="B1237">
        <v>3</v>
      </c>
      <c r="C1237" s="105" t="s">
        <v>39</v>
      </c>
      <c r="D1237" s="105" t="s">
        <v>51</v>
      </c>
      <c r="E1237">
        <v>2</v>
      </c>
      <c r="F1237">
        <v>1465</v>
      </c>
    </row>
    <row r="1238" spans="1:6" hidden="1" x14ac:dyDescent="0.3">
      <c r="A1238">
        <v>2025</v>
      </c>
      <c r="B1238">
        <v>3</v>
      </c>
      <c r="C1238" s="105" t="s">
        <v>39</v>
      </c>
      <c r="D1238" s="105" t="s">
        <v>32</v>
      </c>
      <c r="E1238">
        <v>46</v>
      </c>
      <c r="F1238">
        <v>41692.959999999999</v>
      </c>
    </row>
    <row r="1239" spans="1:6" hidden="1" x14ac:dyDescent="0.3">
      <c r="A1239">
        <v>2025</v>
      </c>
      <c r="B1239">
        <v>3</v>
      </c>
      <c r="C1239" s="105" t="s">
        <v>39</v>
      </c>
      <c r="D1239" s="105" t="s">
        <v>33</v>
      </c>
      <c r="E1239">
        <v>113</v>
      </c>
      <c r="F1239">
        <v>111843.18</v>
      </c>
    </row>
    <row r="1240" spans="1:6" hidden="1" x14ac:dyDescent="0.3">
      <c r="A1240">
        <v>2025</v>
      </c>
      <c r="B1240">
        <v>3</v>
      </c>
      <c r="C1240" s="105" t="s">
        <v>39</v>
      </c>
      <c r="D1240" s="105" t="s">
        <v>34</v>
      </c>
      <c r="E1240">
        <v>73</v>
      </c>
      <c r="F1240">
        <v>63092.71</v>
      </c>
    </row>
    <row r="1241" spans="1:6" hidden="1" x14ac:dyDescent="0.3">
      <c r="A1241">
        <v>2025</v>
      </c>
      <c r="B1241">
        <v>3</v>
      </c>
      <c r="C1241" s="105" t="s">
        <v>39</v>
      </c>
      <c r="D1241" s="105" t="s">
        <v>35</v>
      </c>
      <c r="E1241">
        <v>49</v>
      </c>
      <c r="F1241">
        <v>41069.120000000003</v>
      </c>
    </row>
    <row r="1242" spans="1:6" hidden="1" x14ac:dyDescent="0.3">
      <c r="A1242">
        <v>2025</v>
      </c>
      <c r="B1242">
        <v>3</v>
      </c>
      <c r="C1242" s="105" t="s">
        <v>39</v>
      </c>
      <c r="D1242" s="105" t="s">
        <v>36</v>
      </c>
      <c r="E1242">
        <v>48</v>
      </c>
      <c r="F1242">
        <v>40990.03</v>
      </c>
    </row>
    <row r="1243" spans="1:6" hidden="1" x14ac:dyDescent="0.3">
      <c r="A1243">
        <v>2025</v>
      </c>
      <c r="B1243">
        <v>3</v>
      </c>
      <c r="C1243" s="105" t="s">
        <v>39</v>
      </c>
      <c r="D1243" s="105" t="s">
        <v>37</v>
      </c>
      <c r="E1243">
        <v>59</v>
      </c>
      <c r="F1243">
        <v>54510.2</v>
      </c>
    </row>
    <row r="1244" spans="1:6" hidden="1" x14ac:dyDescent="0.3">
      <c r="A1244">
        <v>2025</v>
      </c>
      <c r="B1244">
        <v>4</v>
      </c>
      <c r="C1244" s="105" t="s">
        <v>40</v>
      </c>
      <c r="D1244" s="105" t="s">
        <v>7</v>
      </c>
      <c r="E1244">
        <v>27</v>
      </c>
      <c r="F1244">
        <v>25583.22</v>
      </c>
    </row>
    <row r="1245" spans="1:6" hidden="1" x14ac:dyDescent="0.3">
      <c r="A1245">
        <v>2025</v>
      </c>
      <c r="B1245">
        <v>4</v>
      </c>
      <c r="C1245" s="105" t="s">
        <v>40</v>
      </c>
      <c r="D1245" s="105" t="s">
        <v>8</v>
      </c>
      <c r="E1245">
        <v>23</v>
      </c>
      <c r="F1245">
        <v>15598.31</v>
      </c>
    </row>
    <row r="1246" spans="1:6" hidden="1" x14ac:dyDescent="0.3">
      <c r="A1246">
        <v>2025</v>
      </c>
      <c r="B1246">
        <v>4</v>
      </c>
      <c r="C1246" s="105" t="s">
        <v>40</v>
      </c>
      <c r="D1246" s="105" t="s">
        <v>9</v>
      </c>
      <c r="E1246">
        <v>11</v>
      </c>
      <c r="F1246">
        <v>7277.56</v>
      </c>
    </row>
    <row r="1247" spans="1:6" hidden="1" x14ac:dyDescent="0.3">
      <c r="A1247">
        <v>2025</v>
      </c>
      <c r="B1247">
        <v>4</v>
      </c>
      <c r="C1247" s="105" t="s">
        <v>40</v>
      </c>
      <c r="D1247" s="105" t="s">
        <v>10</v>
      </c>
      <c r="E1247">
        <v>63</v>
      </c>
      <c r="F1247">
        <v>62133.35</v>
      </c>
    </row>
    <row r="1248" spans="1:6" hidden="1" x14ac:dyDescent="0.3">
      <c r="A1248">
        <v>2025</v>
      </c>
      <c r="B1248">
        <v>4</v>
      </c>
      <c r="C1248" s="105" t="s">
        <v>40</v>
      </c>
      <c r="D1248" s="105" t="s">
        <v>11</v>
      </c>
      <c r="E1248">
        <v>35</v>
      </c>
      <c r="F1248">
        <v>27822.5</v>
      </c>
    </row>
    <row r="1249" spans="1:6" hidden="1" x14ac:dyDescent="0.3">
      <c r="A1249">
        <v>2025</v>
      </c>
      <c r="B1249">
        <v>4</v>
      </c>
      <c r="C1249" s="105" t="s">
        <v>40</v>
      </c>
      <c r="D1249" s="105" t="s">
        <v>12</v>
      </c>
      <c r="E1249">
        <v>71</v>
      </c>
      <c r="F1249">
        <v>109583.01</v>
      </c>
    </row>
    <row r="1250" spans="1:6" hidden="1" x14ac:dyDescent="0.3">
      <c r="A1250">
        <v>2025</v>
      </c>
      <c r="B1250">
        <v>4</v>
      </c>
      <c r="C1250" s="105" t="s">
        <v>40</v>
      </c>
      <c r="D1250" s="105" t="s">
        <v>13</v>
      </c>
      <c r="E1250">
        <v>73</v>
      </c>
      <c r="F1250">
        <v>68045.210000000006</v>
      </c>
    </row>
    <row r="1251" spans="1:6" hidden="1" x14ac:dyDescent="0.3">
      <c r="A1251">
        <v>2025</v>
      </c>
      <c r="B1251">
        <v>4</v>
      </c>
      <c r="C1251" s="105" t="s">
        <v>40</v>
      </c>
      <c r="D1251" s="105" t="s">
        <v>14</v>
      </c>
      <c r="E1251">
        <v>52</v>
      </c>
      <c r="F1251">
        <v>33248.47</v>
      </c>
    </row>
    <row r="1252" spans="1:6" hidden="1" x14ac:dyDescent="0.3">
      <c r="A1252">
        <v>2025</v>
      </c>
      <c r="B1252">
        <v>4</v>
      </c>
      <c r="C1252" s="105" t="s">
        <v>40</v>
      </c>
      <c r="D1252" s="105" t="s">
        <v>15</v>
      </c>
      <c r="E1252">
        <v>23</v>
      </c>
      <c r="F1252">
        <v>19532.259999999998</v>
      </c>
    </row>
    <row r="1253" spans="1:6" hidden="1" x14ac:dyDescent="0.3">
      <c r="A1253">
        <v>2025</v>
      </c>
      <c r="B1253">
        <v>4</v>
      </c>
      <c r="C1253" s="105" t="s">
        <v>40</v>
      </c>
      <c r="D1253" s="105" t="s">
        <v>16</v>
      </c>
      <c r="E1253">
        <v>22</v>
      </c>
      <c r="F1253">
        <v>16482.28</v>
      </c>
    </row>
    <row r="1254" spans="1:6" hidden="1" x14ac:dyDescent="0.3">
      <c r="A1254">
        <v>2025</v>
      </c>
      <c r="B1254">
        <v>4</v>
      </c>
      <c r="C1254" s="105" t="s">
        <v>40</v>
      </c>
      <c r="D1254" s="105" t="s">
        <v>17</v>
      </c>
      <c r="E1254">
        <v>74</v>
      </c>
      <c r="F1254">
        <v>60599.39</v>
      </c>
    </row>
    <row r="1255" spans="1:6" hidden="1" x14ac:dyDescent="0.3">
      <c r="A1255">
        <v>2025</v>
      </c>
      <c r="B1255">
        <v>4</v>
      </c>
      <c r="C1255" s="105" t="s">
        <v>40</v>
      </c>
      <c r="D1255" s="105" t="s">
        <v>18</v>
      </c>
      <c r="E1255">
        <v>117</v>
      </c>
      <c r="F1255">
        <v>97785.48</v>
      </c>
    </row>
    <row r="1256" spans="1:6" hidden="1" x14ac:dyDescent="0.3">
      <c r="A1256">
        <v>2025</v>
      </c>
      <c r="B1256">
        <v>4</v>
      </c>
      <c r="C1256" s="105" t="s">
        <v>40</v>
      </c>
      <c r="D1256" s="105" t="s">
        <v>50</v>
      </c>
      <c r="E1256">
        <v>1</v>
      </c>
      <c r="F1256">
        <v>350</v>
      </c>
    </row>
    <row r="1257" spans="1:6" hidden="1" x14ac:dyDescent="0.3">
      <c r="A1257">
        <v>2025</v>
      </c>
      <c r="B1257">
        <v>4</v>
      </c>
      <c r="C1257" s="105" t="s">
        <v>40</v>
      </c>
      <c r="D1257" s="105" t="s">
        <v>19</v>
      </c>
      <c r="E1257">
        <v>14</v>
      </c>
      <c r="F1257">
        <v>8883.84</v>
      </c>
    </row>
    <row r="1258" spans="1:6" x14ac:dyDescent="0.3">
      <c r="A1258">
        <v>2025</v>
      </c>
      <c r="B1258">
        <v>4</v>
      </c>
      <c r="C1258" s="105" t="s">
        <v>40</v>
      </c>
      <c r="D1258" s="105" t="s">
        <v>20</v>
      </c>
      <c r="E1258">
        <v>38</v>
      </c>
      <c r="F1258">
        <v>30777.1</v>
      </c>
    </row>
    <row r="1259" spans="1:6" hidden="1" x14ac:dyDescent="0.3">
      <c r="A1259">
        <v>2025</v>
      </c>
      <c r="B1259">
        <v>4</v>
      </c>
      <c r="C1259" s="105" t="s">
        <v>40</v>
      </c>
      <c r="D1259" s="105" t="s">
        <v>21</v>
      </c>
      <c r="E1259">
        <v>66</v>
      </c>
      <c r="F1259">
        <v>65249.14</v>
      </c>
    </row>
    <row r="1260" spans="1:6" hidden="1" x14ac:dyDescent="0.3">
      <c r="A1260">
        <v>2025</v>
      </c>
      <c r="B1260">
        <v>4</v>
      </c>
      <c r="C1260" s="105" t="s">
        <v>40</v>
      </c>
      <c r="D1260" s="105" t="s">
        <v>22</v>
      </c>
      <c r="E1260">
        <v>40</v>
      </c>
      <c r="F1260">
        <v>28247.23</v>
      </c>
    </row>
    <row r="1261" spans="1:6" hidden="1" x14ac:dyDescent="0.3">
      <c r="A1261">
        <v>2025</v>
      </c>
      <c r="B1261">
        <v>4</v>
      </c>
      <c r="C1261" s="105" t="s">
        <v>40</v>
      </c>
      <c r="D1261" s="105" t="s">
        <v>23</v>
      </c>
      <c r="E1261">
        <v>31</v>
      </c>
      <c r="F1261">
        <v>30902.01</v>
      </c>
    </row>
    <row r="1262" spans="1:6" hidden="1" x14ac:dyDescent="0.3">
      <c r="A1262">
        <v>2025</v>
      </c>
      <c r="B1262">
        <v>4</v>
      </c>
      <c r="C1262" s="105" t="s">
        <v>40</v>
      </c>
      <c r="D1262" s="105" t="s">
        <v>24</v>
      </c>
      <c r="E1262">
        <v>63</v>
      </c>
      <c r="F1262">
        <v>42245.91</v>
      </c>
    </row>
    <row r="1263" spans="1:6" hidden="1" x14ac:dyDescent="0.3">
      <c r="A1263">
        <v>2025</v>
      </c>
      <c r="B1263">
        <v>4</v>
      </c>
      <c r="C1263" s="105" t="s">
        <v>40</v>
      </c>
      <c r="D1263" s="105" t="s">
        <v>25</v>
      </c>
      <c r="E1263">
        <v>105</v>
      </c>
      <c r="F1263">
        <v>87841.69</v>
      </c>
    </row>
    <row r="1264" spans="1:6" hidden="1" x14ac:dyDescent="0.3">
      <c r="A1264">
        <v>2025</v>
      </c>
      <c r="B1264">
        <v>4</v>
      </c>
      <c r="C1264" s="105" t="s">
        <v>40</v>
      </c>
      <c r="D1264" s="105" t="s">
        <v>26</v>
      </c>
      <c r="E1264">
        <v>24</v>
      </c>
      <c r="F1264">
        <v>22963.77</v>
      </c>
    </row>
    <row r="1265" spans="1:6" hidden="1" x14ac:dyDescent="0.3">
      <c r="A1265">
        <v>2025</v>
      </c>
      <c r="B1265">
        <v>4</v>
      </c>
      <c r="C1265" s="105" t="s">
        <v>40</v>
      </c>
      <c r="D1265" s="105" t="s">
        <v>27</v>
      </c>
      <c r="E1265">
        <v>39</v>
      </c>
      <c r="F1265">
        <v>31462.080000000002</v>
      </c>
    </row>
    <row r="1266" spans="1:6" hidden="1" x14ac:dyDescent="0.3">
      <c r="A1266">
        <v>2025</v>
      </c>
      <c r="B1266">
        <v>4</v>
      </c>
      <c r="C1266" s="105" t="s">
        <v>40</v>
      </c>
      <c r="D1266" s="105" t="s">
        <v>28</v>
      </c>
      <c r="E1266">
        <v>11</v>
      </c>
      <c r="F1266">
        <v>8005.82</v>
      </c>
    </row>
    <row r="1267" spans="1:6" hidden="1" x14ac:dyDescent="0.3">
      <c r="A1267">
        <v>2025</v>
      </c>
      <c r="B1267">
        <v>4</v>
      </c>
      <c r="C1267" s="105" t="s">
        <v>40</v>
      </c>
      <c r="D1267" s="105" t="s">
        <v>29</v>
      </c>
      <c r="E1267">
        <v>57</v>
      </c>
      <c r="F1267">
        <v>51983.040000000001</v>
      </c>
    </row>
    <row r="1268" spans="1:6" hidden="1" x14ac:dyDescent="0.3">
      <c r="A1268">
        <v>2025</v>
      </c>
      <c r="B1268">
        <v>4</v>
      </c>
      <c r="C1268" s="105" t="s">
        <v>40</v>
      </c>
      <c r="D1268" s="105" t="s">
        <v>30</v>
      </c>
      <c r="E1268">
        <v>21</v>
      </c>
      <c r="F1268">
        <v>14227.34</v>
      </c>
    </row>
    <row r="1269" spans="1:6" hidden="1" x14ac:dyDescent="0.3">
      <c r="A1269">
        <v>2025</v>
      </c>
      <c r="B1269">
        <v>4</v>
      </c>
      <c r="C1269" s="105" t="s">
        <v>40</v>
      </c>
      <c r="D1269" s="105" t="s">
        <v>31</v>
      </c>
      <c r="E1269">
        <v>140</v>
      </c>
      <c r="F1269">
        <v>125084.54</v>
      </c>
    </row>
    <row r="1270" spans="1:6" hidden="1" x14ac:dyDescent="0.3">
      <c r="A1270">
        <v>2025</v>
      </c>
      <c r="B1270">
        <v>4</v>
      </c>
      <c r="C1270" s="105" t="s">
        <v>40</v>
      </c>
      <c r="D1270" s="105" t="s">
        <v>51</v>
      </c>
      <c r="E1270">
        <v>5</v>
      </c>
      <c r="F1270">
        <v>3047</v>
      </c>
    </row>
    <row r="1271" spans="1:6" hidden="1" x14ac:dyDescent="0.3">
      <c r="A1271">
        <v>2025</v>
      </c>
      <c r="B1271">
        <v>4</v>
      </c>
      <c r="C1271" s="105" t="s">
        <v>40</v>
      </c>
      <c r="D1271" s="105" t="s">
        <v>32</v>
      </c>
      <c r="E1271">
        <v>62</v>
      </c>
      <c r="F1271">
        <v>48554.97</v>
      </c>
    </row>
    <row r="1272" spans="1:6" hidden="1" x14ac:dyDescent="0.3">
      <c r="A1272">
        <v>2025</v>
      </c>
      <c r="B1272">
        <v>4</v>
      </c>
      <c r="C1272" s="105" t="s">
        <v>40</v>
      </c>
      <c r="D1272" s="105" t="s">
        <v>52</v>
      </c>
      <c r="E1272">
        <v>2</v>
      </c>
      <c r="F1272">
        <v>2023</v>
      </c>
    </row>
    <row r="1273" spans="1:6" hidden="1" x14ac:dyDescent="0.3">
      <c r="A1273">
        <v>2025</v>
      </c>
      <c r="B1273">
        <v>4</v>
      </c>
      <c r="C1273" s="105" t="s">
        <v>40</v>
      </c>
      <c r="D1273" s="105" t="s">
        <v>33</v>
      </c>
      <c r="E1273">
        <v>140</v>
      </c>
      <c r="F1273">
        <v>123280.72</v>
      </c>
    </row>
    <row r="1274" spans="1:6" hidden="1" x14ac:dyDescent="0.3">
      <c r="A1274">
        <v>2025</v>
      </c>
      <c r="B1274">
        <v>4</v>
      </c>
      <c r="C1274" s="105" t="s">
        <v>40</v>
      </c>
      <c r="D1274" s="105" t="s">
        <v>34</v>
      </c>
      <c r="E1274">
        <v>73</v>
      </c>
      <c r="F1274">
        <v>63188.6</v>
      </c>
    </row>
    <row r="1275" spans="1:6" hidden="1" x14ac:dyDescent="0.3">
      <c r="A1275">
        <v>2025</v>
      </c>
      <c r="B1275">
        <v>4</v>
      </c>
      <c r="C1275" s="105" t="s">
        <v>40</v>
      </c>
      <c r="D1275" s="105" t="s">
        <v>53</v>
      </c>
      <c r="E1275">
        <v>2</v>
      </c>
      <c r="F1275">
        <v>1625</v>
      </c>
    </row>
    <row r="1276" spans="1:6" hidden="1" x14ac:dyDescent="0.3">
      <c r="A1276">
        <v>2025</v>
      </c>
      <c r="B1276">
        <v>4</v>
      </c>
      <c r="C1276" s="105" t="s">
        <v>40</v>
      </c>
      <c r="D1276" s="105" t="s">
        <v>35</v>
      </c>
      <c r="E1276">
        <v>39</v>
      </c>
      <c r="F1276">
        <v>38820.07</v>
      </c>
    </row>
    <row r="1277" spans="1:6" hidden="1" x14ac:dyDescent="0.3">
      <c r="A1277">
        <v>2025</v>
      </c>
      <c r="B1277">
        <v>4</v>
      </c>
      <c r="C1277" s="105" t="s">
        <v>40</v>
      </c>
      <c r="D1277" s="105" t="s">
        <v>36</v>
      </c>
      <c r="E1277">
        <v>55</v>
      </c>
      <c r="F1277">
        <v>49930.6</v>
      </c>
    </row>
    <row r="1278" spans="1:6" hidden="1" x14ac:dyDescent="0.3">
      <c r="A1278">
        <v>2025</v>
      </c>
      <c r="B1278">
        <v>4</v>
      </c>
      <c r="C1278" s="105" t="s">
        <v>40</v>
      </c>
      <c r="D1278" s="105" t="s">
        <v>37</v>
      </c>
      <c r="E1278">
        <v>49</v>
      </c>
      <c r="F1278">
        <v>49235.13</v>
      </c>
    </row>
    <row r="1279" spans="1:6" hidden="1" x14ac:dyDescent="0.3">
      <c r="A1279">
        <v>2025</v>
      </c>
      <c r="B1279">
        <v>5</v>
      </c>
      <c r="C1279" s="105" t="s">
        <v>41</v>
      </c>
      <c r="D1279" s="105" t="s">
        <v>7</v>
      </c>
      <c r="E1279">
        <v>35</v>
      </c>
      <c r="F1279">
        <v>27415.33</v>
      </c>
    </row>
    <row r="1280" spans="1:6" hidden="1" x14ac:dyDescent="0.3">
      <c r="A1280">
        <v>2025</v>
      </c>
      <c r="B1280">
        <v>5</v>
      </c>
      <c r="C1280" s="105" t="s">
        <v>41</v>
      </c>
      <c r="D1280" s="105" t="s">
        <v>8</v>
      </c>
      <c r="E1280">
        <v>39</v>
      </c>
      <c r="F1280">
        <v>30094.43</v>
      </c>
    </row>
    <row r="1281" spans="1:6" hidden="1" x14ac:dyDescent="0.3">
      <c r="A1281">
        <v>2025</v>
      </c>
      <c r="B1281">
        <v>5</v>
      </c>
      <c r="C1281" s="105" t="s">
        <v>41</v>
      </c>
      <c r="D1281" s="105" t="s">
        <v>9</v>
      </c>
      <c r="E1281">
        <v>16</v>
      </c>
      <c r="F1281">
        <v>12334.29</v>
      </c>
    </row>
    <row r="1282" spans="1:6" hidden="1" x14ac:dyDescent="0.3">
      <c r="A1282">
        <v>2025</v>
      </c>
      <c r="B1282">
        <v>5</v>
      </c>
      <c r="C1282" s="105" t="s">
        <v>41</v>
      </c>
      <c r="D1282" s="105" t="s">
        <v>10</v>
      </c>
      <c r="E1282">
        <v>115</v>
      </c>
      <c r="F1282">
        <v>83831.81</v>
      </c>
    </row>
    <row r="1283" spans="1:6" hidden="1" x14ac:dyDescent="0.3">
      <c r="A1283">
        <v>2025</v>
      </c>
      <c r="B1283">
        <v>5</v>
      </c>
      <c r="C1283" s="105" t="s">
        <v>41</v>
      </c>
      <c r="D1283" s="105" t="s">
        <v>11</v>
      </c>
      <c r="E1283">
        <v>65</v>
      </c>
      <c r="F1283">
        <v>55061.919999999998</v>
      </c>
    </row>
    <row r="1284" spans="1:6" hidden="1" x14ac:dyDescent="0.3">
      <c r="A1284">
        <v>2025</v>
      </c>
      <c r="B1284">
        <v>5</v>
      </c>
      <c r="C1284" s="105" t="s">
        <v>41</v>
      </c>
      <c r="D1284" s="105" t="s">
        <v>12</v>
      </c>
      <c r="E1284">
        <v>80</v>
      </c>
      <c r="F1284">
        <v>78551.05</v>
      </c>
    </row>
    <row r="1285" spans="1:6" hidden="1" x14ac:dyDescent="0.3">
      <c r="A1285">
        <v>2025</v>
      </c>
      <c r="B1285">
        <v>5</v>
      </c>
      <c r="C1285" s="105" t="s">
        <v>41</v>
      </c>
      <c r="D1285" s="105" t="s">
        <v>13</v>
      </c>
      <c r="E1285">
        <v>100</v>
      </c>
      <c r="F1285">
        <v>69540.789999999994</v>
      </c>
    </row>
    <row r="1286" spans="1:6" hidden="1" x14ac:dyDescent="0.3">
      <c r="A1286">
        <v>2025</v>
      </c>
      <c r="B1286">
        <v>5</v>
      </c>
      <c r="C1286" s="105" t="s">
        <v>41</v>
      </c>
      <c r="D1286" s="105" t="s">
        <v>14</v>
      </c>
      <c r="E1286">
        <v>54</v>
      </c>
      <c r="F1286">
        <v>38849.42</v>
      </c>
    </row>
    <row r="1287" spans="1:6" hidden="1" x14ac:dyDescent="0.3">
      <c r="A1287">
        <v>2025</v>
      </c>
      <c r="B1287">
        <v>5</v>
      </c>
      <c r="C1287" s="105" t="s">
        <v>41</v>
      </c>
      <c r="D1287" s="105" t="s">
        <v>15</v>
      </c>
      <c r="E1287">
        <v>26</v>
      </c>
      <c r="F1287">
        <v>20661.810000000001</v>
      </c>
    </row>
    <row r="1288" spans="1:6" hidden="1" x14ac:dyDescent="0.3">
      <c r="A1288">
        <v>2025</v>
      </c>
      <c r="B1288">
        <v>5</v>
      </c>
      <c r="C1288" s="105" t="s">
        <v>41</v>
      </c>
      <c r="D1288" s="105" t="s">
        <v>16</v>
      </c>
      <c r="E1288">
        <v>24</v>
      </c>
      <c r="F1288">
        <v>25768.85</v>
      </c>
    </row>
    <row r="1289" spans="1:6" hidden="1" x14ac:dyDescent="0.3">
      <c r="A1289">
        <v>2025</v>
      </c>
      <c r="B1289">
        <v>5</v>
      </c>
      <c r="C1289" s="105" t="s">
        <v>41</v>
      </c>
      <c r="D1289" s="105" t="s">
        <v>54</v>
      </c>
      <c r="E1289">
        <v>1</v>
      </c>
      <c r="F1289">
        <v>250</v>
      </c>
    </row>
    <row r="1290" spans="1:6" hidden="1" x14ac:dyDescent="0.3">
      <c r="A1290">
        <v>2025</v>
      </c>
      <c r="B1290">
        <v>5</v>
      </c>
      <c r="C1290" s="105" t="s">
        <v>41</v>
      </c>
      <c r="D1290" s="105" t="s">
        <v>17</v>
      </c>
      <c r="E1290">
        <v>86</v>
      </c>
      <c r="F1290">
        <v>85015.73</v>
      </c>
    </row>
    <row r="1291" spans="1:6" hidden="1" x14ac:dyDescent="0.3">
      <c r="A1291">
        <v>2025</v>
      </c>
      <c r="B1291">
        <v>5</v>
      </c>
      <c r="C1291" s="105" t="s">
        <v>41</v>
      </c>
      <c r="D1291" s="105" t="s">
        <v>18</v>
      </c>
      <c r="E1291">
        <v>123</v>
      </c>
      <c r="F1291">
        <v>119174.61</v>
      </c>
    </row>
    <row r="1292" spans="1:6" hidden="1" x14ac:dyDescent="0.3">
      <c r="A1292">
        <v>2025</v>
      </c>
      <c r="B1292">
        <v>5</v>
      </c>
      <c r="C1292" s="105" t="s">
        <v>41</v>
      </c>
      <c r="D1292" s="105" t="s">
        <v>50</v>
      </c>
      <c r="E1292">
        <v>6</v>
      </c>
      <c r="F1292">
        <v>4529</v>
      </c>
    </row>
    <row r="1293" spans="1:6" hidden="1" x14ac:dyDescent="0.3">
      <c r="A1293">
        <v>2025</v>
      </c>
      <c r="B1293">
        <v>5</v>
      </c>
      <c r="C1293" s="105" t="s">
        <v>41</v>
      </c>
      <c r="D1293" s="105" t="s">
        <v>55</v>
      </c>
      <c r="E1293">
        <v>1</v>
      </c>
      <c r="F1293">
        <v>888</v>
      </c>
    </row>
    <row r="1294" spans="1:6" hidden="1" x14ac:dyDescent="0.3">
      <c r="A1294">
        <v>2025</v>
      </c>
      <c r="B1294">
        <v>5</v>
      </c>
      <c r="C1294" s="105" t="s">
        <v>41</v>
      </c>
      <c r="D1294" s="105" t="s">
        <v>19</v>
      </c>
      <c r="E1294">
        <v>22</v>
      </c>
      <c r="F1294">
        <v>16060.94</v>
      </c>
    </row>
    <row r="1295" spans="1:6" x14ac:dyDescent="0.3">
      <c r="A1295">
        <v>2025</v>
      </c>
      <c r="B1295">
        <v>5</v>
      </c>
      <c r="C1295" s="105" t="s">
        <v>41</v>
      </c>
      <c r="D1295" s="105" t="s">
        <v>20</v>
      </c>
      <c r="E1295">
        <v>68</v>
      </c>
      <c r="F1295">
        <v>52600.72</v>
      </c>
    </row>
    <row r="1296" spans="1:6" hidden="1" x14ac:dyDescent="0.3">
      <c r="A1296">
        <v>2025</v>
      </c>
      <c r="B1296">
        <v>5</v>
      </c>
      <c r="C1296" s="105" t="s">
        <v>41</v>
      </c>
      <c r="D1296" s="105" t="s">
        <v>21</v>
      </c>
      <c r="E1296">
        <v>107</v>
      </c>
      <c r="F1296">
        <v>97560.85</v>
      </c>
    </row>
    <row r="1297" spans="1:6" hidden="1" x14ac:dyDescent="0.3">
      <c r="A1297">
        <v>2025</v>
      </c>
      <c r="B1297">
        <v>5</v>
      </c>
      <c r="C1297" s="105" t="s">
        <v>41</v>
      </c>
      <c r="D1297" s="105" t="s">
        <v>22</v>
      </c>
      <c r="E1297">
        <v>68</v>
      </c>
      <c r="F1297">
        <v>44556.14</v>
      </c>
    </row>
    <row r="1298" spans="1:6" hidden="1" x14ac:dyDescent="0.3">
      <c r="A1298">
        <v>2025</v>
      </c>
      <c r="B1298">
        <v>5</v>
      </c>
      <c r="C1298" s="105" t="s">
        <v>41</v>
      </c>
      <c r="D1298" s="105" t="s">
        <v>23</v>
      </c>
      <c r="E1298">
        <v>36</v>
      </c>
      <c r="F1298">
        <v>28995.37</v>
      </c>
    </row>
    <row r="1299" spans="1:6" hidden="1" x14ac:dyDescent="0.3">
      <c r="A1299">
        <v>2025</v>
      </c>
      <c r="B1299">
        <v>5</v>
      </c>
      <c r="C1299" s="105" t="s">
        <v>41</v>
      </c>
      <c r="D1299" s="105" t="s">
        <v>24</v>
      </c>
      <c r="E1299">
        <v>55</v>
      </c>
      <c r="F1299">
        <v>40151.269999999997</v>
      </c>
    </row>
    <row r="1300" spans="1:6" hidden="1" x14ac:dyDescent="0.3">
      <c r="A1300">
        <v>2025</v>
      </c>
      <c r="B1300">
        <v>5</v>
      </c>
      <c r="C1300" s="105" t="s">
        <v>41</v>
      </c>
      <c r="D1300" s="105" t="s">
        <v>25</v>
      </c>
      <c r="E1300">
        <v>102</v>
      </c>
      <c r="F1300">
        <v>84132.63</v>
      </c>
    </row>
    <row r="1301" spans="1:6" hidden="1" x14ac:dyDescent="0.3">
      <c r="A1301">
        <v>2025</v>
      </c>
      <c r="B1301">
        <v>5</v>
      </c>
      <c r="C1301" s="105" t="s">
        <v>41</v>
      </c>
      <c r="D1301" s="105" t="s">
        <v>26</v>
      </c>
      <c r="E1301">
        <v>29</v>
      </c>
      <c r="F1301">
        <v>24995.41</v>
      </c>
    </row>
    <row r="1302" spans="1:6" hidden="1" x14ac:dyDescent="0.3">
      <c r="A1302">
        <v>2025</v>
      </c>
      <c r="B1302">
        <v>5</v>
      </c>
      <c r="C1302" s="105" t="s">
        <v>41</v>
      </c>
      <c r="D1302" s="105" t="s">
        <v>27</v>
      </c>
      <c r="E1302">
        <v>44</v>
      </c>
      <c r="F1302">
        <v>34928.61</v>
      </c>
    </row>
    <row r="1303" spans="1:6" hidden="1" x14ac:dyDescent="0.3">
      <c r="A1303">
        <v>2025</v>
      </c>
      <c r="B1303">
        <v>5</v>
      </c>
      <c r="C1303" s="105" t="s">
        <v>41</v>
      </c>
      <c r="D1303" s="105" t="s">
        <v>28</v>
      </c>
      <c r="E1303">
        <v>8</v>
      </c>
      <c r="F1303">
        <v>5526</v>
      </c>
    </row>
    <row r="1304" spans="1:6" hidden="1" x14ac:dyDescent="0.3">
      <c r="A1304">
        <v>2025</v>
      </c>
      <c r="B1304">
        <v>5</v>
      </c>
      <c r="C1304" s="105" t="s">
        <v>41</v>
      </c>
      <c r="D1304" s="105" t="s">
        <v>29</v>
      </c>
      <c r="E1304">
        <v>67</v>
      </c>
      <c r="F1304">
        <v>56545.81</v>
      </c>
    </row>
    <row r="1305" spans="1:6" hidden="1" x14ac:dyDescent="0.3">
      <c r="A1305">
        <v>2025</v>
      </c>
      <c r="B1305">
        <v>5</v>
      </c>
      <c r="C1305" s="105" t="s">
        <v>41</v>
      </c>
      <c r="D1305" s="105" t="s">
        <v>30</v>
      </c>
      <c r="E1305">
        <v>17</v>
      </c>
      <c r="F1305">
        <v>12800.22</v>
      </c>
    </row>
    <row r="1306" spans="1:6" hidden="1" x14ac:dyDescent="0.3">
      <c r="A1306">
        <v>2025</v>
      </c>
      <c r="B1306">
        <v>5</v>
      </c>
      <c r="C1306" s="105" t="s">
        <v>41</v>
      </c>
      <c r="D1306" s="105" t="s">
        <v>31</v>
      </c>
      <c r="E1306">
        <v>141</v>
      </c>
      <c r="F1306">
        <v>130542.59</v>
      </c>
    </row>
    <row r="1307" spans="1:6" hidden="1" x14ac:dyDescent="0.3">
      <c r="A1307">
        <v>2025</v>
      </c>
      <c r="B1307">
        <v>5</v>
      </c>
      <c r="C1307" s="105" t="s">
        <v>41</v>
      </c>
      <c r="D1307" s="105" t="s">
        <v>51</v>
      </c>
      <c r="E1307">
        <v>2</v>
      </c>
      <c r="F1307">
        <v>1515</v>
      </c>
    </row>
    <row r="1308" spans="1:6" hidden="1" x14ac:dyDescent="0.3">
      <c r="A1308">
        <v>2025</v>
      </c>
      <c r="B1308">
        <v>5</v>
      </c>
      <c r="C1308" s="105" t="s">
        <v>41</v>
      </c>
      <c r="D1308" s="105" t="s">
        <v>32</v>
      </c>
      <c r="E1308">
        <v>146</v>
      </c>
      <c r="F1308">
        <v>76781.73</v>
      </c>
    </row>
    <row r="1309" spans="1:6" hidden="1" x14ac:dyDescent="0.3">
      <c r="A1309">
        <v>2025</v>
      </c>
      <c r="B1309">
        <v>5</v>
      </c>
      <c r="C1309" s="105" t="s">
        <v>41</v>
      </c>
      <c r="D1309" s="105" t="s">
        <v>52</v>
      </c>
      <c r="E1309">
        <v>3</v>
      </c>
      <c r="F1309">
        <v>2269</v>
      </c>
    </row>
    <row r="1310" spans="1:6" hidden="1" x14ac:dyDescent="0.3">
      <c r="A1310">
        <v>2025</v>
      </c>
      <c r="B1310">
        <v>5</v>
      </c>
      <c r="C1310" s="105" t="s">
        <v>41</v>
      </c>
      <c r="D1310" s="105" t="s">
        <v>33</v>
      </c>
      <c r="E1310">
        <v>134</v>
      </c>
      <c r="F1310">
        <v>119866.74</v>
      </c>
    </row>
    <row r="1311" spans="1:6" hidden="1" x14ac:dyDescent="0.3">
      <c r="A1311">
        <v>2025</v>
      </c>
      <c r="B1311">
        <v>5</v>
      </c>
      <c r="C1311" s="105" t="s">
        <v>41</v>
      </c>
      <c r="D1311" s="105" t="s">
        <v>34</v>
      </c>
      <c r="E1311">
        <v>85</v>
      </c>
      <c r="F1311">
        <v>75659.289999999994</v>
      </c>
    </row>
    <row r="1312" spans="1:6" hidden="1" x14ac:dyDescent="0.3">
      <c r="A1312">
        <v>2025</v>
      </c>
      <c r="B1312">
        <v>5</v>
      </c>
      <c r="C1312" s="105" t="s">
        <v>41</v>
      </c>
      <c r="D1312" s="105" t="s">
        <v>57</v>
      </c>
      <c r="E1312">
        <v>1</v>
      </c>
      <c r="F1312">
        <v>200</v>
      </c>
    </row>
    <row r="1313" spans="1:6" hidden="1" x14ac:dyDescent="0.3">
      <c r="A1313">
        <v>2025</v>
      </c>
      <c r="B1313">
        <v>5</v>
      </c>
      <c r="C1313" s="105" t="s">
        <v>41</v>
      </c>
      <c r="D1313" s="105" t="s">
        <v>49</v>
      </c>
      <c r="E1313">
        <v>1</v>
      </c>
      <c r="F1313">
        <v>199.99</v>
      </c>
    </row>
    <row r="1314" spans="1:6" hidden="1" x14ac:dyDescent="0.3">
      <c r="A1314">
        <v>2025</v>
      </c>
      <c r="B1314">
        <v>5</v>
      </c>
      <c r="C1314" s="105" t="s">
        <v>41</v>
      </c>
      <c r="D1314" s="105" t="s">
        <v>53</v>
      </c>
      <c r="E1314">
        <v>5</v>
      </c>
      <c r="F1314">
        <v>5703</v>
      </c>
    </row>
    <row r="1315" spans="1:6" hidden="1" x14ac:dyDescent="0.3">
      <c r="A1315">
        <v>2025</v>
      </c>
      <c r="B1315">
        <v>5</v>
      </c>
      <c r="C1315" s="105" t="s">
        <v>41</v>
      </c>
      <c r="D1315" s="105" t="s">
        <v>35</v>
      </c>
      <c r="E1315">
        <v>49</v>
      </c>
      <c r="F1315">
        <v>42756.36</v>
      </c>
    </row>
    <row r="1316" spans="1:6" hidden="1" x14ac:dyDescent="0.3">
      <c r="A1316">
        <v>2025</v>
      </c>
      <c r="B1316">
        <v>5</v>
      </c>
      <c r="C1316" s="105" t="s">
        <v>41</v>
      </c>
      <c r="D1316" s="105" t="s">
        <v>36</v>
      </c>
      <c r="E1316">
        <v>65</v>
      </c>
      <c r="F1316">
        <v>54998.78</v>
      </c>
    </row>
    <row r="1317" spans="1:6" hidden="1" x14ac:dyDescent="0.3">
      <c r="A1317">
        <v>2025</v>
      </c>
      <c r="B1317">
        <v>5</v>
      </c>
      <c r="C1317" s="105" t="s">
        <v>41</v>
      </c>
      <c r="D1317" s="105" t="s">
        <v>37</v>
      </c>
      <c r="E1317">
        <v>63</v>
      </c>
      <c r="F1317">
        <v>53254.33</v>
      </c>
    </row>
    <row r="1318" spans="1:6" hidden="1" x14ac:dyDescent="0.3">
      <c r="A1318">
        <v>2025</v>
      </c>
      <c r="B1318">
        <v>6</v>
      </c>
      <c r="C1318" s="105" t="s">
        <v>42</v>
      </c>
      <c r="D1318" s="105" t="s">
        <v>7</v>
      </c>
      <c r="E1318">
        <v>33</v>
      </c>
      <c r="F1318">
        <v>30091.1</v>
      </c>
    </row>
    <row r="1319" spans="1:6" hidden="1" x14ac:dyDescent="0.3">
      <c r="A1319">
        <v>2025</v>
      </c>
      <c r="B1319">
        <v>6</v>
      </c>
      <c r="C1319" s="105" t="s">
        <v>42</v>
      </c>
      <c r="D1319" s="105" t="s">
        <v>8</v>
      </c>
      <c r="E1319">
        <v>33</v>
      </c>
      <c r="F1319">
        <v>25657.37</v>
      </c>
    </row>
    <row r="1320" spans="1:6" hidden="1" x14ac:dyDescent="0.3">
      <c r="A1320">
        <v>2025</v>
      </c>
      <c r="B1320">
        <v>6</v>
      </c>
      <c r="C1320" s="105" t="s">
        <v>42</v>
      </c>
      <c r="D1320" s="105" t="s">
        <v>9</v>
      </c>
      <c r="E1320">
        <v>8</v>
      </c>
      <c r="F1320">
        <v>6575.96</v>
      </c>
    </row>
    <row r="1321" spans="1:6" hidden="1" x14ac:dyDescent="0.3">
      <c r="A1321">
        <v>2025</v>
      </c>
      <c r="B1321">
        <v>6</v>
      </c>
      <c r="C1321" s="105" t="s">
        <v>42</v>
      </c>
      <c r="D1321" s="105" t="s">
        <v>10</v>
      </c>
      <c r="E1321">
        <v>83</v>
      </c>
      <c r="F1321">
        <v>67888.5</v>
      </c>
    </row>
    <row r="1322" spans="1:6" hidden="1" x14ac:dyDescent="0.3">
      <c r="A1322">
        <v>2025</v>
      </c>
      <c r="B1322">
        <v>6</v>
      </c>
      <c r="C1322" s="105" t="s">
        <v>42</v>
      </c>
      <c r="D1322" s="105" t="s">
        <v>11</v>
      </c>
      <c r="E1322">
        <v>58</v>
      </c>
      <c r="F1322">
        <v>44725.18</v>
      </c>
    </row>
    <row r="1323" spans="1:6" hidden="1" x14ac:dyDescent="0.3">
      <c r="A1323">
        <v>2025</v>
      </c>
      <c r="B1323">
        <v>6</v>
      </c>
      <c r="C1323" s="105" t="s">
        <v>42</v>
      </c>
      <c r="D1323" s="105" t="s">
        <v>12</v>
      </c>
      <c r="E1323">
        <v>75</v>
      </c>
      <c r="F1323">
        <v>62059.46</v>
      </c>
    </row>
    <row r="1324" spans="1:6" hidden="1" x14ac:dyDescent="0.3">
      <c r="A1324">
        <v>2025</v>
      </c>
      <c r="B1324">
        <v>6</v>
      </c>
      <c r="C1324" s="105" t="s">
        <v>42</v>
      </c>
      <c r="D1324" s="105" t="s">
        <v>13</v>
      </c>
      <c r="E1324">
        <v>84</v>
      </c>
      <c r="F1324">
        <v>63673.73</v>
      </c>
    </row>
    <row r="1325" spans="1:6" hidden="1" x14ac:dyDescent="0.3">
      <c r="A1325">
        <v>2025</v>
      </c>
      <c r="B1325">
        <v>6</v>
      </c>
      <c r="C1325" s="105" t="s">
        <v>42</v>
      </c>
      <c r="D1325" s="105" t="s">
        <v>14</v>
      </c>
      <c r="E1325">
        <v>58</v>
      </c>
      <c r="F1325">
        <v>39930.68</v>
      </c>
    </row>
    <row r="1326" spans="1:6" hidden="1" x14ac:dyDescent="0.3">
      <c r="A1326">
        <v>2025</v>
      </c>
      <c r="B1326">
        <v>6</v>
      </c>
      <c r="C1326" s="105" t="s">
        <v>42</v>
      </c>
      <c r="D1326" s="105" t="s">
        <v>15</v>
      </c>
      <c r="E1326">
        <v>18</v>
      </c>
      <c r="F1326">
        <v>19910.22</v>
      </c>
    </row>
    <row r="1327" spans="1:6" hidden="1" x14ac:dyDescent="0.3">
      <c r="A1327">
        <v>2025</v>
      </c>
      <c r="B1327">
        <v>6</v>
      </c>
      <c r="C1327" s="105" t="s">
        <v>42</v>
      </c>
      <c r="D1327" s="105" t="s">
        <v>16</v>
      </c>
      <c r="E1327">
        <v>38</v>
      </c>
      <c r="F1327">
        <v>29223.17</v>
      </c>
    </row>
    <row r="1328" spans="1:6" hidden="1" x14ac:dyDescent="0.3">
      <c r="A1328">
        <v>2025</v>
      </c>
      <c r="B1328">
        <v>6</v>
      </c>
      <c r="C1328" s="105" t="s">
        <v>42</v>
      </c>
      <c r="D1328" s="105" t="s">
        <v>54</v>
      </c>
      <c r="E1328">
        <v>1</v>
      </c>
      <c r="F1328">
        <v>775</v>
      </c>
    </row>
    <row r="1329" spans="1:6" hidden="1" x14ac:dyDescent="0.3">
      <c r="A1329">
        <v>2025</v>
      </c>
      <c r="B1329">
        <v>6</v>
      </c>
      <c r="C1329" s="105" t="s">
        <v>42</v>
      </c>
      <c r="D1329" s="105" t="s">
        <v>17</v>
      </c>
      <c r="E1329">
        <v>99</v>
      </c>
      <c r="F1329">
        <v>77153.039999999994</v>
      </c>
    </row>
    <row r="1330" spans="1:6" hidden="1" x14ac:dyDescent="0.3">
      <c r="A1330">
        <v>2025</v>
      </c>
      <c r="B1330">
        <v>6</v>
      </c>
      <c r="C1330" s="105" t="s">
        <v>42</v>
      </c>
      <c r="D1330" s="105" t="s">
        <v>18</v>
      </c>
      <c r="E1330">
        <v>116</v>
      </c>
      <c r="F1330">
        <v>109512.13</v>
      </c>
    </row>
    <row r="1331" spans="1:6" hidden="1" x14ac:dyDescent="0.3">
      <c r="A1331">
        <v>2025</v>
      </c>
      <c r="B1331">
        <v>6</v>
      </c>
      <c r="C1331" s="105" t="s">
        <v>42</v>
      </c>
      <c r="D1331" s="105" t="s">
        <v>50</v>
      </c>
      <c r="E1331">
        <v>4</v>
      </c>
      <c r="F1331">
        <v>3537</v>
      </c>
    </row>
    <row r="1332" spans="1:6" hidden="1" x14ac:dyDescent="0.3">
      <c r="A1332">
        <v>2025</v>
      </c>
      <c r="B1332">
        <v>6</v>
      </c>
      <c r="C1332" s="105" t="s">
        <v>42</v>
      </c>
      <c r="D1332" s="105" t="s">
        <v>55</v>
      </c>
      <c r="E1332">
        <v>1</v>
      </c>
      <c r="F1332">
        <v>275</v>
      </c>
    </row>
    <row r="1333" spans="1:6" hidden="1" x14ac:dyDescent="0.3">
      <c r="A1333">
        <v>2025</v>
      </c>
      <c r="B1333">
        <v>6</v>
      </c>
      <c r="C1333" s="105" t="s">
        <v>42</v>
      </c>
      <c r="D1333" s="105" t="s">
        <v>19</v>
      </c>
      <c r="E1333">
        <v>19</v>
      </c>
      <c r="F1333">
        <v>13689.55</v>
      </c>
    </row>
    <row r="1334" spans="1:6" x14ac:dyDescent="0.3">
      <c r="A1334">
        <v>2025</v>
      </c>
      <c r="B1334">
        <v>6</v>
      </c>
      <c r="C1334" s="105" t="s">
        <v>42</v>
      </c>
      <c r="D1334" s="105" t="s">
        <v>20</v>
      </c>
      <c r="E1334">
        <v>53</v>
      </c>
      <c r="F1334">
        <v>41639.440000000002</v>
      </c>
    </row>
    <row r="1335" spans="1:6" hidden="1" x14ac:dyDescent="0.3">
      <c r="A1335">
        <v>2025</v>
      </c>
      <c r="B1335">
        <v>6</v>
      </c>
      <c r="C1335" s="105" t="s">
        <v>42</v>
      </c>
      <c r="D1335" s="105" t="s">
        <v>21</v>
      </c>
      <c r="E1335">
        <v>85</v>
      </c>
      <c r="F1335">
        <v>79985.88</v>
      </c>
    </row>
    <row r="1336" spans="1:6" hidden="1" x14ac:dyDescent="0.3">
      <c r="A1336">
        <v>2025</v>
      </c>
      <c r="B1336">
        <v>6</v>
      </c>
      <c r="C1336" s="105" t="s">
        <v>42</v>
      </c>
      <c r="D1336" s="105" t="s">
        <v>22</v>
      </c>
      <c r="E1336">
        <v>61</v>
      </c>
      <c r="F1336">
        <v>43240.160000000003</v>
      </c>
    </row>
    <row r="1337" spans="1:6" hidden="1" x14ac:dyDescent="0.3">
      <c r="A1337">
        <v>2025</v>
      </c>
      <c r="B1337">
        <v>6</v>
      </c>
      <c r="C1337" s="105" t="s">
        <v>42</v>
      </c>
      <c r="D1337" s="105" t="s">
        <v>23</v>
      </c>
      <c r="E1337">
        <v>39</v>
      </c>
      <c r="F1337">
        <v>36362.36</v>
      </c>
    </row>
    <row r="1338" spans="1:6" hidden="1" x14ac:dyDescent="0.3">
      <c r="A1338">
        <v>2025</v>
      </c>
      <c r="B1338">
        <v>6</v>
      </c>
      <c r="C1338" s="105" t="s">
        <v>42</v>
      </c>
      <c r="D1338" s="105" t="s">
        <v>24</v>
      </c>
      <c r="E1338">
        <v>42</v>
      </c>
      <c r="F1338">
        <v>29746.080000000002</v>
      </c>
    </row>
    <row r="1339" spans="1:6" hidden="1" x14ac:dyDescent="0.3">
      <c r="A1339">
        <v>2025</v>
      </c>
      <c r="B1339">
        <v>6</v>
      </c>
      <c r="C1339" s="105" t="s">
        <v>42</v>
      </c>
      <c r="D1339" s="105" t="s">
        <v>25</v>
      </c>
      <c r="E1339">
        <v>84</v>
      </c>
      <c r="F1339">
        <v>66654.289999999994</v>
      </c>
    </row>
    <row r="1340" spans="1:6" hidden="1" x14ac:dyDescent="0.3">
      <c r="A1340">
        <v>2025</v>
      </c>
      <c r="B1340">
        <v>6</v>
      </c>
      <c r="C1340" s="105" t="s">
        <v>42</v>
      </c>
      <c r="D1340" s="105" t="s">
        <v>26</v>
      </c>
      <c r="E1340">
        <v>29</v>
      </c>
      <c r="F1340">
        <v>25834.17</v>
      </c>
    </row>
    <row r="1341" spans="1:6" hidden="1" x14ac:dyDescent="0.3">
      <c r="A1341">
        <v>2025</v>
      </c>
      <c r="B1341">
        <v>6</v>
      </c>
      <c r="C1341" s="105" t="s">
        <v>42</v>
      </c>
      <c r="D1341" s="105" t="s">
        <v>27</v>
      </c>
      <c r="E1341">
        <v>50</v>
      </c>
      <c r="F1341">
        <v>40570.94</v>
      </c>
    </row>
    <row r="1342" spans="1:6" hidden="1" x14ac:dyDescent="0.3">
      <c r="A1342">
        <v>2025</v>
      </c>
      <c r="B1342">
        <v>6</v>
      </c>
      <c r="C1342" s="105" t="s">
        <v>42</v>
      </c>
      <c r="D1342" s="105" t="s">
        <v>28</v>
      </c>
      <c r="E1342">
        <v>18</v>
      </c>
      <c r="F1342">
        <v>14127.82</v>
      </c>
    </row>
    <row r="1343" spans="1:6" hidden="1" x14ac:dyDescent="0.3">
      <c r="A1343">
        <v>2025</v>
      </c>
      <c r="B1343">
        <v>6</v>
      </c>
      <c r="C1343" s="105" t="s">
        <v>42</v>
      </c>
      <c r="D1343" s="105" t="s">
        <v>29</v>
      </c>
      <c r="E1343">
        <v>63</v>
      </c>
      <c r="F1343">
        <v>52795.65</v>
      </c>
    </row>
    <row r="1344" spans="1:6" hidden="1" x14ac:dyDescent="0.3">
      <c r="A1344">
        <v>2025</v>
      </c>
      <c r="B1344">
        <v>6</v>
      </c>
      <c r="C1344" s="105" t="s">
        <v>42</v>
      </c>
      <c r="D1344" s="105" t="s">
        <v>30</v>
      </c>
      <c r="E1344">
        <v>34</v>
      </c>
      <c r="F1344">
        <v>33950.199999999997</v>
      </c>
    </row>
    <row r="1345" spans="1:6" hidden="1" x14ac:dyDescent="0.3">
      <c r="A1345">
        <v>2025</v>
      </c>
      <c r="B1345">
        <v>6</v>
      </c>
      <c r="C1345" s="105" t="s">
        <v>42</v>
      </c>
      <c r="D1345" s="105" t="s">
        <v>31</v>
      </c>
      <c r="E1345">
        <v>179</v>
      </c>
      <c r="F1345">
        <v>164278.51999999999</v>
      </c>
    </row>
    <row r="1346" spans="1:6" hidden="1" x14ac:dyDescent="0.3">
      <c r="A1346">
        <v>2025</v>
      </c>
      <c r="B1346">
        <v>6</v>
      </c>
      <c r="C1346" s="105" t="s">
        <v>42</v>
      </c>
      <c r="D1346" s="105" t="s">
        <v>51</v>
      </c>
      <c r="E1346">
        <v>8</v>
      </c>
      <c r="F1346">
        <v>5791</v>
      </c>
    </row>
    <row r="1347" spans="1:6" hidden="1" x14ac:dyDescent="0.3">
      <c r="A1347">
        <v>2025</v>
      </c>
      <c r="B1347">
        <v>6</v>
      </c>
      <c r="C1347" s="105" t="s">
        <v>42</v>
      </c>
      <c r="D1347" s="105" t="s">
        <v>32</v>
      </c>
      <c r="E1347">
        <v>60</v>
      </c>
      <c r="F1347">
        <v>49180.97</v>
      </c>
    </row>
    <row r="1348" spans="1:6" hidden="1" x14ac:dyDescent="0.3">
      <c r="A1348">
        <v>2025</v>
      </c>
      <c r="B1348">
        <v>6</v>
      </c>
      <c r="C1348" s="105" t="s">
        <v>42</v>
      </c>
      <c r="D1348" s="105" t="s">
        <v>52</v>
      </c>
      <c r="E1348">
        <v>9</v>
      </c>
      <c r="F1348">
        <v>7602</v>
      </c>
    </row>
    <row r="1349" spans="1:6" hidden="1" x14ac:dyDescent="0.3">
      <c r="A1349">
        <v>2025</v>
      </c>
      <c r="B1349">
        <v>6</v>
      </c>
      <c r="C1349" s="105" t="s">
        <v>42</v>
      </c>
      <c r="D1349" s="105" t="s">
        <v>33</v>
      </c>
      <c r="E1349">
        <v>113</v>
      </c>
      <c r="F1349">
        <v>102564.56</v>
      </c>
    </row>
    <row r="1350" spans="1:6" hidden="1" x14ac:dyDescent="0.3">
      <c r="A1350">
        <v>2025</v>
      </c>
      <c r="B1350">
        <v>6</v>
      </c>
      <c r="C1350" s="105" t="s">
        <v>42</v>
      </c>
      <c r="D1350" s="105" t="s">
        <v>34</v>
      </c>
      <c r="E1350">
        <v>108</v>
      </c>
      <c r="F1350">
        <v>99543.56</v>
      </c>
    </row>
    <row r="1351" spans="1:6" hidden="1" x14ac:dyDescent="0.3">
      <c r="A1351">
        <v>2025</v>
      </c>
      <c r="B1351">
        <v>6</v>
      </c>
      <c r="C1351" s="105" t="s">
        <v>42</v>
      </c>
      <c r="D1351" s="105" t="s">
        <v>53</v>
      </c>
      <c r="E1351">
        <v>8</v>
      </c>
      <c r="F1351">
        <v>7322</v>
      </c>
    </row>
    <row r="1352" spans="1:6" hidden="1" x14ac:dyDescent="0.3">
      <c r="A1352">
        <v>2025</v>
      </c>
      <c r="B1352">
        <v>6</v>
      </c>
      <c r="C1352" s="105" t="s">
        <v>42</v>
      </c>
      <c r="D1352" s="105" t="s">
        <v>35</v>
      </c>
      <c r="E1352">
        <v>70</v>
      </c>
      <c r="F1352">
        <v>57392.7</v>
      </c>
    </row>
    <row r="1353" spans="1:6" hidden="1" x14ac:dyDescent="0.3">
      <c r="A1353">
        <v>2025</v>
      </c>
      <c r="B1353">
        <v>6</v>
      </c>
      <c r="C1353" s="105" t="s">
        <v>42</v>
      </c>
      <c r="D1353" s="105" t="s">
        <v>36</v>
      </c>
      <c r="E1353">
        <v>69</v>
      </c>
      <c r="F1353">
        <v>56407.97</v>
      </c>
    </row>
    <row r="1354" spans="1:6" hidden="1" x14ac:dyDescent="0.3">
      <c r="A1354">
        <v>2025</v>
      </c>
      <c r="B1354">
        <v>6</v>
      </c>
      <c r="C1354" s="105" t="s">
        <v>42</v>
      </c>
      <c r="D1354" s="105" t="s">
        <v>37</v>
      </c>
      <c r="E1354">
        <v>59</v>
      </c>
      <c r="F1354">
        <v>49694.35</v>
      </c>
    </row>
    <row r="1355" spans="1:6" hidden="1" x14ac:dyDescent="0.3">
      <c r="A1355">
        <v>2025</v>
      </c>
      <c r="B1355">
        <v>7</v>
      </c>
      <c r="C1355" s="105" t="s">
        <v>43</v>
      </c>
      <c r="D1355" s="105" t="s">
        <v>7</v>
      </c>
      <c r="E1355">
        <v>54</v>
      </c>
      <c r="F1355">
        <v>44111.34</v>
      </c>
    </row>
    <row r="1356" spans="1:6" hidden="1" x14ac:dyDescent="0.3">
      <c r="A1356">
        <v>2025</v>
      </c>
      <c r="B1356">
        <v>7</v>
      </c>
      <c r="C1356" s="105" t="s">
        <v>43</v>
      </c>
      <c r="D1356" s="105" t="s">
        <v>8</v>
      </c>
      <c r="E1356">
        <v>21</v>
      </c>
      <c r="F1356">
        <v>18226.2</v>
      </c>
    </row>
    <row r="1357" spans="1:6" hidden="1" x14ac:dyDescent="0.3">
      <c r="A1357">
        <v>2025</v>
      </c>
      <c r="B1357">
        <v>7</v>
      </c>
      <c r="C1357" s="105" t="s">
        <v>43</v>
      </c>
      <c r="D1357" s="105" t="s">
        <v>9</v>
      </c>
      <c r="E1357">
        <v>16</v>
      </c>
      <c r="F1357">
        <v>12050.12</v>
      </c>
    </row>
    <row r="1358" spans="1:6" hidden="1" x14ac:dyDescent="0.3">
      <c r="A1358">
        <v>2025</v>
      </c>
      <c r="B1358">
        <v>7</v>
      </c>
      <c r="C1358" s="105" t="s">
        <v>43</v>
      </c>
      <c r="D1358" s="105" t="s">
        <v>10</v>
      </c>
      <c r="E1358">
        <v>87</v>
      </c>
      <c r="F1358">
        <v>83159.759999999995</v>
      </c>
    </row>
    <row r="1359" spans="1:6" hidden="1" x14ac:dyDescent="0.3">
      <c r="A1359">
        <v>2025</v>
      </c>
      <c r="B1359">
        <v>7</v>
      </c>
      <c r="C1359" s="105" t="s">
        <v>43</v>
      </c>
      <c r="D1359" s="105" t="s">
        <v>11</v>
      </c>
      <c r="E1359">
        <v>75</v>
      </c>
      <c r="F1359">
        <v>63566.16</v>
      </c>
    </row>
    <row r="1360" spans="1:6" hidden="1" x14ac:dyDescent="0.3">
      <c r="A1360">
        <v>2025</v>
      </c>
      <c r="B1360">
        <v>7</v>
      </c>
      <c r="C1360" s="105" t="s">
        <v>43</v>
      </c>
      <c r="D1360" s="105" t="s">
        <v>59</v>
      </c>
      <c r="E1360">
        <v>2</v>
      </c>
      <c r="F1360">
        <v>1971</v>
      </c>
    </row>
    <row r="1361" spans="1:6" hidden="1" x14ac:dyDescent="0.3">
      <c r="A1361">
        <v>2025</v>
      </c>
      <c r="B1361">
        <v>7</v>
      </c>
      <c r="C1361" s="105" t="s">
        <v>43</v>
      </c>
      <c r="D1361" s="105" t="s">
        <v>12</v>
      </c>
      <c r="E1361">
        <v>58</v>
      </c>
      <c r="F1361">
        <v>76395.42</v>
      </c>
    </row>
    <row r="1362" spans="1:6" hidden="1" x14ac:dyDescent="0.3">
      <c r="A1362">
        <v>2025</v>
      </c>
      <c r="B1362">
        <v>7</v>
      </c>
      <c r="C1362" s="105" t="s">
        <v>43</v>
      </c>
      <c r="D1362" s="105" t="s">
        <v>13</v>
      </c>
      <c r="E1362">
        <v>118</v>
      </c>
      <c r="F1362">
        <v>125316.85</v>
      </c>
    </row>
    <row r="1363" spans="1:6" hidden="1" x14ac:dyDescent="0.3">
      <c r="A1363">
        <v>2025</v>
      </c>
      <c r="B1363">
        <v>7</v>
      </c>
      <c r="C1363" s="105" t="s">
        <v>43</v>
      </c>
      <c r="D1363" s="105" t="s">
        <v>14</v>
      </c>
      <c r="E1363">
        <v>62</v>
      </c>
      <c r="F1363">
        <v>42410.25</v>
      </c>
    </row>
    <row r="1364" spans="1:6" hidden="1" x14ac:dyDescent="0.3">
      <c r="A1364">
        <v>2025</v>
      </c>
      <c r="B1364">
        <v>7</v>
      </c>
      <c r="C1364" s="105" t="s">
        <v>43</v>
      </c>
      <c r="D1364" s="105" t="s">
        <v>15</v>
      </c>
      <c r="E1364">
        <v>25</v>
      </c>
      <c r="F1364">
        <v>16905.96</v>
      </c>
    </row>
    <row r="1365" spans="1:6" hidden="1" x14ac:dyDescent="0.3">
      <c r="A1365">
        <v>2025</v>
      </c>
      <c r="B1365">
        <v>7</v>
      </c>
      <c r="C1365" s="105" t="s">
        <v>43</v>
      </c>
      <c r="D1365" s="105" t="s">
        <v>16</v>
      </c>
      <c r="E1365">
        <v>32</v>
      </c>
      <c r="F1365">
        <v>26324.53</v>
      </c>
    </row>
    <row r="1366" spans="1:6" hidden="1" x14ac:dyDescent="0.3">
      <c r="A1366">
        <v>2025</v>
      </c>
      <c r="B1366">
        <v>7</v>
      </c>
      <c r="C1366" s="105" t="s">
        <v>43</v>
      </c>
      <c r="D1366" s="105" t="s">
        <v>54</v>
      </c>
      <c r="E1366">
        <v>1</v>
      </c>
      <c r="F1366">
        <v>802</v>
      </c>
    </row>
    <row r="1367" spans="1:6" hidden="1" x14ac:dyDescent="0.3">
      <c r="A1367">
        <v>2025</v>
      </c>
      <c r="B1367">
        <v>7</v>
      </c>
      <c r="C1367" s="105" t="s">
        <v>43</v>
      </c>
      <c r="D1367" s="105" t="s">
        <v>17</v>
      </c>
      <c r="E1367">
        <v>134</v>
      </c>
      <c r="F1367">
        <v>112844.53</v>
      </c>
    </row>
    <row r="1368" spans="1:6" hidden="1" x14ac:dyDescent="0.3">
      <c r="A1368">
        <v>2025</v>
      </c>
      <c r="B1368">
        <v>7</v>
      </c>
      <c r="C1368" s="105" t="s">
        <v>43</v>
      </c>
      <c r="D1368" s="105" t="s">
        <v>18</v>
      </c>
      <c r="E1368">
        <v>130</v>
      </c>
      <c r="F1368">
        <v>114020.88</v>
      </c>
    </row>
    <row r="1369" spans="1:6" hidden="1" x14ac:dyDescent="0.3">
      <c r="A1369">
        <v>2025</v>
      </c>
      <c r="B1369">
        <v>7</v>
      </c>
      <c r="C1369" s="105" t="s">
        <v>43</v>
      </c>
      <c r="D1369" s="105" t="s">
        <v>50</v>
      </c>
      <c r="E1369">
        <v>9</v>
      </c>
      <c r="F1369">
        <v>7315</v>
      </c>
    </row>
    <row r="1370" spans="1:6" hidden="1" x14ac:dyDescent="0.3">
      <c r="A1370">
        <v>2025</v>
      </c>
      <c r="B1370">
        <v>7</v>
      </c>
      <c r="C1370" s="105" t="s">
        <v>43</v>
      </c>
      <c r="D1370" s="105" t="s">
        <v>19</v>
      </c>
      <c r="E1370">
        <v>17</v>
      </c>
      <c r="F1370">
        <v>11598.84</v>
      </c>
    </row>
    <row r="1371" spans="1:6" x14ac:dyDescent="0.3">
      <c r="A1371">
        <v>2025</v>
      </c>
      <c r="B1371">
        <v>7</v>
      </c>
      <c r="C1371" s="105" t="s">
        <v>43</v>
      </c>
      <c r="D1371" s="105" t="s">
        <v>20</v>
      </c>
      <c r="E1371">
        <v>63</v>
      </c>
      <c r="F1371">
        <v>48358.15</v>
      </c>
    </row>
    <row r="1372" spans="1:6" hidden="1" x14ac:dyDescent="0.3">
      <c r="A1372">
        <v>2025</v>
      </c>
      <c r="B1372">
        <v>7</v>
      </c>
      <c r="C1372" s="105" t="s">
        <v>43</v>
      </c>
      <c r="D1372" s="105" t="s">
        <v>21</v>
      </c>
      <c r="E1372">
        <v>103</v>
      </c>
      <c r="F1372">
        <v>94070.13</v>
      </c>
    </row>
    <row r="1373" spans="1:6" hidden="1" x14ac:dyDescent="0.3">
      <c r="A1373">
        <v>2025</v>
      </c>
      <c r="B1373">
        <v>7</v>
      </c>
      <c r="C1373" s="105" t="s">
        <v>43</v>
      </c>
      <c r="D1373" s="105" t="s">
        <v>22</v>
      </c>
      <c r="E1373">
        <v>41</v>
      </c>
      <c r="F1373">
        <v>28295.91</v>
      </c>
    </row>
    <row r="1374" spans="1:6" hidden="1" x14ac:dyDescent="0.3">
      <c r="A1374">
        <v>2025</v>
      </c>
      <c r="B1374">
        <v>7</v>
      </c>
      <c r="C1374" s="105" t="s">
        <v>43</v>
      </c>
      <c r="D1374" s="105" t="s">
        <v>23</v>
      </c>
      <c r="E1374">
        <v>57</v>
      </c>
      <c r="F1374">
        <v>46495.15</v>
      </c>
    </row>
    <row r="1375" spans="1:6" hidden="1" x14ac:dyDescent="0.3">
      <c r="A1375">
        <v>2025</v>
      </c>
      <c r="B1375">
        <v>7</v>
      </c>
      <c r="C1375" s="105" t="s">
        <v>43</v>
      </c>
      <c r="D1375" s="105" t="s">
        <v>24</v>
      </c>
      <c r="E1375">
        <v>63</v>
      </c>
      <c r="F1375">
        <v>44528.75</v>
      </c>
    </row>
    <row r="1376" spans="1:6" hidden="1" x14ac:dyDescent="0.3">
      <c r="A1376">
        <v>2025</v>
      </c>
      <c r="B1376">
        <v>7</v>
      </c>
      <c r="C1376" s="105" t="s">
        <v>43</v>
      </c>
      <c r="D1376" s="105" t="s">
        <v>25</v>
      </c>
      <c r="E1376">
        <v>98</v>
      </c>
      <c r="F1376">
        <v>78711.64</v>
      </c>
    </row>
    <row r="1377" spans="1:6" hidden="1" x14ac:dyDescent="0.3">
      <c r="A1377">
        <v>2025</v>
      </c>
      <c r="B1377">
        <v>7</v>
      </c>
      <c r="C1377" s="105" t="s">
        <v>43</v>
      </c>
      <c r="D1377" s="105" t="s">
        <v>26</v>
      </c>
      <c r="E1377">
        <v>26</v>
      </c>
      <c r="F1377">
        <v>20376.650000000001</v>
      </c>
    </row>
    <row r="1378" spans="1:6" hidden="1" x14ac:dyDescent="0.3">
      <c r="A1378">
        <v>2025</v>
      </c>
      <c r="B1378">
        <v>7</v>
      </c>
      <c r="C1378" s="105" t="s">
        <v>43</v>
      </c>
      <c r="D1378" s="105" t="s">
        <v>27</v>
      </c>
      <c r="E1378">
        <v>56</v>
      </c>
      <c r="F1378">
        <v>45695.88</v>
      </c>
    </row>
    <row r="1379" spans="1:6" hidden="1" x14ac:dyDescent="0.3">
      <c r="A1379">
        <v>2025</v>
      </c>
      <c r="B1379">
        <v>7</v>
      </c>
      <c r="C1379" s="105" t="s">
        <v>43</v>
      </c>
      <c r="D1379" s="105" t="s">
        <v>28</v>
      </c>
      <c r="E1379">
        <v>18</v>
      </c>
      <c r="F1379">
        <v>12180.58</v>
      </c>
    </row>
    <row r="1380" spans="1:6" hidden="1" x14ac:dyDescent="0.3">
      <c r="A1380">
        <v>2025</v>
      </c>
      <c r="B1380">
        <v>7</v>
      </c>
      <c r="C1380" s="105" t="s">
        <v>43</v>
      </c>
      <c r="D1380" s="105" t="s">
        <v>29</v>
      </c>
      <c r="E1380">
        <v>86</v>
      </c>
      <c r="F1380">
        <v>71073.58</v>
      </c>
    </row>
    <row r="1381" spans="1:6" hidden="1" x14ac:dyDescent="0.3">
      <c r="A1381">
        <v>2025</v>
      </c>
      <c r="B1381">
        <v>7</v>
      </c>
      <c r="C1381" s="105" t="s">
        <v>43</v>
      </c>
      <c r="D1381" s="105" t="s">
        <v>30</v>
      </c>
      <c r="E1381">
        <v>25</v>
      </c>
      <c r="F1381">
        <v>17450.45</v>
      </c>
    </row>
    <row r="1382" spans="1:6" hidden="1" x14ac:dyDescent="0.3">
      <c r="A1382">
        <v>2025</v>
      </c>
      <c r="B1382">
        <v>7</v>
      </c>
      <c r="C1382" s="105" t="s">
        <v>43</v>
      </c>
      <c r="D1382" s="105" t="s">
        <v>31</v>
      </c>
      <c r="E1382">
        <v>156</v>
      </c>
      <c r="F1382">
        <v>143706.75</v>
      </c>
    </row>
    <row r="1383" spans="1:6" hidden="1" x14ac:dyDescent="0.3">
      <c r="A1383">
        <v>2025</v>
      </c>
      <c r="B1383">
        <v>7</v>
      </c>
      <c r="C1383" s="105" t="s">
        <v>43</v>
      </c>
      <c r="D1383" s="105" t="s">
        <v>51</v>
      </c>
      <c r="E1383">
        <v>4</v>
      </c>
      <c r="F1383">
        <v>3653</v>
      </c>
    </row>
    <row r="1384" spans="1:6" hidden="1" x14ac:dyDescent="0.3">
      <c r="A1384">
        <v>2025</v>
      </c>
      <c r="B1384">
        <v>7</v>
      </c>
      <c r="C1384" s="105" t="s">
        <v>43</v>
      </c>
      <c r="D1384" s="105" t="s">
        <v>32</v>
      </c>
      <c r="E1384">
        <v>43</v>
      </c>
      <c r="F1384">
        <v>37217.019999999997</v>
      </c>
    </row>
    <row r="1385" spans="1:6" hidden="1" x14ac:dyDescent="0.3">
      <c r="A1385">
        <v>2025</v>
      </c>
      <c r="B1385">
        <v>7</v>
      </c>
      <c r="C1385" s="105" t="s">
        <v>43</v>
      </c>
      <c r="D1385" s="105" t="s">
        <v>52</v>
      </c>
      <c r="E1385">
        <v>3</v>
      </c>
      <c r="F1385">
        <v>900</v>
      </c>
    </row>
    <row r="1386" spans="1:6" hidden="1" x14ac:dyDescent="0.3">
      <c r="A1386">
        <v>2025</v>
      </c>
      <c r="B1386">
        <v>7</v>
      </c>
      <c r="C1386" s="105" t="s">
        <v>43</v>
      </c>
      <c r="D1386" s="105" t="s">
        <v>33</v>
      </c>
      <c r="E1386">
        <v>167</v>
      </c>
      <c r="F1386">
        <v>144598.5</v>
      </c>
    </row>
    <row r="1387" spans="1:6" hidden="1" x14ac:dyDescent="0.3">
      <c r="A1387">
        <v>2025</v>
      </c>
      <c r="B1387">
        <v>7</v>
      </c>
      <c r="C1387" s="105" t="s">
        <v>43</v>
      </c>
      <c r="D1387" s="105" t="s">
        <v>58</v>
      </c>
      <c r="E1387">
        <v>3</v>
      </c>
      <c r="F1387">
        <v>1270</v>
      </c>
    </row>
    <row r="1388" spans="1:6" hidden="1" x14ac:dyDescent="0.3">
      <c r="A1388">
        <v>2025</v>
      </c>
      <c r="B1388">
        <v>7</v>
      </c>
      <c r="C1388" s="105" t="s">
        <v>43</v>
      </c>
      <c r="D1388" s="105" t="s">
        <v>34</v>
      </c>
      <c r="E1388">
        <v>105</v>
      </c>
      <c r="F1388">
        <v>89724.95</v>
      </c>
    </row>
    <row r="1389" spans="1:6" hidden="1" x14ac:dyDescent="0.3">
      <c r="A1389">
        <v>2025</v>
      </c>
      <c r="B1389">
        <v>7</v>
      </c>
      <c r="C1389" s="105" t="s">
        <v>43</v>
      </c>
      <c r="D1389" s="105" t="s">
        <v>56</v>
      </c>
      <c r="E1389">
        <v>3</v>
      </c>
      <c r="F1389">
        <v>1811</v>
      </c>
    </row>
    <row r="1390" spans="1:6" hidden="1" x14ac:dyDescent="0.3">
      <c r="A1390">
        <v>2025</v>
      </c>
      <c r="B1390">
        <v>7</v>
      </c>
      <c r="C1390" s="105" t="s">
        <v>43</v>
      </c>
      <c r="D1390" s="105" t="s">
        <v>57</v>
      </c>
      <c r="E1390">
        <v>1</v>
      </c>
      <c r="F1390">
        <v>552</v>
      </c>
    </row>
    <row r="1391" spans="1:6" hidden="1" x14ac:dyDescent="0.3">
      <c r="A1391">
        <v>2025</v>
      </c>
      <c r="B1391">
        <v>7</v>
      </c>
      <c r="C1391" s="105" t="s">
        <v>43</v>
      </c>
      <c r="D1391" s="105" t="s">
        <v>53</v>
      </c>
      <c r="E1391">
        <v>8</v>
      </c>
      <c r="F1391">
        <v>5699</v>
      </c>
    </row>
    <row r="1392" spans="1:6" hidden="1" x14ac:dyDescent="0.3">
      <c r="A1392">
        <v>2025</v>
      </c>
      <c r="B1392">
        <v>7</v>
      </c>
      <c r="C1392" s="105" t="s">
        <v>43</v>
      </c>
      <c r="D1392" s="105" t="s">
        <v>35</v>
      </c>
      <c r="E1392">
        <v>68</v>
      </c>
      <c r="F1392">
        <v>57540.54</v>
      </c>
    </row>
    <row r="1393" spans="1:6" hidden="1" x14ac:dyDescent="0.3">
      <c r="A1393">
        <v>2025</v>
      </c>
      <c r="B1393">
        <v>7</v>
      </c>
      <c r="C1393" s="105" t="s">
        <v>43</v>
      </c>
      <c r="D1393" s="105" t="s">
        <v>36</v>
      </c>
      <c r="E1393">
        <v>50</v>
      </c>
      <c r="F1393">
        <v>40139.11</v>
      </c>
    </row>
    <row r="1394" spans="1:6" hidden="1" x14ac:dyDescent="0.3">
      <c r="A1394">
        <v>2025</v>
      </c>
      <c r="B1394">
        <v>7</v>
      </c>
      <c r="C1394" s="105" t="s">
        <v>43</v>
      </c>
      <c r="D1394" s="105" t="s">
        <v>37</v>
      </c>
      <c r="E1394">
        <v>94</v>
      </c>
      <c r="F1394">
        <v>82032.89</v>
      </c>
    </row>
    <row r="1395" spans="1:6" hidden="1" x14ac:dyDescent="0.3">
      <c r="A1395">
        <v>2025</v>
      </c>
      <c r="B1395">
        <v>8</v>
      </c>
      <c r="C1395" s="105" t="s">
        <v>44</v>
      </c>
      <c r="D1395" s="105" t="s">
        <v>7</v>
      </c>
      <c r="E1395">
        <v>38</v>
      </c>
      <c r="F1395">
        <v>31300.5</v>
      </c>
    </row>
    <row r="1396" spans="1:6" hidden="1" x14ac:dyDescent="0.3">
      <c r="A1396">
        <v>2025</v>
      </c>
      <c r="B1396">
        <v>8</v>
      </c>
      <c r="C1396" s="105" t="s">
        <v>44</v>
      </c>
      <c r="D1396" s="105" t="s">
        <v>8</v>
      </c>
      <c r="E1396">
        <v>28</v>
      </c>
      <c r="F1396">
        <v>21516.68</v>
      </c>
    </row>
    <row r="1397" spans="1:6" hidden="1" x14ac:dyDescent="0.3">
      <c r="A1397">
        <v>2025</v>
      </c>
      <c r="B1397">
        <v>8</v>
      </c>
      <c r="C1397" s="105" t="s">
        <v>44</v>
      </c>
      <c r="D1397" s="105" t="s">
        <v>9</v>
      </c>
      <c r="E1397">
        <v>18</v>
      </c>
      <c r="F1397">
        <v>13149.61</v>
      </c>
    </row>
    <row r="1398" spans="1:6" hidden="1" x14ac:dyDescent="0.3">
      <c r="A1398">
        <v>2025</v>
      </c>
      <c r="B1398">
        <v>8</v>
      </c>
      <c r="C1398" s="105" t="s">
        <v>44</v>
      </c>
      <c r="D1398" s="105" t="s">
        <v>10</v>
      </c>
      <c r="E1398">
        <v>110</v>
      </c>
      <c r="F1398">
        <v>79129.05</v>
      </c>
    </row>
    <row r="1399" spans="1:6" hidden="1" x14ac:dyDescent="0.3">
      <c r="A1399">
        <v>2025</v>
      </c>
      <c r="B1399">
        <v>8</v>
      </c>
      <c r="C1399" s="105" t="s">
        <v>44</v>
      </c>
      <c r="D1399" s="105" t="s">
        <v>11</v>
      </c>
      <c r="E1399">
        <v>76</v>
      </c>
      <c r="F1399">
        <v>63546.44</v>
      </c>
    </row>
    <row r="1400" spans="1:6" hidden="1" x14ac:dyDescent="0.3">
      <c r="A1400">
        <v>2025</v>
      </c>
      <c r="B1400">
        <v>8</v>
      </c>
      <c r="C1400" s="105" t="s">
        <v>44</v>
      </c>
      <c r="D1400" s="105" t="s">
        <v>59</v>
      </c>
      <c r="E1400">
        <v>7</v>
      </c>
      <c r="F1400">
        <v>3596</v>
      </c>
    </row>
    <row r="1401" spans="1:6" hidden="1" x14ac:dyDescent="0.3">
      <c r="A1401">
        <v>2025</v>
      </c>
      <c r="B1401">
        <v>8</v>
      </c>
      <c r="C1401" s="105" t="s">
        <v>44</v>
      </c>
      <c r="D1401" s="105" t="s">
        <v>12</v>
      </c>
      <c r="E1401">
        <v>63</v>
      </c>
      <c r="F1401">
        <v>42856.01</v>
      </c>
    </row>
    <row r="1402" spans="1:6" hidden="1" x14ac:dyDescent="0.3">
      <c r="A1402">
        <v>2025</v>
      </c>
      <c r="B1402">
        <v>8</v>
      </c>
      <c r="C1402" s="105" t="s">
        <v>44</v>
      </c>
      <c r="D1402" s="105" t="s">
        <v>13</v>
      </c>
      <c r="E1402">
        <v>102</v>
      </c>
      <c r="F1402">
        <v>82656.149999999994</v>
      </c>
    </row>
    <row r="1403" spans="1:6" hidden="1" x14ac:dyDescent="0.3">
      <c r="A1403">
        <v>2025</v>
      </c>
      <c r="B1403">
        <v>8</v>
      </c>
      <c r="C1403" s="105" t="s">
        <v>44</v>
      </c>
      <c r="D1403" s="105" t="s">
        <v>14</v>
      </c>
      <c r="E1403">
        <v>54</v>
      </c>
      <c r="F1403">
        <v>36308.32</v>
      </c>
    </row>
    <row r="1404" spans="1:6" hidden="1" x14ac:dyDescent="0.3">
      <c r="A1404">
        <v>2025</v>
      </c>
      <c r="B1404">
        <v>8</v>
      </c>
      <c r="C1404" s="105" t="s">
        <v>44</v>
      </c>
      <c r="D1404" s="105" t="s">
        <v>15</v>
      </c>
      <c r="E1404">
        <v>17</v>
      </c>
      <c r="F1404">
        <v>13574.16</v>
      </c>
    </row>
    <row r="1405" spans="1:6" hidden="1" x14ac:dyDescent="0.3">
      <c r="A1405">
        <v>2025</v>
      </c>
      <c r="B1405">
        <v>8</v>
      </c>
      <c r="C1405" s="105" t="s">
        <v>44</v>
      </c>
      <c r="D1405" s="105" t="s">
        <v>16</v>
      </c>
      <c r="E1405">
        <v>43</v>
      </c>
      <c r="F1405">
        <v>28183.97</v>
      </c>
    </row>
    <row r="1406" spans="1:6" hidden="1" x14ac:dyDescent="0.3">
      <c r="A1406">
        <v>2025</v>
      </c>
      <c r="B1406">
        <v>8</v>
      </c>
      <c r="C1406" s="105" t="s">
        <v>44</v>
      </c>
      <c r="D1406" s="105" t="s">
        <v>54</v>
      </c>
      <c r="E1406">
        <v>2</v>
      </c>
      <c r="F1406">
        <v>1759</v>
      </c>
    </row>
    <row r="1407" spans="1:6" hidden="1" x14ac:dyDescent="0.3">
      <c r="A1407">
        <v>2025</v>
      </c>
      <c r="B1407">
        <v>8</v>
      </c>
      <c r="C1407" s="105" t="s">
        <v>44</v>
      </c>
      <c r="D1407" s="105" t="s">
        <v>17</v>
      </c>
      <c r="E1407">
        <v>147</v>
      </c>
      <c r="F1407">
        <v>107806.98</v>
      </c>
    </row>
    <row r="1408" spans="1:6" hidden="1" x14ac:dyDescent="0.3">
      <c r="A1408">
        <v>2025</v>
      </c>
      <c r="B1408">
        <v>8</v>
      </c>
      <c r="C1408" s="105" t="s">
        <v>44</v>
      </c>
      <c r="D1408" s="105" t="s">
        <v>18</v>
      </c>
      <c r="E1408">
        <v>194</v>
      </c>
      <c r="F1408">
        <v>152063.76</v>
      </c>
    </row>
    <row r="1409" spans="1:6" hidden="1" x14ac:dyDescent="0.3">
      <c r="A1409">
        <v>2025</v>
      </c>
      <c r="B1409">
        <v>8</v>
      </c>
      <c r="C1409" s="105" t="s">
        <v>44</v>
      </c>
      <c r="D1409" s="105" t="s">
        <v>50</v>
      </c>
      <c r="E1409">
        <v>7</v>
      </c>
      <c r="F1409">
        <v>4467</v>
      </c>
    </row>
    <row r="1410" spans="1:6" hidden="1" x14ac:dyDescent="0.3">
      <c r="A1410">
        <v>2025</v>
      </c>
      <c r="B1410">
        <v>8</v>
      </c>
      <c r="C1410" s="105" t="s">
        <v>44</v>
      </c>
      <c r="D1410" s="105" t="s">
        <v>19</v>
      </c>
      <c r="E1410">
        <v>27</v>
      </c>
      <c r="F1410">
        <v>19394.419999999998</v>
      </c>
    </row>
    <row r="1411" spans="1:6" x14ac:dyDescent="0.3">
      <c r="A1411">
        <v>2025</v>
      </c>
      <c r="B1411">
        <v>8</v>
      </c>
      <c r="C1411" s="105" t="s">
        <v>44</v>
      </c>
      <c r="D1411" s="105" t="s">
        <v>20</v>
      </c>
      <c r="E1411">
        <v>70</v>
      </c>
      <c r="F1411">
        <v>61385.99</v>
      </c>
    </row>
    <row r="1412" spans="1:6" hidden="1" x14ac:dyDescent="0.3">
      <c r="A1412">
        <v>2025</v>
      </c>
      <c r="B1412">
        <v>8</v>
      </c>
      <c r="C1412" s="105" t="s">
        <v>44</v>
      </c>
      <c r="D1412" s="105" t="s">
        <v>21</v>
      </c>
      <c r="E1412">
        <v>158</v>
      </c>
      <c r="F1412">
        <v>137963.01999999999</v>
      </c>
    </row>
    <row r="1413" spans="1:6" hidden="1" x14ac:dyDescent="0.3">
      <c r="A1413">
        <v>2025</v>
      </c>
      <c r="B1413">
        <v>8</v>
      </c>
      <c r="C1413" s="105" t="s">
        <v>44</v>
      </c>
      <c r="D1413" s="105" t="s">
        <v>22</v>
      </c>
      <c r="E1413">
        <v>69</v>
      </c>
      <c r="F1413">
        <v>48482.17</v>
      </c>
    </row>
    <row r="1414" spans="1:6" hidden="1" x14ac:dyDescent="0.3">
      <c r="A1414">
        <v>2025</v>
      </c>
      <c r="B1414">
        <v>8</v>
      </c>
      <c r="C1414" s="105" t="s">
        <v>44</v>
      </c>
      <c r="D1414" s="105" t="s">
        <v>23</v>
      </c>
      <c r="E1414">
        <v>53</v>
      </c>
      <c r="F1414">
        <v>42846.54</v>
      </c>
    </row>
    <row r="1415" spans="1:6" hidden="1" x14ac:dyDescent="0.3">
      <c r="A1415">
        <v>2025</v>
      </c>
      <c r="B1415">
        <v>8</v>
      </c>
      <c r="C1415" s="105" t="s">
        <v>44</v>
      </c>
      <c r="D1415" s="105" t="s">
        <v>24</v>
      </c>
      <c r="E1415">
        <v>47</v>
      </c>
      <c r="F1415">
        <v>32866.79</v>
      </c>
    </row>
    <row r="1416" spans="1:6" hidden="1" x14ac:dyDescent="0.3">
      <c r="A1416">
        <v>2025</v>
      </c>
      <c r="B1416">
        <v>8</v>
      </c>
      <c r="C1416" s="105" t="s">
        <v>44</v>
      </c>
      <c r="D1416" s="105" t="s">
        <v>25</v>
      </c>
      <c r="E1416">
        <v>88</v>
      </c>
      <c r="F1416">
        <v>74425.39</v>
      </c>
    </row>
    <row r="1417" spans="1:6" hidden="1" x14ac:dyDescent="0.3">
      <c r="A1417">
        <v>2025</v>
      </c>
      <c r="B1417">
        <v>8</v>
      </c>
      <c r="C1417" s="105" t="s">
        <v>44</v>
      </c>
      <c r="D1417" s="105" t="s">
        <v>26</v>
      </c>
      <c r="E1417">
        <v>37</v>
      </c>
      <c r="F1417">
        <v>28697.47</v>
      </c>
    </row>
    <row r="1418" spans="1:6" hidden="1" x14ac:dyDescent="0.3">
      <c r="A1418">
        <v>2025</v>
      </c>
      <c r="B1418">
        <v>8</v>
      </c>
      <c r="C1418" s="105" t="s">
        <v>44</v>
      </c>
      <c r="D1418" s="105" t="s">
        <v>27</v>
      </c>
      <c r="E1418">
        <v>57</v>
      </c>
      <c r="F1418">
        <v>44802.28</v>
      </c>
    </row>
    <row r="1419" spans="1:6" hidden="1" x14ac:dyDescent="0.3">
      <c r="A1419">
        <v>2025</v>
      </c>
      <c r="B1419">
        <v>8</v>
      </c>
      <c r="C1419" s="105" t="s">
        <v>44</v>
      </c>
      <c r="D1419" s="105" t="s">
        <v>28</v>
      </c>
      <c r="E1419">
        <v>19</v>
      </c>
      <c r="F1419">
        <v>14060.3</v>
      </c>
    </row>
    <row r="1420" spans="1:6" hidden="1" x14ac:dyDescent="0.3">
      <c r="A1420">
        <v>2025</v>
      </c>
      <c r="B1420">
        <v>8</v>
      </c>
      <c r="C1420" s="105" t="s">
        <v>44</v>
      </c>
      <c r="D1420" s="105" t="s">
        <v>29</v>
      </c>
      <c r="E1420">
        <v>128</v>
      </c>
      <c r="F1420">
        <v>101378.45</v>
      </c>
    </row>
    <row r="1421" spans="1:6" hidden="1" x14ac:dyDescent="0.3">
      <c r="A1421">
        <v>2025</v>
      </c>
      <c r="B1421">
        <v>8</v>
      </c>
      <c r="C1421" s="105" t="s">
        <v>44</v>
      </c>
      <c r="D1421" s="105" t="s">
        <v>30</v>
      </c>
      <c r="E1421">
        <v>16</v>
      </c>
      <c r="F1421">
        <v>10264</v>
      </c>
    </row>
    <row r="1422" spans="1:6" hidden="1" x14ac:dyDescent="0.3">
      <c r="A1422">
        <v>2025</v>
      </c>
      <c r="B1422">
        <v>8</v>
      </c>
      <c r="C1422" s="105" t="s">
        <v>44</v>
      </c>
      <c r="D1422" s="105" t="s">
        <v>31</v>
      </c>
      <c r="E1422">
        <v>188</v>
      </c>
      <c r="F1422">
        <v>168590.07</v>
      </c>
    </row>
    <row r="1423" spans="1:6" hidden="1" x14ac:dyDescent="0.3">
      <c r="A1423">
        <v>2025</v>
      </c>
      <c r="B1423">
        <v>8</v>
      </c>
      <c r="C1423" s="105" t="s">
        <v>44</v>
      </c>
      <c r="D1423" s="105" t="s">
        <v>51</v>
      </c>
      <c r="E1423">
        <v>7</v>
      </c>
      <c r="F1423">
        <v>4672</v>
      </c>
    </row>
    <row r="1424" spans="1:6" hidden="1" x14ac:dyDescent="0.3">
      <c r="A1424">
        <v>2025</v>
      </c>
      <c r="B1424">
        <v>8</v>
      </c>
      <c r="C1424" s="105" t="s">
        <v>44</v>
      </c>
      <c r="D1424" s="105" t="s">
        <v>32</v>
      </c>
      <c r="E1424">
        <v>85</v>
      </c>
      <c r="F1424">
        <v>58844.52</v>
      </c>
    </row>
    <row r="1425" spans="1:6" hidden="1" x14ac:dyDescent="0.3">
      <c r="A1425">
        <v>2025</v>
      </c>
      <c r="B1425">
        <v>8</v>
      </c>
      <c r="C1425" s="105" t="s">
        <v>44</v>
      </c>
      <c r="D1425" s="105" t="s">
        <v>52</v>
      </c>
      <c r="E1425">
        <v>7</v>
      </c>
      <c r="F1425">
        <v>4891</v>
      </c>
    </row>
    <row r="1426" spans="1:6" hidden="1" x14ac:dyDescent="0.3">
      <c r="A1426">
        <v>2025</v>
      </c>
      <c r="B1426">
        <v>8</v>
      </c>
      <c r="C1426" s="105" t="s">
        <v>44</v>
      </c>
      <c r="D1426" s="105" t="s">
        <v>33</v>
      </c>
      <c r="E1426">
        <v>186</v>
      </c>
      <c r="F1426">
        <v>159327.38</v>
      </c>
    </row>
    <row r="1427" spans="1:6" hidden="1" x14ac:dyDescent="0.3">
      <c r="A1427">
        <v>2025</v>
      </c>
      <c r="B1427">
        <v>8</v>
      </c>
      <c r="C1427" s="105" t="s">
        <v>44</v>
      </c>
      <c r="D1427" s="105" t="s">
        <v>58</v>
      </c>
      <c r="E1427">
        <v>3</v>
      </c>
      <c r="F1427">
        <v>1913</v>
      </c>
    </row>
    <row r="1428" spans="1:6" hidden="1" x14ac:dyDescent="0.3">
      <c r="A1428">
        <v>2025</v>
      </c>
      <c r="B1428">
        <v>8</v>
      </c>
      <c r="C1428" s="105" t="s">
        <v>44</v>
      </c>
      <c r="D1428" s="105" t="s">
        <v>34</v>
      </c>
      <c r="E1428">
        <v>160</v>
      </c>
      <c r="F1428">
        <v>128715.41</v>
      </c>
    </row>
    <row r="1429" spans="1:6" hidden="1" x14ac:dyDescent="0.3">
      <c r="A1429">
        <v>2025</v>
      </c>
      <c r="B1429">
        <v>8</v>
      </c>
      <c r="C1429" s="105" t="s">
        <v>44</v>
      </c>
      <c r="D1429" s="105" t="s">
        <v>56</v>
      </c>
      <c r="E1429">
        <v>1</v>
      </c>
      <c r="F1429">
        <v>690</v>
      </c>
    </row>
    <row r="1430" spans="1:6" hidden="1" x14ac:dyDescent="0.3">
      <c r="A1430">
        <v>2025</v>
      </c>
      <c r="B1430">
        <v>8</v>
      </c>
      <c r="C1430" s="105" t="s">
        <v>44</v>
      </c>
      <c r="D1430" s="105" t="s">
        <v>57</v>
      </c>
      <c r="E1430">
        <v>4</v>
      </c>
      <c r="F1430">
        <v>1300</v>
      </c>
    </row>
    <row r="1431" spans="1:6" hidden="1" x14ac:dyDescent="0.3">
      <c r="A1431">
        <v>2025</v>
      </c>
      <c r="B1431">
        <v>8</v>
      </c>
      <c r="C1431" s="105" t="s">
        <v>44</v>
      </c>
      <c r="D1431" s="105" t="s">
        <v>49</v>
      </c>
      <c r="E1431">
        <v>2</v>
      </c>
      <c r="F1431">
        <v>950</v>
      </c>
    </row>
    <row r="1432" spans="1:6" hidden="1" x14ac:dyDescent="0.3">
      <c r="A1432">
        <v>2025</v>
      </c>
      <c r="B1432">
        <v>8</v>
      </c>
      <c r="C1432" s="105" t="s">
        <v>44</v>
      </c>
      <c r="D1432" s="105" t="s">
        <v>53</v>
      </c>
      <c r="E1432">
        <v>8</v>
      </c>
      <c r="F1432">
        <v>6689</v>
      </c>
    </row>
    <row r="1433" spans="1:6" hidden="1" x14ac:dyDescent="0.3">
      <c r="A1433">
        <v>2025</v>
      </c>
      <c r="B1433">
        <v>8</v>
      </c>
      <c r="C1433" s="105" t="s">
        <v>44</v>
      </c>
      <c r="D1433" s="105" t="s">
        <v>35</v>
      </c>
      <c r="E1433">
        <v>67</v>
      </c>
      <c r="F1433">
        <v>52507.88</v>
      </c>
    </row>
    <row r="1434" spans="1:6" hidden="1" x14ac:dyDescent="0.3">
      <c r="A1434">
        <v>2025</v>
      </c>
      <c r="B1434">
        <v>8</v>
      </c>
      <c r="C1434" s="105" t="s">
        <v>44</v>
      </c>
      <c r="D1434" s="105" t="s">
        <v>36</v>
      </c>
      <c r="E1434">
        <v>42</v>
      </c>
      <c r="F1434">
        <v>33673.81</v>
      </c>
    </row>
    <row r="1435" spans="1:6" hidden="1" x14ac:dyDescent="0.3">
      <c r="A1435">
        <v>2025</v>
      </c>
      <c r="B1435">
        <v>8</v>
      </c>
      <c r="C1435" s="105" t="s">
        <v>44</v>
      </c>
      <c r="D1435" s="105" t="s">
        <v>37</v>
      </c>
      <c r="E1435">
        <v>91</v>
      </c>
      <c r="F1435">
        <v>73857.14</v>
      </c>
    </row>
    <row r="1436" spans="1:6" hidden="1" x14ac:dyDescent="0.3">
      <c r="A1436">
        <v>2025</v>
      </c>
      <c r="B1436">
        <v>9</v>
      </c>
      <c r="C1436" s="105" t="s">
        <v>45</v>
      </c>
      <c r="D1436" s="105" t="s">
        <v>7</v>
      </c>
      <c r="E1436">
        <v>57</v>
      </c>
      <c r="F1436">
        <v>42146.98</v>
      </c>
    </row>
    <row r="1437" spans="1:6" hidden="1" x14ac:dyDescent="0.3">
      <c r="A1437">
        <v>2025</v>
      </c>
      <c r="B1437">
        <v>9</v>
      </c>
      <c r="C1437" s="105" t="s">
        <v>45</v>
      </c>
      <c r="D1437" s="105" t="s">
        <v>8</v>
      </c>
      <c r="E1437">
        <v>36</v>
      </c>
      <c r="F1437">
        <v>29285.88</v>
      </c>
    </row>
    <row r="1438" spans="1:6" hidden="1" x14ac:dyDescent="0.3">
      <c r="A1438">
        <v>2025</v>
      </c>
      <c r="B1438">
        <v>9</v>
      </c>
      <c r="C1438" s="105" t="s">
        <v>45</v>
      </c>
      <c r="D1438" s="105" t="s">
        <v>9</v>
      </c>
      <c r="E1438">
        <v>22</v>
      </c>
      <c r="F1438">
        <v>15817.36</v>
      </c>
    </row>
    <row r="1439" spans="1:6" hidden="1" x14ac:dyDescent="0.3">
      <c r="A1439">
        <v>2025</v>
      </c>
      <c r="B1439">
        <v>9</v>
      </c>
      <c r="C1439" s="105" t="s">
        <v>45</v>
      </c>
      <c r="D1439" s="105" t="s">
        <v>10</v>
      </c>
      <c r="E1439">
        <v>89</v>
      </c>
      <c r="F1439">
        <v>81643.289999999994</v>
      </c>
    </row>
    <row r="1440" spans="1:6" hidden="1" x14ac:dyDescent="0.3">
      <c r="A1440">
        <v>2025</v>
      </c>
      <c r="B1440">
        <v>9</v>
      </c>
      <c r="C1440" s="105" t="s">
        <v>45</v>
      </c>
      <c r="D1440" s="105" t="s">
        <v>11</v>
      </c>
      <c r="E1440">
        <v>107</v>
      </c>
      <c r="F1440">
        <v>81738.8</v>
      </c>
    </row>
    <row r="1441" spans="1:6" hidden="1" x14ac:dyDescent="0.3">
      <c r="A1441">
        <v>2025</v>
      </c>
      <c r="B1441">
        <v>9</v>
      </c>
      <c r="C1441" s="105" t="s">
        <v>45</v>
      </c>
      <c r="D1441" s="105" t="s">
        <v>59</v>
      </c>
      <c r="E1441">
        <v>4</v>
      </c>
      <c r="F1441">
        <v>1909</v>
      </c>
    </row>
    <row r="1442" spans="1:6" hidden="1" x14ac:dyDescent="0.3">
      <c r="A1442">
        <v>2025</v>
      </c>
      <c r="B1442">
        <v>9</v>
      </c>
      <c r="C1442" s="105" t="s">
        <v>45</v>
      </c>
      <c r="D1442" s="105" t="s">
        <v>12</v>
      </c>
      <c r="E1442">
        <v>92</v>
      </c>
      <c r="F1442">
        <v>124327.01</v>
      </c>
    </row>
    <row r="1443" spans="1:6" hidden="1" x14ac:dyDescent="0.3">
      <c r="A1443">
        <v>2025</v>
      </c>
      <c r="B1443">
        <v>9</v>
      </c>
      <c r="C1443" s="105" t="s">
        <v>45</v>
      </c>
      <c r="D1443" s="105" t="s">
        <v>13</v>
      </c>
      <c r="E1443">
        <v>113</v>
      </c>
      <c r="F1443">
        <v>70287.61</v>
      </c>
    </row>
    <row r="1444" spans="1:6" hidden="1" x14ac:dyDescent="0.3">
      <c r="A1444">
        <v>2025</v>
      </c>
      <c r="B1444">
        <v>9</v>
      </c>
      <c r="C1444" s="105" t="s">
        <v>45</v>
      </c>
      <c r="D1444" s="105" t="s">
        <v>14</v>
      </c>
      <c r="E1444">
        <v>66</v>
      </c>
      <c r="F1444">
        <v>45287.47</v>
      </c>
    </row>
    <row r="1445" spans="1:6" hidden="1" x14ac:dyDescent="0.3">
      <c r="A1445">
        <v>2025</v>
      </c>
      <c r="B1445">
        <v>9</v>
      </c>
      <c r="C1445" s="105" t="s">
        <v>45</v>
      </c>
      <c r="D1445" s="105" t="s">
        <v>15</v>
      </c>
      <c r="E1445">
        <v>25</v>
      </c>
      <c r="F1445">
        <v>20466</v>
      </c>
    </row>
    <row r="1446" spans="1:6" hidden="1" x14ac:dyDescent="0.3">
      <c r="A1446">
        <v>2025</v>
      </c>
      <c r="B1446">
        <v>9</v>
      </c>
      <c r="C1446" s="105" t="s">
        <v>45</v>
      </c>
      <c r="D1446" s="105" t="s">
        <v>16</v>
      </c>
      <c r="E1446">
        <v>45</v>
      </c>
      <c r="F1446">
        <v>32476.34</v>
      </c>
    </row>
    <row r="1447" spans="1:6" hidden="1" x14ac:dyDescent="0.3">
      <c r="A1447">
        <v>2025</v>
      </c>
      <c r="B1447">
        <v>9</v>
      </c>
      <c r="C1447" s="105" t="s">
        <v>45</v>
      </c>
      <c r="D1447" s="105" t="s">
        <v>54</v>
      </c>
      <c r="E1447">
        <v>1</v>
      </c>
      <c r="F1447">
        <v>781</v>
      </c>
    </row>
    <row r="1448" spans="1:6" hidden="1" x14ac:dyDescent="0.3">
      <c r="A1448">
        <v>2025</v>
      </c>
      <c r="B1448">
        <v>9</v>
      </c>
      <c r="C1448" s="105" t="s">
        <v>45</v>
      </c>
      <c r="D1448" s="105" t="s">
        <v>17</v>
      </c>
      <c r="E1448">
        <v>210</v>
      </c>
      <c r="F1448">
        <v>150804.76</v>
      </c>
    </row>
    <row r="1449" spans="1:6" hidden="1" x14ac:dyDescent="0.3">
      <c r="A1449">
        <v>2025</v>
      </c>
      <c r="B1449">
        <v>9</v>
      </c>
      <c r="C1449" s="105" t="s">
        <v>45</v>
      </c>
      <c r="D1449" s="105" t="s">
        <v>18</v>
      </c>
      <c r="E1449">
        <v>181</v>
      </c>
      <c r="F1449">
        <v>129857.11</v>
      </c>
    </row>
    <row r="1450" spans="1:6" hidden="1" x14ac:dyDescent="0.3">
      <c r="A1450">
        <v>2025</v>
      </c>
      <c r="B1450">
        <v>9</v>
      </c>
      <c r="C1450" s="105" t="s">
        <v>45</v>
      </c>
      <c r="D1450" s="105" t="s">
        <v>50</v>
      </c>
      <c r="E1450">
        <v>6</v>
      </c>
      <c r="F1450">
        <v>2664</v>
      </c>
    </row>
    <row r="1451" spans="1:6" hidden="1" x14ac:dyDescent="0.3">
      <c r="A1451">
        <v>2025</v>
      </c>
      <c r="B1451">
        <v>9</v>
      </c>
      <c r="C1451" s="105" t="s">
        <v>45</v>
      </c>
      <c r="D1451" s="105" t="s">
        <v>55</v>
      </c>
      <c r="E1451">
        <v>3</v>
      </c>
      <c r="F1451">
        <v>1846</v>
      </c>
    </row>
    <row r="1452" spans="1:6" hidden="1" x14ac:dyDescent="0.3">
      <c r="A1452">
        <v>2025</v>
      </c>
      <c r="B1452">
        <v>9</v>
      </c>
      <c r="C1452" s="105" t="s">
        <v>45</v>
      </c>
      <c r="D1452" s="105" t="s">
        <v>19</v>
      </c>
      <c r="E1452">
        <v>33</v>
      </c>
      <c r="F1452">
        <v>23186.240000000002</v>
      </c>
    </row>
    <row r="1453" spans="1:6" x14ac:dyDescent="0.3">
      <c r="A1453">
        <v>2025</v>
      </c>
      <c r="B1453">
        <v>9</v>
      </c>
      <c r="C1453" s="105" t="s">
        <v>45</v>
      </c>
      <c r="D1453" s="105" t="s">
        <v>20</v>
      </c>
      <c r="E1453">
        <v>73</v>
      </c>
      <c r="F1453">
        <v>81853.48</v>
      </c>
    </row>
    <row r="1454" spans="1:6" hidden="1" x14ac:dyDescent="0.3">
      <c r="A1454">
        <v>2025</v>
      </c>
      <c r="B1454">
        <v>9</v>
      </c>
      <c r="C1454" s="105" t="s">
        <v>45</v>
      </c>
      <c r="D1454" s="105" t="s">
        <v>21</v>
      </c>
      <c r="E1454">
        <v>161</v>
      </c>
      <c r="F1454">
        <v>133682.62</v>
      </c>
    </row>
    <row r="1455" spans="1:6" hidden="1" x14ac:dyDescent="0.3">
      <c r="A1455">
        <v>2025</v>
      </c>
      <c r="B1455">
        <v>9</v>
      </c>
      <c r="C1455" s="105" t="s">
        <v>45</v>
      </c>
      <c r="D1455" s="105" t="s">
        <v>22</v>
      </c>
      <c r="E1455">
        <v>55</v>
      </c>
      <c r="F1455">
        <v>38874.21</v>
      </c>
    </row>
    <row r="1456" spans="1:6" hidden="1" x14ac:dyDescent="0.3">
      <c r="A1456">
        <v>2025</v>
      </c>
      <c r="B1456">
        <v>9</v>
      </c>
      <c r="C1456" s="105" t="s">
        <v>45</v>
      </c>
      <c r="D1456" s="105" t="s">
        <v>23</v>
      </c>
      <c r="E1456">
        <v>85</v>
      </c>
      <c r="F1456">
        <v>56537.22</v>
      </c>
    </row>
    <row r="1457" spans="1:6" hidden="1" x14ac:dyDescent="0.3">
      <c r="A1457">
        <v>2025</v>
      </c>
      <c r="B1457">
        <v>9</v>
      </c>
      <c r="C1457" s="105" t="s">
        <v>45</v>
      </c>
      <c r="D1457" s="105" t="s">
        <v>24</v>
      </c>
      <c r="E1457">
        <v>48</v>
      </c>
      <c r="F1457">
        <v>36225.39</v>
      </c>
    </row>
    <row r="1458" spans="1:6" hidden="1" x14ac:dyDescent="0.3">
      <c r="A1458">
        <v>2025</v>
      </c>
      <c r="B1458">
        <v>9</v>
      </c>
      <c r="C1458" s="105" t="s">
        <v>45</v>
      </c>
      <c r="D1458" s="105" t="s">
        <v>25</v>
      </c>
      <c r="E1458">
        <v>93</v>
      </c>
      <c r="F1458">
        <v>83916.96</v>
      </c>
    </row>
    <row r="1459" spans="1:6" hidden="1" x14ac:dyDescent="0.3">
      <c r="A1459">
        <v>2025</v>
      </c>
      <c r="B1459">
        <v>9</v>
      </c>
      <c r="C1459" s="105" t="s">
        <v>45</v>
      </c>
      <c r="D1459" s="105" t="s">
        <v>26</v>
      </c>
      <c r="E1459">
        <v>49</v>
      </c>
      <c r="F1459">
        <v>36109.839999999997</v>
      </c>
    </row>
    <row r="1460" spans="1:6" hidden="1" x14ac:dyDescent="0.3">
      <c r="A1460">
        <v>2025</v>
      </c>
      <c r="B1460">
        <v>9</v>
      </c>
      <c r="C1460" s="105" t="s">
        <v>45</v>
      </c>
      <c r="D1460" s="105" t="s">
        <v>27</v>
      </c>
      <c r="E1460">
        <v>52</v>
      </c>
      <c r="F1460">
        <v>44277.16</v>
      </c>
    </row>
    <row r="1461" spans="1:6" hidden="1" x14ac:dyDescent="0.3">
      <c r="A1461">
        <v>2025</v>
      </c>
      <c r="B1461">
        <v>9</v>
      </c>
      <c r="C1461" s="105" t="s">
        <v>45</v>
      </c>
      <c r="D1461" s="105" t="s">
        <v>28</v>
      </c>
      <c r="E1461">
        <v>17</v>
      </c>
      <c r="F1461">
        <v>13374.73</v>
      </c>
    </row>
    <row r="1462" spans="1:6" hidden="1" x14ac:dyDescent="0.3">
      <c r="A1462">
        <v>2025</v>
      </c>
      <c r="B1462">
        <v>9</v>
      </c>
      <c r="C1462" s="105" t="s">
        <v>45</v>
      </c>
      <c r="D1462" s="105" t="s">
        <v>29</v>
      </c>
      <c r="E1462">
        <v>137</v>
      </c>
      <c r="F1462">
        <v>103951.81</v>
      </c>
    </row>
    <row r="1463" spans="1:6" hidden="1" x14ac:dyDescent="0.3">
      <c r="A1463">
        <v>2025</v>
      </c>
      <c r="B1463">
        <v>9</v>
      </c>
      <c r="C1463" s="105" t="s">
        <v>45</v>
      </c>
      <c r="D1463" s="105" t="s">
        <v>30</v>
      </c>
      <c r="E1463">
        <v>36</v>
      </c>
      <c r="F1463">
        <v>32619.86</v>
      </c>
    </row>
    <row r="1464" spans="1:6" hidden="1" x14ac:dyDescent="0.3">
      <c r="A1464">
        <v>2025</v>
      </c>
      <c r="B1464">
        <v>9</v>
      </c>
      <c r="C1464" s="105" t="s">
        <v>45</v>
      </c>
      <c r="D1464" s="105" t="s">
        <v>31</v>
      </c>
      <c r="E1464">
        <v>231</v>
      </c>
      <c r="F1464">
        <v>172913.26</v>
      </c>
    </row>
    <row r="1465" spans="1:6" hidden="1" x14ac:dyDescent="0.3">
      <c r="A1465">
        <v>2025</v>
      </c>
      <c r="B1465">
        <v>9</v>
      </c>
      <c r="C1465" s="105" t="s">
        <v>45</v>
      </c>
      <c r="D1465" s="105" t="s">
        <v>51</v>
      </c>
      <c r="E1465">
        <v>8</v>
      </c>
      <c r="F1465">
        <v>3886</v>
      </c>
    </row>
    <row r="1466" spans="1:6" hidden="1" x14ac:dyDescent="0.3">
      <c r="A1466">
        <v>2025</v>
      </c>
      <c r="B1466">
        <v>9</v>
      </c>
      <c r="C1466" s="105" t="s">
        <v>45</v>
      </c>
      <c r="D1466" s="105" t="s">
        <v>32</v>
      </c>
      <c r="E1466">
        <v>62</v>
      </c>
      <c r="F1466">
        <v>41029.74</v>
      </c>
    </row>
    <row r="1467" spans="1:6" hidden="1" x14ac:dyDescent="0.3">
      <c r="A1467">
        <v>2025</v>
      </c>
      <c r="B1467">
        <v>9</v>
      </c>
      <c r="C1467" s="105" t="s">
        <v>45</v>
      </c>
      <c r="D1467" s="105" t="s">
        <v>52</v>
      </c>
      <c r="E1467">
        <v>13</v>
      </c>
      <c r="F1467">
        <v>5786</v>
      </c>
    </row>
    <row r="1468" spans="1:6" hidden="1" x14ac:dyDescent="0.3">
      <c r="A1468">
        <v>2025</v>
      </c>
      <c r="B1468">
        <v>9</v>
      </c>
      <c r="C1468" s="105" t="s">
        <v>45</v>
      </c>
      <c r="D1468" s="105" t="s">
        <v>33</v>
      </c>
      <c r="E1468">
        <v>228</v>
      </c>
      <c r="F1468">
        <v>180461.89</v>
      </c>
    </row>
    <row r="1469" spans="1:6" hidden="1" x14ac:dyDescent="0.3">
      <c r="A1469">
        <v>2025</v>
      </c>
      <c r="B1469">
        <v>9</v>
      </c>
      <c r="C1469" s="105" t="s">
        <v>45</v>
      </c>
      <c r="D1469" s="105" t="s">
        <v>58</v>
      </c>
      <c r="E1469">
        <v>4</v>
      </c>
      <c r="F1469">
        <v>2165</v>
      </c>
    </row>
    <row r="1470" spans="1:6" hidden="1" x14ac:dyDescent="0.3">
      <c r="A1470">
        <v>2025</v>
      </c>
      <c r="B1470">
        <v>9</v>
      </c>
      <c r="C1470" s="105" t="s">
        <v>45</v>
      </c>
      <c r="D1470" s="105" t="s">
        <v>34</v>
      </c>
      <c r="E1470">
        <v>150</v>
      </c>
      <c r="F1470">
        <v>127937</v>
      </c>
    </row>
    <row r="1471" spans="1:6" hidden="1" x14ac:dyDescent="0.3">
      <c r="A1471">
        <v>2025</v>
      </c>
      <c r="B1471">
        <v>9</v>
      </c>
      <c r="C1471" s="105" t="s">
        <v>45</v>
      </c>
      <c r="D1471" s="105" t="s">
        <v>56</v>
      </c>
      <c r="E1471">
        <v>2</v>
      </c>
      <c r="F1471">
        <v>1718</v>
      </c>
    </row>
    <row r="1472" spans="1:6" hidden="1" x14ac:dyDescent="0.3">
      <c r="A1472">
        <v>2025</v>
      </c>
      <c r="B1472">
        <v>9</v>
      </c>
      <c r="C1472" s="105" t="s">
        <v>45</v>
      </c>
      <c r="D1472" s="105" t="s">
        <v>57</v>
      </c>
      <c r="E1472">
        <v>1</v>
      </c>
      <c r="F1472">
        <v>670</v>
      </c>
    </row>
    <row r="1473" spans="1:6" hidden="1" x14ac:dyDescent="0.3">
      <c r="A1473">
        <v>2025</v>
      </c>
      <c r="B1473">
        <v>9</v>
      </c>
      <c r="C1473" s="105" t="s">
        <v>45</v>
      </c>
      <c r="D1473" s="105" t="s">
        <v>49</v>
      </c>
      <c r="E1473">
        <v>1</v>
      </c>
      <c r="F1473">
        <v>828</v>
      </c>
    </row>
    <row r="1474" spans="1:6" hidden="1" x14ac:dyDescent="0.3">
      <c r="A1474">
        <v>2025</v>
      </c>
      <c r="B1474">
        <v>9</v>
      </c>
      <c r="C1474" s="105" t="s">
        <v>45</v>
      </c>
      <c r="D1474" s="105" t="s">
        <v>53</v>
      </c>
      <c r="E1474">
        <v>12</v>
      </c>
      <c r="F1474">
        <v>8526</v>
      </c>
    </row>
    <row r="1475" spans="1:6" hidden="1" x14ac:dyDescent="0.3">
      <c r="A1475">
        <v>2025</v>
      </c>
      <c r="B1475">
        <v>9</v>
      </c>
      <c r="C1475" s="105" t="s">
        <v>45</v>
      </c>
      <c r="D1475" s="105" t="s">
        <v>35</v>
      </c>
      <c r="E1475">
        <v>97</v>
      </c>
      <c r="F1475">
        <v>67294.570000000007</v>
      </c>
    </row>
    <row r="1476" spans="1:6" hidden="1" x14ac:dyDescent="0.3">
      <c r="A1476">
        <v>2025</v>
      </c>
      <c r="B1476">
        <v>9</v>
      </c>
      <c r="C1476" s="105" t="s">
        <v>45</v>
      </c>
      <c r="D1476" s="105" t="s">
        <v>36</v>
      </c>
      <c r="E1476">
        <v>57</v>
      </c>
      <c r="F1476">
        <v>45137.17</v>
      </c>
    </row>
    <row r="1477" spans="1:6" hidden="1" x14ac:dyDescent="0.3">
      <c r="A1477">
        <v>2025</v>
      </c>
      <c r="B1477">
        <v>9</v>
      </c>
      <c r="C1477" s="105" t="s">
        <v>45</v>
      </c>
      <c r="D1477" s="105" t="s">
        <v>37</v>
      </c>
      <c r="E1477">
        <v>123</v>
      </c>
      <c r="F1477">
        <v>89535.59</v>
      </c>
    </row>
    <row r="1478" spans="1:6" hidden="1" x14ac:dyDescent="0.3">
      <c r="A1478">
        <v>2025</v>
      </c>
      <c r="B1478">
        <v>10</v>
      </c>
      <c r="C1478" s="105" t="s">
        <v>46</v>
      </c>
      <c r="D1478" s="105" t="s">
        <v>7</v>
      </c>
      <c r="E1478">
        <v>51</v>
      </c>
      <c r="F1478">
        <v>41529.64</v>
      </c>
    </row>
    <row r="1479" spans="1:6" hidden="1" x14ac:dyDescent="0.3">
      <c r="A1479">
        <v>2025</v>
      </c>
      <c r="B1479">
        <v>10</v>
      </c>
      <c r="C1479" s="105" t="s">
        <v>46</v>
      </c>
      <c r="D1479" s="105" t="s">
        <v>8</v>
      </c>
      <c r="E1479">
        <v>37</v>
      </c>
      <c r="F1479">
        <v>36865.31</v>
      </c>
    </row>
    <row r="1480" spans="1:6" hidden="1" x14ac:dyDescent="0.3">
      <c r="A1480">
        <v>2025</v>
      </c>
      <c r="B1480">
        <v>10</v>
      </c>
      <c r="C1480" s="105" t="s">
        <v>46</v>
      </c>
      <c r="D1480" s="105" t="s">
        <v>9</v>
      </c>
      <c r="E1480">
        <v>18</v>
      </c>
      <c r="F1480">
        <v>22889.52</v>
      </c>
    </row>
    <row r="1481" spans="1:6" hidden="1" x14ac:dyDescent="0.3">
      <c r="A1481">
        <v>2025</v>
      </c>
      <c r="B1481">
        <v>10</v>
      </c>
      <c r="C1481" s="105" t="s">
        <v>46</v>
      </c>
      <c r="D1481" s="105" t="s">
        <v>10</v>
      </c>
      <c r="E1481">
        <v>87</v>
      </c>
      <c r="F1481">
        <v>90870.17</v>
      </c>
    </row>
    <row r="1482" spans="1:6" hidden="1" x14ac:dyDescent="0.3">
      <c r="A1482">
        <v>2025</v>
      </c>
      <c r="B1482">
        <v>10</v>
      </c>
      <c r="C1482" s="105" t="s">
        <v>46</v>
      </c>
      <c r="D1482" s="105" t="s">
        <v>11</v>
      </c>
      <c r="E1482">
        <v>84</v>
      </c>
      <c r="F1482">
        <v>66303.8</v>
      </c>
    </row>
    <row r="1483" spans="1:6" hidden="1" x14ac:dyDescent="0.3">
      <c r="A1483">
        <v>2025</v>
      </c>
      <c r="B1483">
        <v>10</v>
      </c>
      <c r="C1483" s="105" t="s">
        <v>46</v>
      </c>
      <c r="D1483" s="105" t="s">
        <v>59</v>
      </c>
      <c r="E1483">
        <v>4</v>
      </c>
      <c r="F1483">
        <v>2822</v>
      </c>
    </row>
    <row r="1484" spans="1:6" hidden="1" x14ac:dyDescent="0.3">
      <c r="A1484">
        <v>2025</v>
      </c>
      <c r="B1484">
        <v>10</v>
      </c>
      <c r="C1484" s="105" t="s">
        <v>46</v>
      </c>
      <c r="D1484" s="105" t="s">
        <v>12</v>
      </c>
      <c r="E1484">
        <v>67</v>
      </c>
      <c r="F1484">
        <v>55526.93</v>
      </c>
    </row>
    <row r="1485" spans="1:6" hidden="1" x14ac:dyDescent="0.3">
      <c r="A1485">
        <v>2025</v>
      </c>
      <c r="B1485">
        <v>10</v>
      </c>
      <c r="C1485" s="105" t="s">
        <v>46</v>
      </c>
      <c r="D1485" s="105" t="s">
        <v>13</v>
      </c>
      <c r="E1485">
        <v>92</v>
      </c>
      <c r="F1485">
        <v>66037.820000000007</v>
      </c>
    </row>
    <row r="1486" spans="1:6" hidden="1" x14ac:dyDescent="0.3">
      <c r="A1486">
        <v>2025</v>
      </c>
      <c r="B1486">
        <v>10</v>
      </c>
      <c r="C1486" s="105" t="s">
        <v>46</v>
      </c>
      <c r="D1486" s="105" t="s">
        <v>14</v>
      </c>
      <c r="E1486">
        <v>54</v>
      </c>
      <c r="F1486">
        <v>54273.1</v>
      </c>
    </row>
    <row r="1487" spans="1:6" hidden="1" x14ac:dyDescent="0.3">
      <c r="A1487">
        <v>2025</v>
      </c>
      <c r="B1487">
        <v>10</v>
      </c>
      <c r="C1487" s="105" t="s">
        <v>46</v>
      </c>
      <c r="D1487" s="105" t="s">
        <v>15</v>
      </c>
      <c r="E1487">
        <v>24</v>
      </c>
      <c r="F1487">
        <v>22311.84</v>
      </c>
    </row>
    <row r="1488" spans="1:6" hidden="1" x14ac:dyDescent="0.3">
      <c r="A1488">
        <v>2025</v>
      </c>
      <c r="B1488">
        <v>10</v>
      </c>
      <c r="C1488" s="105" t="s">
        <v>46</v>
      </c>
      <c r="D1488" s="105" t="s">
        <v>16</v>
      </c>
      <c r="E1488">
        <v>23</v>
      </c>
      <c r="F1488">
        <v>16805.900000000001</v>
      </c>
    </row>
    <row r="1489" spans="1:6" hidden="1" x14ac:dyDescent="0.3">
      <c r="A1489">
        <v>2025</v>
      </c>
      <c r="B1489">
        <v>10</v>
      </c>
      <c r="C1489" s="105" t="s">
        <v>46</v>
      </c>
      <c r="D1489" s="105" t="s">
        <v>17</v>
      </c>
      <c r="E1489">
        <v>168</v>
      </c>
      <c r="F1489">
        <v>120419.69</v>
      </c>
    </row>
    <row r="1490" spans="1:6" hidden="1" x14ac:dyDescent="0.3">
      <c r="A1490">
        <v>2025</v>
      </c>
      <c r="B1490">
        <v>10</v>
      </c>
      <c r="C1490" s="105" t="s">
        <v>46</v>
      </c>
      <c r="D1490" s="105" t="s">
        <v>18</v>
      </c>
      <c r="E1490">
        <v>133</v>
      </c>
      <c r="F1490">
        <v>116139.65</v>
      </c>
    </row>
    <row r="1491" spans="1:6" hidden="1" x14ac:dyDescent="0.3">
      <c r="A1491">
        <v>2025</v>
      </c>
      <c r="B1491">
        <v>10</v>
      </c>
      <c r="C1491" s="105" t="s">
        <v>46</v>
      </c>
      <c r="D1491" s="105" t="s">
        <v>50</v>
      </c>
      <c r="E1491">
        <v>12</v>
      </c>
      <c r="F1491">
        <v>4992</v>
      </c>
    </row>
    <row r="1492" spans="1:6" hidden="1" x14ac:dyDescent="0.3">
      <c r="A1492">
        <v>2025</v>
      </c>
      <c r="B1492">
        <v>10</v>
      </c>
      <c r="C1492" s="105" t="s">
        <v>46</v>
      </c>
      <c r="D1492" s="105" t="s">
        <v>19</v>
      </c>
      <c r="E1492">
        <v>28</v>
      </c>
      <c r="F1492">
        <v>18760.349999999999</v>
      </c>
    </row>
    <row r="1493" spans="1:6" x14ac:dyDescent="0.3">
      <c r="A1493">
        <v>2025</v>
      </c>
      <c r="B1493">
        <v>10</v>
      </c>
      <c r="C1493" s="105" t="s">
        <v>46</v>
      </c>
      <c r="D1493" s="105" t="s">
        <v>20</v>
      </c>
      <c r="E1493">
        <v>63</v>
      </c>
      <c r="F1493">
        <v>58452.73</v>
      </c>
    </row>
    <row r="1494" spans="1:6" hidden="1" x14ac:dyDescent="0.3">
      <c r="A1494">
        <v>2025</v>
      </c>
      <c r="B1494">
        <v>10</v>
      </c>
      <c r="C1494" s="105" t="s">
        <v>46</v>
      </c>
      <c r="D1494" s="105" t="s">
        <v>21</v>
      </c>
      <c r="E1494">
        <v>122</v>
      </c>
      <c r="F1494">
        <v>107346.43</v>
      </c>
    </row>
    <row r="1495" spans="1:6" hidden="1" x14ac:dyDescent="0.3">
      <c r="A1495">
        <v>2025</v>
      </c>
      <c r="B1495">
        <v>10</v>
      </c>
      <c r="C1495" s="105" t="s">
        <v>46</v>
      </c>
      <c r="D1495" s="105" t="s">
        <v>22</v>
      </c>
      <c r="E1495">
        <v>39</v>
      </c>
      <c r="F1495">
        <v>26600.16</v>
      </c>
    </row>
    <row r="1496" spans="1:6" hidden="1" x14ac:dyDescent="0.3">
      <c r="A1496">
        <v>2025</v>
      </c>
      <c r="B1496">
        <v>10</v>
      </c>
      <c r="C1496" s="105" t="s">
        <v>46</v>
      </c>
      <c r="D1496" s="105" t="s">
        <v>23</v>
      </c>
      <c r="E1496">
        <v>54</v>
      </c>
      <c r="F1496">
        <v>51737.42</v>
      </c>
    </row>
    <row r="1497" spans="1:6" hidden="1" x14ac:dyDescent="0.3">
      <c r="A1497">
        <v>2025</v>
      </c>
      <c r="B1497">
        <v>10</v>
      </c>
      <c r="C1497" s="105" t="s">
        <v>46</v>
      </c>
      <c r="D1497" s="105" t="s">
        <v>24</v>
      </c>
      <c r="E1497">
        <v>78</v>
      </c>
      <c r="F1497">
        <v>51378.59</v>
      </c>
    </row>
    <row r="1498" spans="1:6" hidden="1" x14ac:dyDescent="0.3">
      <c r="A1498">
        <v>2025</v>
      </c>
      <c r="B1498">
        <v>10</v>
      </c>
      <c r="C1498" s="105" t="s">
        <v>46</v>
      </c>
      <c r="D1498" s="105" t="s">
        <v>25</v>
      </c>
      <c r="E1498">
        <v>93</v>
      </c>
      <c r="F1498">
        <v>70812.89</v>
      </c>
    </row>
    <row r="1499" spans="1:6" hidden="1" x14ac:dyDescent="0.3">
      <c r="A1499">
        <v>2025</v>
      </c>
      <c r="B1499">
        <v>10</v>
      </c>
      <c r="C1499" s="105" t="s">
        <v>46</v>
      </c>
      <c r="D1499" s="105" t="s">
        <v>26</v>
      </c>
      <c r="E1499">
        <v>30</v>
      </c>
      <c r="F1499">
        <v>21070.32</v>
      </c>
    </row>
    <row r="1500" spans="1:6" hidden="1" x14ac:dyDescent="0.3">
      <c r="A1500">
        <v>2025</v>
      </c>
      <c r="B1500">
        <v>10</v>
      </c>
      <c r="C1500" s="105" t="s">
        <v>46</v>
      </c>
      <c r="D1500" s="105" t="s">
        <v>27</v>
      </c>
      <c r="E1500">
        <v>41</v>
      </c>
      <c r="F1500">
        <v>35124.6</v>
      </c>
    </row>
    <row r="1501" spans="1:6" hidden="1" x14ac:dyDescent="0.3">
      <c r="A1501">
        <v>2025</v>
      </c>
      <c r="B1501">
        <v>10</v>
      </c>
      <c r="C1501" s="105" t="s">
        <v>46</v>
      </c>
      <c r="D1501" s="105" t="s">
        <v>28</v>
      </c>
      <c r="E1501">
        <v>7</v>
      </c>
      <c r="F1501">
        <v>6143.12</v>
      </c>
    </row>
    <row r="1502" spans="1:6" hidden="1" x14ac:dyDescent="0.3">
      <c r="A1502">
        <v>2025</v>
      </c>
      <c r="B1502">
        <v>10</v>
      </c>
      <c r="C1502" s="105" t="s">
        <v>46</v>
      </c>
      <c r="D1502" s="105" t="s">
        <v>29</v>
      </c>
      <c r="E1502">
        <v>130</v>
      </c>
      <c r="F1502">
        <v>106844</v>
      </c>
    </row>
    <row r="1503" spans="1:6" hidden="1" x14ac:dyDescent="0.3">
      <c r="A1503">
        <v>2025</v>
      </c>
      <c r="B1503">
        <v>10</v>
      </c>
      <c r="C1503" s="105" t="s">
        <v>46</v>
      </c>
      <c r="D1503" s="105" t="s">
        <v>30</v>
      </c>
      <c r="E1503">
        <v>23</v>
      </c>
      <c r="F1503">
        <v>15731.34</v>
      </c>
    </row>
    <row r="1504" spans="1:6" hidden="1" x14ac:dyDescent="0.3">
      <c r="A1504">
        <v>2025</v>
      </c>
      <c r="B1504">
        <v>10</v>
      </c>
      <c r="C1504" s="105" t="s">
        <v>46</v>
      </c>
      <c r="D1504" s="105" t="s">
        <v>31</v>
      </c>
      <c r="E1504">
        <v>207</v>
      </c>
      <c r="F1504">
        <v>176207.14</v>
      </c>
    </row>
    <row r="1505" spans="1:6" hidden="1" x14ac:dyDescent="0.3">
      <c r="A1505">
        <v>2025</v>
      </c>
      <c r="B1505">
        <v>10</v>
      </c>
      <c r="C1505" s="105" t="s">
        <v>46</v>
      </c>
      <c r="D1505" s="105" t="s">
        <v>51</v>
      </c>
      <c r="E1505">
        <v>5</v>
      </c>
      <c r="F1505">
        <v>3955</v>
      </c>
    </row>
    <row r="1506" spans="1:6" hidden="1" x14ac:dyDescent="0.3">
      <c r="A1506">
        <v>2025</v>
      </c>
      <c r="B1506">
        <v>10</v>
      </c>
      <c r="C1506" s="105" t="s">
        <v>46</v>
      </c>
      <c r="D1506" s="105" t="s">
        <v>32</v>
      </c>
      <c r="E1506">
        <v>72</v>
      </c>
      <c r="F1506">
        <v>57384.68</v>
      </c>
    </row>
    <row r="1507" spans="1:6" hidden="1" x14ac:dyDescent="0.3">
      <c r="A1507">
        <v>2025</v>
      </c>
      <c r="B1507">
        <v>10</v>
      </c>
      <c r="C1507" s="105" t="s">
        <v>46</v>
      </c>
      <c r="D1507" s="105" t="s">
        <v>52</v>
      </c>
      <c r="E1507">
        <v>4</v>
      </c>
      <c r="F1507">
        <v>2578</v>
      </c>
    </row>
    <row r="1508" spans="1:6" hidden="1" x14ac:dyDescent="0.3">
      <c r="A1508">
        <v>2025</v>
      </c>
      <c r="B1508">
        <v>10</v>
      </c>
      <c r="C1508" s="105" t="s">
        <v>46</v>
      </c>
      <c r="D1508" s="105" t="s">
        <v>33</v>
      </c>
      <c r="E1508">
        <v>195</v>
      </c>
      <c r="F1508">
        <v>175163.19</v>
      </c>
    </row>
    <row r="1509" spans="1:6" hidden="1" x14ac:dyDescent="0.3">
      <c r="A1509">
        <v>2025</v>
      </c>
      <c r="B1509">
        <v>10</v>
      </c>
      <c r="C1509" s="105" t="s">
        <v>46</v>
      </c>
      <c r="D1509" s="105" t="s">
        <v>58</v>
      </c>
      <c r="E1509">
        <v>2</v>
      </c>
      <c r="F1509">
        <v>1689</v>
      </c>
    </row>
    <row r="1510" spans="1:6" hidden="1" x14ac:dyDescent="0.3">
      <c r="A1510">
        <v>2025</v>
      </c>
      <c r="B1510">
        <v>10</v>
      </c>
      <c r="C1510" s="105" t="s">
        <v>46</v>
      </c>
      <c r="D1510" s="105" t="s">
        <v>34</v>
      </c>
      <c r="E1510">
        <v>82</v>
      </c>
      <c r="F1510">
        <v>67802.59</v>
      </c>
    </row>
    <row r="1511" spans="1:6" hidden="1" x14ac:dyDescent="0.3">
      <c r="A1511">
        <v>2025</v>
      </c>
      <c r="B1511">
        <v>10</v>
      </c>
      <c r="C1511" s="105" t="s">
        <v>46</v>
      </c>
      <c r="D1511" s="105" t="s">
        <v>56</v>
      </c>
      <c r="E1511">
        <v>2</v>
      </c>
      <c r="F1511">
        <v>1096</v>
      </c>
    </row>
    <row r="1512" spans="1:6" hidden="1" x14ac:dyDescent="0.3">
      <c r="A1512">
        <v>2025</v>
      </c>
      <c r="B1512">
        <v>10</v>
      </c>
      <c r="C1512" s="105" t="s">
        <v>46</v>
      </c>
      <c r="D1512" s="105" t="s">
        <v>57</v>
      </c>
      <c r="E1512">
        <v>3</v>
      </c>
      <c r="F1512">
        <v>1430</v>
      </c>
    </row>
    <row r="1513" spans="1:6" hidden="1" x14ac:dyDescent="0.3">
      <c r="A1513">
        <v>2025</v>
      </c>
      <c r="B1513">
        <v>10</v>
      </c>
      <c r="C1513" s="105" t="s">
        <v>46</v>
      </c>
      <c r="D1513" s="105" t="s">
        <v>49</v>
      </c>
      <c r="E1513">
        <v>1</v>
      </c>
      <c r="F1513">
        <v>803</v>
      </c>
    </row>
    <row r="1514" spans="1:6" hidden="1" x14ac:dyDescent="0.3">
      <c r="A1514">
        <v>2025</v>
      </c>
      <c r="B1514">
        <v>10</v>
      </c>
      <c r="C1514" s="105" t="s">
        <v>46</v>
      </c>
      <c r="D1514" s="105" t="s">
        <v>53</v>
      </c>
      <c r="E1514">
        <v>14</v>
      </c>
      <c r="F1514">
        <v>7868</v>
      </c>
    </row>
    <row r="1515" spans="1:6" hidden="1" x14ac:dyDescent="0.3">
      <c r="A1515">
        <v>2025</v>
      </c>
      <c r="B1515">
        <v>10</v>
      </c>
      <c r="C1515" s="105" t="s">
        <v>46</v>
      </c>
      <c r="D1515" s="105" t="s">
        <v>35</v>
      </c>
      <c r="E1515">
        <v>68</v>
      </c>
      <c r="F1515">
        <v>71345.59</v>
      </c>
    </row>
    <row r="1516" spans="1:6" hidden="1" x14ac:dyDescent="0.3">
      <c r="A1516">
        <v>2025</v>
      </c>
      <c r="B1516">
        <v>10</v>
      </c>
      <c r="C1516" s="105" t="s">
        <v>46</v>
      </c>
      <c r="D1516" s="105" t="s">
        <v>36</v>
      </c>
      <c r="E1516">
        <v>50</v>
      </c>
      <c r="F1516">
        <v>38661.75</v>
      </c>
    </row>
    <row r="1517" spans="1:6" hidden="1" x14ac:dyDescent="0.3">
      <c r="A1517">
        <v>2025</v>
      </c>
      <c r="B1517">
        <v>10</v>
      </c>
      <c r="C1517" s="105" t="s">
        <v>46</v>
      </c>
      <c r="D1517" s="105" t="s">
        <v>37</v>
      </c>
      <c r="E1517">
        <v>116</v>
      </c>
      <c r="F1517">
        <v>92343.63</v>
      </c>
    </row>
    <row r="1518" spans="1:6" hidden="1" x14ac:dyDescent="0.3">
      <c r="A1518">
        <v>2025</v>
      </c>
      <c r="B1518">
        <v>11</v>
      </c>
      <c r="C1518" s="105" t="s">
        <v>47</v>
      </c>
      <c r="D1518" s="105" t="s">
        <v>7</v>
      </c>
      <c r="E1518">
        <v>39</v>
      </c>
      <c r="F1518">
        <v>35117.879999999997</v>
      </c>
    </row>
    <row r="1519" spans="1:6" hidden="1" x14ac:dyDescent="0.3">
      <c r="A1519">
        <v>2025</v>
      </c>
      <c r="B1519">
        <v>11</v>
      </c>
      <c r="C1519" s="105" t="s">
        <v>47</v>
      </c>
      <c r="D1519" s="105" t="s">
        <v>8</v>
      </c>
      <c r="E1519">
        <v>32</v>
      </c>
      <c r="F1519">
        <v>25285.27</v>
      </c>
    </row>
    <row r="1520" spans="1:6" hidden="1" x14ac:dyDescent="0.3">
      <c r="A1520">
        <v>2025</v>
      </c>
      <c r="B1520">
        <v>11</v>
      </c>
      <c r="C1520" s="105" t="s">
        <v>47</v>
      </c>
      <c r="D1520" s="105" t="s">
        <v>9</v>
      </c>
      <c r="E1520">
        <v>21</v>
      </c>
      <c r="F1520">
        <v>16623</v>
      </c>
    </row>
    <row r="1521" spans="1:6" hidden="1" x14ac:dyDescent="0.3">
      <c r="A1521">
        <v>2025</v>
      </c>
      <c r="B1521">
        <v>11</v>
      </c>
      <c r="C1521" s="105" t="s">
        <v>47</v>
      </c>
      <c r="D1521" s="105" t="s">
        <v>10</v>
      </c>
      <c r="E1521">
        <v>62</v>
      </c>
      <c r="F1521">
        <v>67383.83</v>
      </c>
    </row>
    <row r="1522" spans="1:6" hidden="1" x14ac:dyDescent="0.3">
      <c r="A1522">
        <v>2025</v>
      </c>
      <c r="B1522">
        <v>11</v>
      </c>
      <c r="C1522" s="105" t="s">
        <v>47</v>
      </c>
      <c r="D1522" s="105" t="s">
        <v>11</v>
      </c>
      <c r="E1522">
        <v>74</v>
      </c>
      <c r="F1522">
        <v>57713.2</v>
      </c>
    </row>
    <row r="1523" spans="1:6" hidden="1" x14ac:dyDescent="0.3">
      <c r="A1523">
        <v>2025</v>
      </c>
      <c r="B1523">
        <v>11</v>
      </c>
      <c r="C1523" s="105" t="s">
        <v>47</v>
      </c>
      <c r="D1523" s="105" t="s">
        <v>59</v>
      </c>
      <c r="E1523">
        <v>2</v>
      </c>
      <c r="F1523">
        <v>635</v>
      </c>
    </row>
    <row r="1524" spans="1:6" hidden="1" x14ac:dyDescent="0.3">
      <c r="A1524">
        <v>2025</v>
      </c>
      <c r="B1524">
        <v>11</v>
      </c>
      <c r="C1524" s="105" t="s">
        <v>47</v>
      </c>
      <c r="D1524" s="105" t="s">
        <v>12</v>
      </c>
      <c r="E1524">
        <v>85</v>
      </c>
      <c r="F1524">
        <v>71033.73</v>
      </c>
    </row>
    <row r="1525" spans="1:6" hidden="1" x14ac:dyDescent="0.3">
      <c r="A1525">
        <v>2025</v>
      </c>
      <c r="B1525">
        <v>11</v>
      </c>
      <c r="C1525" s="105" t="s">
        <v>47</v>
      </c>
      <c r="D1525" s="105" t="s">
        <v>13</v>
      </c>
      <c r="E1525">
        <v>85</v>
      </c>
      <c r="F1525">
        <v>71085.25</v>
      </c>
    </row>
    <row r="1526" spans="1:6" hidden="1" x14ac:dyDescent="0.3">
      <c r="A1526">
        <v>2025</v>
      </c>
      <c r="B1526">
        <v>11</v>
      </c>
      <c r="C1526" s="105" t="s">
        <v>47</v>
      </c>
      <c r="D1526" s="105" t="s">
        <v>14</v>
      </c>
      <c r="E1526">
        <v>34</v>
      </c>
      <c r="F1526">
        <v>43146.91</v>
      </c>
    </row>
    <row r="1527" spans="1:6" hidden="1" x14ac:dyDescent="0.3">
      <c r="A1527">
        <v>2025</v>
      </c>
      <c r="B1527">
        <v>11</v>
      </c>
      <c r="C1527" s="105" t="s">
        <v>47</v>
      </c>
      <c r="D1527" s="105" t="s">
        <v>15</v>
      </c>
      <c r="E1527">
        <v>19</v>
      </c>
      <c r="F1527">
        <v>12553.79</v>
      </c>
    </row>
    <row r="1528" spans="1:6" hidden="1" x14ac:dyDescent="0.3">
      <c r="A1528">
        <v>2025</v>
      </c>
      <c r="B1528">
        <v>11</v>
      </c>
      <c r="C1528" s="105" t="s">
        <v>47</v>
      </c>
      <c r="D1528" s="105" t="s">
        <v>16</v>
      </c>
      <c r="E1528">
        <v>19</v>
      </c>
      <c r="F1528">
        <v>14957.36</v>
      </c>
    </row>
    <row r="1529" spans="1:6" hidden="1" x14ac:dyDescent="0.3">
      <c r="A1529">
        <v>2025</v>
      </c>
      <c r="B1529">
        <v>11</v>
      </c>
      <c r="C1529" s="105" t="s">
        <v>47</v>
      </c>
      <c r="D1529" s="105" t="s">
        <v>54</v>
      </c>
      <c r="E1529">
        <v>3</v>
      </c>
      <c r="F1529">
        <v>1885</v>
      </c>
    </row>
    <row r="1530" spans="1:6" hidden="1" x14ac:dyDescent="0.3">
      <c r="A1530">
        <v>2025</v>
      </c>
      <c r="B1530">
        <v>11</v>
      </c>
      <c r="C1530" s="105" t="s">
        <v>47</v>
      </c>
      <c r="D1530" s="105" t="s">
        <v>17</v>
      </c>
      <c r="E1530">
        <v>112</v>
      </c>
      <c r="F1530">
        <v>90535.74</v>
      </c>
    </row>
    <row r="1531" spans="1:6" hidden="1" x14ac:dyDescent="0.3">
      <c r="A1531">
        <v>2025</v>
      </c>
      <c r="B1531">
        <v>11</v>
      </c>
      <c r="C1531" s="105" t="s">
        <v>47</v>
      </c>
      <c r="D1531" s="105" t="s">
        <v>18</v>
      </c>
      <c r="E1531">
        <v>127</v>
      </c>
      <c r="F1531">
        <v>109429.27</v>
      </c>
    </row>
    <row r="1532" spans="1:6" hidden="1" x14ac:dyDescent="0.3">
      <c r="A1532">
        <v>2025</v>
      </c>
      <c r="B1532">
        <v>11</v>
      </c>
      <c r="C1532" s="105" t="s">
        <v>47</v>
      </c>
      <c r="D1532" s="105" t="s">
        <v>50</v>
      </c>
      <c r="E1532">
        <v>12</v>
      </c>
      <c r="F1532">
        <v>9445</v>
      </c>
    </row>
    <row r="1533" spans="1:6" hidden="1" x14ac:dyDescent="0.3">
      <c r="A1533">
        <v>2025</v>
      </c>
      <c r="B1533">
        <v>11</v>
      </c>
      <c r="C1533" s="105" t="s">
        <v>47</v>
      </c>
      <c r="D1533" s="105" t="s">
        <v>55</v>
      </c>
      <c r="E1533">
        <v>6</v>
      </c>
      <c r="F1533">
        <v>5766</v>
      </c>
    </row>
    <row r="1534" spans="1:6" hidden="1" x14ac:dyDescent="0.3">
      <c r="A1534">
        <v>2025</v>
      </c>
      <c r="B1534">
        <v>11</v>
      </c>
      <c r="C1534" s="105" t="s">
        <v>47</v>
      </c>
      <c r="D1534" s="105" t="s">
        <v>19</v>
      </c>
      <c r="E1534">
        <v>12</v>
      </c>
      <c r="F1534">
        <v>8986.86</v>
      </c>
    </row>
    <row r="1535" spans="1:6" x14ac:dyDescent="0.3">
      <c r="A1535">
        <v>2025</v>
      </c>
      <c r="B1535">
        <v>11</v>
      </c>
      <c r="C1535" s="105" t="s">
        <v>47</v>
      </c>
      <c r="D1535" s="105" t="s">
        <v>20</v>
      </c>
      <c r="E1535">
        <v>44</v>
      </c>
      <c r="F1535">
        <v>40427.21</v>
      </c>
    </row>
    <row r="1536" spans="1:6" hidden="1" x14ac:dyDescent="0.3">
      <c r="A1536">
        <v>2025</v>
      </c>
      <c r="B1536">
        <v>11</v>
      </c>
      <c r="C1536" s="105" t="s">
        <v>47</v>
      </c>
      <c r="D1536" s="105" t="s">
        <v>21</v>
      </c>
      <c r="E1536">
        <v>114</v>
      </c>
      <c r="F1536">
        <v>115734.34</v>
      </c>
    </row>
    <row r="1537" spans="1:6" hidden="1" x14ac:dyDescent="0.3">
      <c r="A1537">
        <v>2025</v>
      </c>
      <c r="B1537">
        <v>11</v>
      </c>
      <c r="C1537" s="105" t="s">
        <v>47</v>
      </c>
      <c r="D1537" s="105" t="s">
        <v>22</v>
      </c>
      <c r="E1537">
        <v>40</v>
      </c>
      <c r="F1537">
        <v>29920.49</v>
      </c>
    </row>
    <row r="1538" spans="1:6" hidden="1" x14ac:dyDescent="0.3">
      <c r="A1538">
        <v>2025</v>
      </c>
      <c r="B1538">
        <v>11</v>
      </c>
      <c r="C1538" s="105" t="s">
        <v>47</v>
      </c>
      <c r="D1538" s="105" t="s">
        <v>23</v>
      </c>
      <c r="E1538">
        <v>42</v>
      </c>
      <c r="F1538">
        <v>41276.730000000003</v>
      </c>
    </row>
    <row r="1539" spans="1:6" hidden="1" x14ac:dyDescent="0.3">
      <c r="A1539">
        <v>2025</v>
      </c>
      <c r="B1539">
        <v>11</v>
      </c>
      <c r="C1539" s="105" t="s">
        <v>47</v>
      </c>
      <c r="D1539" s="105" t="s">
        <v>24</v>
      </c>
      <c r="E1539">
        <v>53</v>
      </c>
      <c r="F1539">
        <v>39515.64</v>
      </c>
    </row>
    <row r="1540" spans="1:6" hidden="1" x14ac:dyDescent="0.3">
      <c r="A1540">
        <v>2025</v>
      </c>
      <c r="B1540">
        <v>11</v>
      </c>
      <c r="C1540" s="105" t="s">
        <v>47</v>
      </c>
      <c r="D1540" s="105" t="s">
        <v>25</v>
      </c>
      <c r="E1540">
        <v>93</v>
      </c>
      <c r="F1540">
        <v>101693.77</v>
      </c>
    </row>
    <row r="1541" spans="1:6" hidden="1" x14ac:dyDescent="0.3">
      <c r="A1541">
        <v>2025</v>
      </c>
      <c r="B1541">
        <v>11</v>
      </c>
      <c r="C1541" s="105" t="s">
        <v>47</v>
      </c>
      <c r="D1541" s="105" t="s">
        <v>26</v>
      </c>
      <c r="E1541">
        <v>35</v>
      </c>
      <c r="F1541">
        <v>29173.37</v>
      </c>
    </row>
    <row r="1542" spans="1:6" hidden="1" x14ac:dyDescent="0.3">
      <c r="A1542">
        <v>2025</v>
      </c>
      <c r="B1542">
        <v>11</v>
      </c>
      <c r="C1542" s="105" t="s">
        <v>47</v>
      </c>
      <c r="D1542" s="105" t="s">
        <v>27</v>
      </c>
      <c r="E1542">
        <v>48</v>
      </c>
      <c r="F1542">
        <v>40735.97</v>
      </c>
    </row>
    <row r="1543" spans="1:6" hidden="1" x14ac:dyDescent="0.3">
      <c r="A1543">
        <v>2025</v>
      </c>
      <c r="B1543">
        <v>11</v>
      </c>
      <c r="C1543" s="105" t="s">
        <v>47</v>
      </c>
      <c r="D1543" s="105" t="s">
        <v>28</v>
      </c>
      <c r="E1543">
        <v>18</v>
      </c>
      <c r="F1543">
        <v>11106.1</v>
      </c>
    </row>
    <row r="1544" spans="1:6" hidden="1" x14ac:dyDescent="0.3">
      <c r="A1544">
        <v>2025</v>
      </c>
      <c r="B1544">
        <v>11</v>
      </c>
      <c r="C1544" s="105" t="s">
        <v>47</v>
      </c>
      <c r="D1544" s="105" t="s">
        <v>29</v>
      </c>
      <c r="E1544">
        <v>101</v>
      </c>
      <c r="F1544">
        <v>84126.77</v>
      </c>
    </row>
    <row r="1545" spans="1:6" hidden="1" x14ac:dyDescent="0.3">
      <c r="A1545">
        <v>2025</v>
      </c>
      <c r="B1545">
        <v>11</v>
      </c>
      <c r="C1545" s="105" t="s">
        <v>47</v>
      </c>
      <c r="D1545" s="105" t="s">
        <v>30</v>
      </c>
      <c r="E1545">
        <v>17</v>
      </c>
      <c r="F1545">
        <v>10280</v>
      </c>
    </row>
    <row r="1546" spans="1:6" hidden="1" x14ac:dyDescent="0.3">
      <c r="A1546">
        <v>2025</v>
      </c>
      <c r="B1546">
        <v>11</v>
      </c>
      <c r="C1546" s="105" t="s">
        <v>47</v>
      </c>
      <c r="D1546" s="105" t="s">
        <v>31</v>
      </c>
      <c r="E1546">
        <v>172</v>
      </c>
      <c r="F1546">
        <v>150625.38</v>
      </c>
    </row>
    <row r="1547" spans="1:6" hidden="1" x14ac:dyDescent="0.3">
      <c r="A1547">
        <v>2025</v>
      </c>
      <c r="B1547">
        <v>11</v>
      </c>
      <c r="C1547" s="105" t="s">
        <v>47</v>
      </c>
      <c r="D1547" s="105" t="s">
        <v>51</v>
      </c>
      <c r="E1547">
        <v>9</v>
      </c>
      <c r="F1547">
        <v>6913</v>
      </c>
    </row>
    <row r="1548" spans="1:6" hidden="1" x14ac:dyDescent="0.3">
      <c r="A1548">
        <v>2025</v>
      </c>
      <c r="B1548">
        <v>11</v>
      </c>
      <c r="C1548" s="105" t="s">
        <v>47</v>
      </c>
      <c r="D1548" s="105" t="s">
        <v>32</v>
      </c>
      <c r="E1548">
        <v>37</v>
      </c>
      <c r="F1548">
        <v>30086.42</v>
      </c>
    </row>
    <row r="1549" spans="1:6" hidden="1" x14ac:dyDescent="0.3">
      <c r="A1549">
        <v>2025</v>
      </c>
      <c r="B1549">
        <v>11</v>
      </c>
      <c r="C1549" s="105" t="s">
        <v>47</v>
      </c>
      <c r="D1549" s="105" t="s">
        <v>52</v>
      </c>
      <c r="E1549">
        <v>9</v>
      </c>
      <c r="F1549">
        <v>6641</v>
      </c>
    </row>
    <row r="1550" spans="1:6" hidden="1" x14ac:dyDescent="0.3">
      <c r="A1550">
        <v>2025</v>
      </c>
      <c r="B1550">
        <v>11</v>
      </c>
      <c r="C1550" s="105" t="s">
        <v>47</v>
      </c>
      <c r="D1550" s="105" t="s">
        <v>33</v>
      </c>
      <c r="E1550">
        <v>143</v>
      </c>
      <c r="F1550">
        <v>134142.07999999999</v>
      </c>
    </row>
    <row r="1551" spans="1:6" hidden="1" x14ac:dyDescent="0.3">
      <c r="A1551">
        <v>2025</v>
      </c>
      <c r="B1551">
        <v>11</v>
      </c>
      <c r="C1551" s="105" t="s">
        <v>47</v>
      </c>
      <c r="D1551" s="105" t="s">
        <v>58</v>
      </c>
      <c r="E1551">
        <v>2</v>
      </c>
      <c r="F1551">
        <v>1068</v>
      </c>
    </row>
    <row r="1552" spans="1:6" hidden="1" x14ac:dyDescent="0.3">
      <c r="A1552">
        <v>2025</v>
      </c>
      <c r="B1552">
        <v>11</v>
      </c>
      <c r="C1552" s="105" t="s">
        <v>47</v>
      </c>
      <c r="D1552" s="105" t="s">
        <v>34</v>
      </c>
      <c r="E1552">
        <v>74</v>
      </c>
      <c r="F1552">
        <v>59454.080000000002</v>
      </c>
    </row>
    <row r="1553" spans="1:6" hidden="1" x14ac:dyDescent="0.3">
      <c r="A1553">
        <v>2025</v>
      </c>
      <c r="B1553">
        <v>11</v>
      </c>
      <c r="C1553" s="105" t="s">
        <v>47</v>
      </c>
      <c r="D1553" s="105" t="s">
        <v>56</v>
      </c>
      <c r="E1553">
        <v>2</v>
      </c>
      <c r="F1553">
        <v>1684</v>
      </c>
    </row>
    <row r="1554" spans="1:6" hidden="1" x14ac:dyDescent="0.3">
      <c r="A1554">
        <v>2025</v>
      </c>
      <c r="B1554">
        <v>11</v>
      </c>
      <c r="C1554" s="105" t="s">
        <v>47</v>
      </c>
      <c r="D1554" s="105" t="s">
        <v>57</v>
      </c>
      <c r="E1554">
        <v>6</v>
      </c>
      <c r="F1554">
        <v>3309</v>
      </c>
    </row>
    <row r="1555" spans="1:6" hidden="1" x14ac:dyDescent="0.3">
      <c r="A1555">
        <v>2025</v>
      </c>
      <c r="B1555">
        <v>11</v>
      </c>
      <c r="C1555" s="105" t="s">
        <v>47</v>
      </c>
      <c r="D1555" s="105" t="s">
        <v>49</v>
      </c>
      <c r="E1555">
        <v>2</v>
      </c>
      <c r="F1555">
        <v>1078</v>
      </c>
    </row>
    <row r="1556" spans="1:6" hidden="1" x14ac:dyDescent="0.3">
      <c r="A1556">
        <v>2025</v>
      </c>
      <c r="B1556">
        <v>11</v>
      </c>
      <c r="C1556" s="105" t="s">
        <v>47</v>
      </c>
      <c r="D1556" s="105" t="s">
        <v>53</v>
      </c>
      <c r="E1556">
        <v>13</v>
      </c>
      <c r="F1556">
        <v>11982</v>
      </c>
    </row>
    <row r="1557" spans="1:6" hidden="1" x14ac:dyDescent="0.3">
      <c r="A1557">
        <v>2025</v>
      </c>
      <c r="B1557">
        <v>11</v>
      </c>
      <c r="C1557" s="105" t="s">
        <v>47</v>
      </c>
      <c r="D1557" s="105" t="s">
        <v>35</v>
      </c>
      <c r="E1557">
        <v>67</v>
      </c>
      <c r="F1557">
        <v>58797.21</v>
      </c>
    </row>
    <row r="1558" spans="1:6" hidden="1" x14ac:dyDescent="0.3">
      <c r="A1558">
        <v>2025</v>
      </c>
      <c r="B1558">
        <v>11</v>
      </c>
      <c r="C1558" s="105" t="s">
        <v>47</v>
      </c>
      <c r="D1558" s="105" t="s">
        <v>36</v>
      </c>
      <c r="E1558">
        <v>51</v>
      </c>
      <c r="F1558">
        <v>54866.080000000002</v>
      </c>
    </row>
    <row r="1559" spans="1:6" hidden="1" x14ac:dyDescent="0.3">
      <c r="A1559">
        <v>2025</v>
      </c>
      <c r="B1559">
        <v>11</v>
      </c>
      <c r="C1559" s="105" t="s">
        <v>47</v>
      </c>
      <c r="D1559" s="105" t="s">
        <v>37</v>
      </c>
      <c r="E1559">
        <v>65</v>
      </c>
      <c r="F1559">
        <v>60182.54</v>
      </c>
    </row>
    <row r="1560" spans="1:6" hidden="1" x14ac:dyDescent="0.3">
      <c r="A1560">
        <v>2025</v>
      </c>
      <c r="B1560">
        <v>12</v>
      </c>
      <c r="C1560" s="105" t="s">
        <v>48</v>
      </c>
      <c r="D1560" s="105" t="s">
        <v>7</v>
      </c>
      <c r="E1560">
        <v>38</v>
      </c>
      <c r="F1560">
        <v>36731.410000000003</v>
      </c>
    </row>
    <row r="1561" spans="1:6" hidden="1" x14ac:dyDescent="0.3">
      <c r="A1561">
        <v>2025</v>
      </c>
      <c r="B1561">
        <v>12</v>
      </c>
      <c r="C1561" s="105" t="s">
        <v>48</v>
      </c>
      <c r="D1561" s="105" t="s">
        <v>8</v>
      </c>
      <c r="E1561">
        <v>40</v>
      </c>
      <c r="F1561">
        <v>37363.949999999997</v>
      </c>
    </row>
    <row r="1562" spans="1:6" hidden="1" x14ac:dyDescent="0.3">
      <c r="A1562">
        <v>2025</v>
      </c>
      <c r="B1562">
        <v>12</v>
      </c>
      <c r="C1562" s="105" t="s">
        <v>48</v>
      </c>
      <c r="D1562" s="105" t="s">
        <v>9</v>
      </c>
      <c r="E1562">
        <v>19</v>
      </c>
      <c r="F1562">
        <v>14744.18</v>
      </c>
    </row>
    <row r="1563" spans="1:6" hidden="1" x14ac:dyDescent="0.3">
      <c r="A1563">
        <v>2025</v>
      </c>
      <c r="B1563">
        <v>12</v>
      </c>
      <c r="C1563" s="105" t="s">
        <v>48</v>
      </c>
      <c r="D1563" s="105" t="s">
        <v>10</v>
      </c>
      <c r="E1563">
        <v>65</v>
      </c>
      <c r="F1563">
        <v>67066.34</v>
      </c>
    </row>
    <row r="1564" spans="1:6" hidden="1" x14ac:dyDescent="0.3">
      <c r="A1564">
        <v>2025</v>
      </c>
      <c r="B1564">
        <v>12</v>
      </c>
      <c r="C1564" s="105" t="s">
        <v>48</v>
      </c>
      <c r="D1564" s="105" t="s">
        <v>11</v>
      </c>
      <c r="E1564">
        <v>57</v>
      </c>
      <c r="F1564">
        <v>51358.91</v>
      </c>
    </row>
    <row r="1565" spans="1:6" hidden="1" x14ac:dyDescent="0.3">
      <c r="A1565">
        <v>2025</v>
      </c>
      <c r="B1565">
        <v>12</v>
      </c>
      <c r="C1565" s="105" t="s">
        <v>48</v>
      </c>
      <c r="D1565" s="105" t="s">
        <v>59</v>
      </c>
      <c r="E1565">
        <v>1</v>
      </c>
      <c r="F1565">
        <v>1070</v>
      </c>
    </row>
    <row r="1566" spans="1:6" hidden="1" x14ac:dyDescent="0.3">
      <c r="A1566">
        <v>2025</v>
      </c>
      <c r="B1566">
        <v>12</v>
      </c>
      <c r="C1566" s="105" t="s">
        <v>48</v>
      </c>
      <c r="D1566" s="105" t="s">
        <v>12</v>
      </c>
      <c r="E1566">
        <v>76</v>
      </c>
      <c r="F1566">
        <v>85564.44</v>
      </c>
    </row>
    <row r="1567" spans="1:6" hidden="1" x14ac:dyDescent="0.3">
      <c r="A1567">
        <v>2025</v>
      </c>
      <c r="B1567">
        <v>12</v>
      </c>
      <c r="C1567" s="105" t="s">
        <v>48</v>
      </c>
      <c r="D1567" s="105" t="s">
        <v>13</v>
      </c>
      <c r="E1567">
        <v>100</v>
      </c>
      <c r="F1567">
        <v>92056.7</v>
      </c>
    </row>
    <row r="1568" spans="1:6" hidden="1" x14ac:dyDescent="0.3">
      <c r="A1568">
        <v>2025</v>
      </c>
      <c r="B1568">
        <v>12</v>
      </c>
      <c r="C1568" s="105" t="s">
        <v>48</v>
      </c>
      <c r="D1568" s="105" t="s">
        <v>14</v>
      </c>
      <c r="E1568">
        <v>65</v>
      </c>
      <c r="F1568">
        <v>46302.05</v>
      </c>
    </row>
    <row r="1569" spans="1:6" hidden="1" x14ac:dyDescent="0.3">
      <c r="A1569">
        <v>2025</v>
      </c>
      <c r="B1569">
        <v>12</v>
      </c>
      <c r="C1569" s="105" t="s">
        <v>48</v>
      </c>
      <c r="D1569" s="105" t="s">
        <v>15</v>
      </c>
      <c r="E1569">
        <v>28</v>
      </c>
      <c r="F1569">
        <v>21003.51</v>
      </c>
    </row>
    <row r="1570" spans="1:6" hidden="1" x14ac:dyDescent="0.3">
      <c r="A1570">
        <v>2025</v>
      </c>
      <c r="B1570">
        <v>12</v>
      </c>
      <c r="C1570" s="105" t="s">
        <v>48</v>
      </c>
      <c r="D1570" s="105" t="s">
        <v>16</v>
      </c>
      <c r="E1570">
        <v>20</v>
      </c>
      <c r="F1570">
        <v>15764.77</v>
      </c>
    </row>
    <row r="1571" spans="1:6" hidden="1" x14ac:dyDescent="0.3">
      <c r="A1571">
        <v>2025</v>
      </c>
      <c r="B1571">
        <v>12</v>
      </c>
      <c r="C1571" s="105" t="s">
        <v>48</v>
      </c>
      <c r="D1571" s="105" t="s">
        <v>54</v>
      </c>
      <c r="E1571">
        <v>9</v>
      </c>
      <c r="F1571">
        <v>5943</v>
      </c>
    </row>
    <row r="1572" spans="1:6" hidden="1" x14ac:dyDescent="0.3">
      <c r="A1572">
        <v>2025</v>
      </c>
      <c r="B1572">
        <v>12</v>
      </c>
      <c r="C1572" s="105" t="s">
        <v>48</v>
      </c>
      <c r="D1572" s="105" t="s">
        <v>17</v>
      </c>
      <c r="E1572">
        <v>152</v>
      </c>
      <c r="F1572">
        <v>131873.07</v>
      </c>
    </row>
    <row r="1573" spans="1:6" hidden="1" x14ac:dyDescent="0.3">
      <c r="A1573">
        <v>2025</v>
      </c>
      <c r="B1573">
        <v>12</v>
      </c>
      <c r="C1573" s="105" t="s">
        <v>48</v>
      </c>
      <c r="D1573" s="105" t="s">
        <v>18</v>
      </c>
      <c r="E1573">
        <v>126</v>
      </c>
      <c r="F1573">
        <v>117886.17</v>
      </c>
    </row>
    <row r="1574" spans="1:6" hidden="1" x14ac:dyDescent="0.3">
      <c r="A1574">
        <v>2025</v>
      </c>
      <c r="B1574">
        <v>12</v>
      </c>
      <c r="C1574" s="105" t="s">
        <v>48</v>
      </c>
      <c r="D1574" s="105" t="s">
        <v>50</v>
      </c>
      <c r="E1574">
        <v>6</v>
      </c>
      <c r="F1574">
        <v>3302</v>
      </c>
    </row>
    <row r="1575" spans="1:6" hidden="1" x14ac:dyDescent="0.3">
      <c r="A1575">
        <v>2025</v>
      </c>
      <c r="B1575">
        <v>12</v>
      </c>
      <c r="C1575" s="105" t="s">
        <v>48</v>
      </c>
      <c r="D1575" s="105" t="s">
        <v>55</v>
      </c>
      <c r="E1575">
        <v>4</v>
      </c>
      <c r="F1575">
        <v>3443</v>
      </c>
    </row>
    <row r="1576" spans="1:6" hidden="1" x14ac:dyDescent="0.3">
      <c r="A1576">
        <v>2025</v>
      </c>
      <c r="B1576">
        <v>12</v>
      </c>
      <c r="C1576" s="105" t="s">
        <v>48</v>
      </c>
      <c r="D1576" s="105" t="s">
        <v>19</v>
      </c>
      <c r="E1576">
        <v>36</v>
      </c>
      <c r="F1576">
        <v>42976.58</v>
      </c>
    </row>
    <row r="1577" spans="1:6" x14ac:dyDescent="0.3">
      <c r="A1577">
        <v>2025</v>
      </c>
      <c r="B1577">
        <v>12</v>
      </c>
      <c r="C1577" s="105" t="s">
        <v>48</v>
      </c>
      <c r="D1577" s="105" t="s">
        <v>20</v>
      </c>
      <c r="E1577">
        <v>71</v>
      </c>
      <c r="F1577">
        <v>70240.38</v>
      </c>
    </row>
    <row r="1578" spans="1:6" hidden="1" x14ac:dyDescent="0.3">
      <c r="A1578">
        <v>2025</v>
      </c>
      <c r="B1578">
        <v>12</v>
      </c>
      <c r="C1578" s="105" t="s">
        <v>48</v>
      </c>
      <c r="D1578" s="105" t="s">
        <v>21</v>
      </c>
      <c r="E1578">
        <v>118</v>
      </c>
      <c r="F1578">
        <v>125151.74</v>
      </c>
    </row>
    <row r="1579" spans="1:6" hidden="1" x14ac:dyDescent="0.3">
      <c r="A1579">
        <v>2025</v>
      </c>
      <c r="B1579">
        <v>12</v>
      </c>
      <c r="C1579" s="105" t="s">
        <v>48</v>
      </c>
      <c r="D1579" s="105" t="s">
        <v>22</v>
      </c>
      <c r="E1579">
        <v>50</v>
      </c>
      <c r="F1579">
        <v>35086.31</v>
      </c>
    </row>
    <row r="1580" spans="1:6" hidden="1" x14ac:dyDescent="0.3">
      <c r="A1580">
        <v>2025</v>
      </c>
      <c r="B1580">
        <v>12</v>
      </c>
      <c r="C1580" s="105" t="s">
        <v>48</v>
      </c>
      <c r="D1580" s="105" t="s">
        <v>23</v>
      </c>
      <c r="E1580">
        <v>44</v>
      </c>
      <c r="F1580">
        <v>45632.71</v>
      </c>
    </row>
    <row r="1581" spans="1:6" hidden="1" x14ac:dyDescent="0.3">
      <c r="A1581">
        <v>2025</v>
      </c>
      <c r="B1581">
        <v>12</v>
      </c>
      <c r="C1581" s="105" t="s">
        <v>48</v>
      </c>
      <c r="D1581" s="105" t="s">
        <v>24</v>
      </c>
      <c r="E1581">
        <v>60</v>
      </c>
      <c r="F1581">
        <v>42337.16</v>
      </c>
    </row>
    <row r="1582" spans="1:6" hidden="1" x14ac:dyDescent="0.3">
      <c r="A1582">
        <v>2025</v>
      </c>
      <c r="B1582">
        <v>12</v>
      </c>
      <c r="C1582" s="105" t="s">
        <v>48</v>
      </c>
      <c r="D1582" s="105" t="s">
        <v>25</v>
      </c>
      <c r="E1582">
        <v>91</v>
      </c>
      <c r="F1582">
        <v>76084.86</v>
      </c>
    </row>
    <row r="1583" spans="1:6" hidden="1" x14ac:dyDescent="0.3">
      <c r="A1583">
        <v>2025</v>
      </c>
      <c r="B1583">
        <v>12</v>
      </c>
      <c r="C1583" s="105" t="s">
        <v>48</v>
      </c>
      <c r="D1583" s="105" t="s">
        <v>26</v>
      </c>
      <c r="E1583">
        <v>35</v>
      </c>
      <c r="F1583">
        <v>31736.5</v>
      </c>
    </row>
    <row r="1584" spans="1:6" hidden="1" x14ac:dyDescent="0.3">
      <c r="A1584">
        <v>2025</v>
      </c>
      <c r="B1584">
        <v>12</v>
      </c>
      <c r="C1584" s="105" t="s">
        <v>48</v>
      </c>
      <c r="D1584" s="105" t="s">
        <v>27</v>
      </c>
      <c r="E1584">
        <v>37</v>
      </c>
      <c r="F1584">
        <v>32640.53</v>
      </c>
    </row>
    <row r="1585" spans="1:6" hidden="1" x14ac:dyDescent="0.3">
      <c r="A1585">
        <v>2025</v>
      </c>
      <c r="B1585">
        <v>12</v>
      </c>
      <c r="C1585" s="105" t="s">
        <v>48</v>
      </c>
      <c r="D1585" s="105" t="s">
        <v>28</v>
      </c>
      <c r="E1585">
        <v>22</v>
      </c>
      <c r="F1585">
        <v>61147.21</v>
      </c>
    </row>
    <row r="1586" spans="1:6" hidden="1" x14ac:dyDescent="0.3">
      <c r="A1586">
        <v>2025</v>
      </c>
      <c r="B1586">
        <v>12</v>
      </c>
      <c r="C1586" s="105" t="s">
        <v>48</v>
      </c>
      <c r="D1586" s="105" t="s">
        <v>29</v>
      </c>
      <c r="E1586">
        <v>116</v>
      </c>
      <c r="F1586">
        <v>113893.95</v>
      </c>
    </row>
    <row r="1587" spans="1:6" hidden="1" x14ac:dyDescent="0.3">
      <c r="A1587">
        <v>2025</v>
      </c>
      <c r="B1587">
        <v>12</v>
      </c>
      <c r="C1587" s="105" t="s">
        <v>48</v>
      </c>
      <c r="D1587" s="105" t="s">
        <v>30</v>
      </c>
      <c r="E1587">
        <v>25</v>
      </c>
      <c r="F1587">
        <v>17489.38</v>
      </c>
    </row>
    <row r="1588" spans="1:6" hidden="1" x14ac:dyDescent="0.3">
      <c r="A1588">
        <v>2025</v>
      </c>
      <c r="B1588">
        <v>12</v>
      </c>
      <c r="C1588" s="105" t="s">
        <v>48</v>
      </c>
      <c r="D1588" s="105" t="s">
        <v>31</v>
      </c>
      <c r="E1588">
        <v>176</v>
      </c>
      <c r="F1588">
        <v>175995.32</v>
      </c>
    </row>
    <row r="1589" spans="1:6" hidden="1" x14ac:dyDescent="0.3">
      <c r="A1589">
        <v>2025</v>
      </c>
      <c r="B1589">
        <v>12</v>
      </c>
      <c r="C1589" s="105" t="s">
        <v>48</v>
      </c>
      <c r="D1589" s="105" t="s">
        <v>51</v>
      </c>
      <c r="E1589">
        <v>12</v>
      </c>
      <c r="F1589">
        <v>8051</v>
      </c>
    </row>
    <row r="1590" spans="1:6" hidden="1" x14ac:dyDescent="0.3">
      <c r="A1590">
        <v>2025</v>
      </c>
      <c r="B1590">
        <v>12</v>
      </c>
      <c r="C1590" s="105" t="s">
        <v>48</v>
      </c>
      <c r="D1590" s="105" t="s">
        <v>32</v>
      </c>
      <c r="E1590">
        <v>58</v>
      </c>
      <c r="F1590">
        <v>52323.75</v>
      </c>
    </row>
    <row r="1591" spans="1:6" hidden="1" x14ac:dyDescent="0.3">
      <c r="A1591">
        <v>2025</v>
      </c>
      <c r="B1591">
        <v>12</v>
      </c>
      <c r="C1591" s="105" t="s">
        <v>48</v>
      </c>
      <c r="D1591" s="105" t="s">
        <v>52</v>
      </c>
      <c r="E1591">
        <v>8</v>
      </c>
      <c r="F1591">
        <v>4667</v>
      </c>
    </row>
    <row r="1592" spans="1:6" hidden="1" x14ac:dyDescent="0.3">
      <c r="A1592">
        <v>2025</v>
      </c>
      <c r="B1592">
        <v>12</v>
      </c>
      <c r="C1592" s="105" t="s">
        <v>48</v>
      </c>
      <c r="D1592" s="105" t="s">
        <v>33</v>
      </c>
      <c r="E1592">
        <v>172</v>
      </c>
      <c r="F1592">
        <v>170976.48</v>
      </c>
    </row>
    <row r="1593" spans="1:6" hidden="1" x14ac:dyDescent="0.3">
      <c r="A1593">
        <v>2025</v>
      </c>
      <c r="B1593">
        <v>12</v>
      </c>
      <c r="C1593" s="105" t="s">
        <v>48</v>
      </c>
      <c r="D1593" s="105" t="s">
        <v>58</v>
      </c>
      <c r="E1593">
        <v>2</v>
      </c>
      <c r="F1593">
        <v>1770</v>
      </c>
    </row>
    <row r="1594" spans="1:6" hidden="1" x14ac:dyDescent="0.3">
      <c r="A1594">
        <v>2025</v>
      </c>
      <c r="B1594">
        <v>12</v>
      </c>
      <c r="C1594" s="105" t="s">
        <v>48</v>
      </c>
      <c r="D1594" s="105" t="s">
        <v>34</v>
      </c>
      <c r="E1594">
        <v>129</v>
      </c>
      <c r="F1594">
        <v>115419.11</v>
      </c>
    </row>
    <row r="1595" spans="1:6" hidden="1" x14ac:dyDescent="0.3">
      <c r="A1595">
        <v>2025</v>
      </c>
      <c r="B1595">
        <v>12</v>
      </c>
      <c r="C1595" s="105" t="s">
        <v>48</v>
      </c>
      <c r="D1595" s="105" t="s">
        <v>56</v>
      </c>
      <c r="E1595">
        <v>5</v>
      </c>
      <c r="F1595">
        <v>3478.99</v>
      </c>
    </row>
    <row r="1596" spans="1:6" hidden="1" x14ac:dyDescent="0.3">
      <c r="A1596">
        <v>2025</v>
      </c>
      <c r="B1596">
        <v>12</v>
      </c>
      <c r="C1596" s="105" t="s">
        <v>48</v>
      </c>
      <c r="D1596" s="105" t="s">
        <v>57</v>
      </c>
      <c r="E1596">
        <v>2</v>
      </c>
      <c r="F1596">
        <v>1540</v>
      </c>
    </row>
    <row r="1597" spans="1:6" hidden="1" x14ac:dyDescent="0.3">
      <c r="A1597">
        <v>2025</v>
      </c>
      <c r="B1597">
        <v>12</v>
      </c>
      <c r="C1597" s="105" t="s">
        <v>48</v>
      </c>
      <c r="D1597" s="105" t="s">
        <v>49</v>
      </c>
      <c r="E1597">
        <v>1</v>
      </c>
      <c r="F1597">
        <v>820</v>
      </c>
    </row>
    <row r="1598" spans="1:6" hidden="1" x14ac:dyDescent="0.3">
      <c r="A1598">
        <v>2025</v>
      </c>
      <c r="B1598">
        <v>12</v>
      </c>
      <c r="C1598" s="105" t="s">
        <v>48</v>
      </c>
      <c r="D1598" s="105" t="s">
        <v>53</v>
      </c>
      <c r="E1598">
        <v>14</v>
      </c>
      <c r="F1598">
        <v>11069</v>
      </c>
    </row>
    <row r="1599" spans="1:6" hidden="1" x14ac:dyDescent="0.3">
      <c r="A1599">
        <v>2025</v>
      </c>
      <c r="B1599">
        <v>12</v>
      </c>
      <c r="C1599" s="105" t="s">
        <v>48</v>
      </c>
      <c r="D1599" s="105" t="s">
        <v>35</v>
      </c>
      <c r="E1599">
        <v>71</v>
      </c>
      <c r="F1599">
        <v>69816.070000000007</v>
      </c>
    </row>
    <row r="1600" spans="1:6" hidden="1" x14ac:dyDescent="0.3">
      <c r="A1600">
        <v>2025</v>
      </c>
      <c r="B1600">
        <v>12</v>
      </c>
      <c r="C1600" s="105" t="s">
        <v>48</v>
      </c>
      <c r="D1600" s="105" t="s">
        <v>36</v>
      </c>
      <c r="E1600">
        <v>43</v>
      </c>
      <c r="F1600">
        <v>41114.94</v>
      </c>
    </row>
    <row r="1601" spans="1:6" hidden="1" x14ac:dyDescent="0.3">
      <c r="A1601">
        <v>2025</v>
      </c>
      <c r="B1601">
        <v>12</v>
      </c>
      <c r="C1601" s="105" t="s">
        <v>48</v>
      </c>
      <c r="D1601" s="105" t="s">
        <v>37</v>
      </c>
      <c r="E1601">
        <v>55</v>
      </c>
      <c r="F1601">
        <v>52297.39</v>
      </c>
    </row>
    <row r="1602" spans="1:6" hidden="1" x14ac:dyDescent="0.3">
      <c r="A1602">
        <v>2026</v>
      </c>
      <c r="B1602">
        <v>1</v>
      </c>
      <c r="C1602" s="105" t="s">
        <v>6</v>
      </c>
      <c r="D1602" s="105" t="s">
        <v>7</v>
      </c>
      <c r="E1602">
        <v>40</v>
      </c>
      <c r="F1602">
        <v>38473.9</v>
      </c>
    </row>
    <row r="1603" spans="1:6" hidden="1" x14ac:dyDescent="0.3">
      <c r="A1603">
        <v>2026</v>
      </c>
      <c r="B1603">
        <v>1</v>
      </c>
      <c r="C1603" s="105" t="s">
        <v>6</v>
      </c>
      <c r="D1603" s="105" t="s">
        <v>8</v>
      </c>
      <c r="E1603">
        <v>31</v>
      </c>
      <c r="F1603">
        <v>43904.01</v>
      </c>
    </row>
    <row r="1604" spans="1:6" hidden="1" x14ac:dyDescent="0.3">
      <c r="A1604">
        <v>2026</v>
      </c>
      <c r="B1604">
        <v>1</v>
      </c>
      <c r="C1604" s="105" t="s">
        <v>6</v>
      </c>
      <c r="D1604" s="105" t="s">
        <v>9</v>
      </c>
      <c r="E1604">
        <v>11</v>
      </c>
      <c r="F1604">
        <v>7746.47</v>
      </c>
    </row>
    <row r="1605" spans="1:6" hidden="1" x14ac:dyDescent="0.3">
      <c r="A1605">
        <v>2026</v>
      </c>
      <c r="B1605">
        <v>1</v>
      </c>
      <c r="C1605" s="105" t="s">
        <v>6</v>
      </c>
      <c r="D1605" s="105" t="s">
        <v>10</v>
      </c>
      <c r="E1605">
        <v>63</v>
      </c>
      <c r="F1605">
        <v>61373.23</v>
      </c>
    </row>
    <row r="1606" spans="1:6" hidden="1" x14ac:dyDescent="0.3">
      <c r="A1606">
        <v>2026</v>
      </c>
      <c r="B1606">
        <v>1</v>
      </c>
      <c r="C1606" s="105" t="s">
        <v>6</v>
      </c>
      <c r="D1606" s="105" t="s">
        <v>11</v>
      </c>
      <c r="E1606">
        <v>53</v>
      </c>
      <c r="F1606">
        <v>45479.34</v>
      </c>
    </row>
    <row r="1607" spans="1:6" hidden="1" x14ac:dyDescent="0.3">
      <c r="A1607">
        <v>2026</v>
      </c>
      <c r="B1607">
        <v>1</v>
      </c>
      <c r="C1607" s="105" t="s">
        <v>6</v>
      </c>
      <c r="D1607" s="105" t="s">
        <v>12</v>
      </c>
      <c r="E1607">
        <v>107</v>
      </c>
      <c r="F1607">
        <v>356543.38</v>
      </c>
    </row>
    <row r="1608" spans="1:6" hidden="1" x14ac:dyDescent="0.3">
      <c r="A1608">
        <v>2026</v>
      </c>
      <c r="B1608">
        <v>1</v>
      </c>
      <c r="C1608" s="105" t="s">
        <v>6</v>
      </c>
      <c r="D1608" s="105" t="s">
        <v>13</v>
      </c>
      <c r="E1608">
        <v>70</v>
      </c>
      <c r="F1608">
        <v>52460.38</v>
      </c>
    </row>
    <row r="1609" spans="1:6" hidden="1" x14ac:dyDescent="0.3">
      <c r="A1609">
        <v>2026</v>
      </c>
      <c r="B1609">
        <v>1</v>
      </c>
      <c r="C1609" s="105" t="s">
        <v>6</v>
      </c>
      <c r="D1609" s="105" t="s">
        <v>14</v>
      </c>
      <c r="E1609">
        <v>100</v>
      </c>
      <c r="F1609">
        <v>58167.39</v>
      </c>
    </row>
    <row r="1610" spans="1:6" hidden="1" x14ac:dyDescent="0.3">
      <c r="A1610">
        <v>2026</v>
      </c>
      <c r="B1610">
        <v>1</v>
      </c>
      <c r="C1610" s="105" t="s">
        <v>6</v>
      </c>
      <c r="D1610" s="105" t="s">
        <v>15</v>
      </c>
      <c r="E1610">
        <v>29</v>
      </c>
      <c r="F1610">
        <v>22418.43</v>
      </c>
    </row>
    <row r="1611" spans="1:6" hidden="1" x14ac:dyDescent="0.3">
      <c r="A1611">
        <v>2026</v>
      </c>
      <c r="B1611">
        <v>1</v>
      </c>
      <c r="C1611" s="105" t="s">
        <v>6</v>
      </c>
      <c r="D1611" s="105" t="s">
        <v>16</v>
      </c>
      <c r="E1611">
        <v>25</v>
      </c>
      <c r="F1611">
        <v>22466.91</v>
      </c>
    </row>
    <row r="1612" spans="1:6" hidden="1" x14ac:dyDescent="0.3">
      <c r="A1612">
        <v>2026</v>
      </c>
      <c r="B1612">
        <v>1</v>
      </c>
      <c r="C1612" s="105" t="s">
        <v>6</v>
      </c>
      <c r="D1612" s="105" t="s">
        <v>54</v>
      </c>
      <c r="E1612">
        <v>1</v>
      </c>
      <c r="F1612">
        <v>803</v>
      </c>
    </row>
    <row r="1613" spans="1:6" hidden="1" x14ac:dyDescent="0.3">
      <c r="A1613">
        <v>2026</v>
      </c>
      <c r="B1613">
        <v>1</v>
      </c>
      <c r="C1613" s="105" t="s">
        <v>6</v>
      </c>
      <c r="D1613" s="105" t="s">
        <v>17</v>
      </c>
      <c r="E1613">
        <v>89</v>
      </c>
      <c r="F1613">
        <v>71952.740000000005</v>
      </c>
    </row>
    <row r="1614" spans="1:6" hidden="1" x14ac:dyDescent="0.3">
      <c r="A1614">
        <v>2026</v>
      </c>
      <c r="B1614">
        <v>1</v>
      </c>
      <c r="C1614" s="105" t="s">
        <v>6</v>
      </c>
      <c r="D1614" s="105" t="s">
        <v>18</v>
      </c>
      <c r="E1614">
        <v>98</v>
      </c>
      <c r="F1614">
        <v>92890.52</v>
      </c>
    </row>
    <row r="1615" spans="1:6" hidden="1" x14ac:dyDescent="0.3">
      <c r="A1615">
        <v>2026</v>
      </c>
      <c r="B1615">
        <v>1</v>
      </c>
      <c r="C1615" s="105" t="s">
        <v>6</v>
      </c>
      <c r="D1615" s="105" t="s">
        <v>50</v>
      </c>
      <c r="E1615">
        <v>8</v>
      </c>
      <c r="F1615">
        <v>7978</v>
      </c>
    </row>
    <row r="1616" spans="1:6" hidden="1" x14ac:dyDescent="0.3">
      <c r="A1616">
        <v>2026</v>
      </c>
      <c r="B1616">
        <v>1</v>
      </c>
      <c r="C1616" s="105" t="s">
        <v>6</v>
      </c>
      <c r="D1616" s="105" t="s">
        <v>19</v>
      </c>
      <c r="E1616">
        <v>34</v>
      </c>
      <c r="F1616">
        <v>24670.67</v>
      </c>
    </row>
    <row r="1617" spans="1:6" x14ac:dyDescent="0.3">
      <c r="A1617">
        <v>2026</v>
      </c>
      <c r="B1617">
        <v>1</v>
      </c>
      <c r="C1617" s="105" t="s">
        <v>6</v>
      </c>
      <c r="D1617" s="105" t="s">
        <v>20</v>
      </c>
      <c r="E1617">
        <v>39</v>
      </c>
      <c r="F1617">
        <v>32044.23</v>
      </c>
    </row>
    <row r="1618" spans="1:6" hidden="1" x14ac:dyDescent="0.3">
      <c r="A1618">
        <v>2026</v>
      </c>
      <c r="B1618">
        <v>1</v>
      </c>
      <c r="C1618" s="105" t="s">
        <v>6</v>
      </c>
      <c r="D1618" s="105" t="s">
        <v>21</v>
      </c>
      <c r="E1618">
        <v>81</v>
      </c>
      <c r="F1618">
        <v>82719.62</v>
      </c>
    </row>
    <row r="1619" spans="1:6" hidden="1" x14ac:dyDescent="0.3">
      <c r="A1619">
        <v>2026</v>
      </c>
      <c r="B1619">
        <v>1</v>
      </c>
      <c r="C1619" s="105" t="s">
        <v>6</v>
      </c>
      <c r="D1619" s="105" t="s">
        <v>22</v>
      </c>
      <c r="E1619">
        <v>64</v>
      </c>
      <c r="F1619">
        <v>57480.47</v>
      </c>
    </row>
    <row r="1620" spans="1:6" hidden="1" x14ac:dyDescent="0.3">
      <c r="A1620">
        <v>2026</v>
      </c>
      <c r="B1620">
        <v>1</v>
      </c>
      <c r="C1620" s="105" t="s">
        <v>6</v>
      </c>
      <c r="D1620" s="105" t="s">
        <v>23</v>
      </c>
      <c r="E1620">
        <v>38</v>
      </c>
      <c r="F1620">
        <v>48761.43</v>
      </c>
    </row>
    <row r="1621" spans="1:6" hidden="1" x14ac:dyDescent="0.3">
      <c r="A1621">
        <v>2026</v>
      </c>
      <c r="B1621">
        <v>1</v>
      </c>
      <c r="C1621" s="105" t="s">
        <v>6</v>
      </c>
      <c r="D1621" s="105" t="s">
        <v>24</v>
      </c>
      <c r="E1621">
        <v>75</v>
      </c>
      <c r="F1621">
        <v>41311.019999999997</v>
      </c>
    </row>
    <row r="1622" spans="1:6" hidden="1" x14ac:dyDescent="0.3">
      <c r="A1622">
        <v>2026</v>
      </c>
      <c r="B1622">
        <v>1</v>
      </c>
      <c r="C1622" s="105" t="s">
        <v>6</v>
      </c>
      <c r="D1622" s="105" t="s">
        <v>25</v>
      </c>
      <c r="E1622">
        <v>154</v>
      </c>
      <c r="F1622">
        <v>102092.75</v>
      </c>
    </row>
    <row r="1623" spans="1:6" hidden="1" x14ac:dyDescent="0.3">
      <c r="A1623">
        <v>2026</v>
      </c>
      <c r="B1623">
        <v>1</v>
      </c>
      <c r="C1623" s="105" t="s">
        <v>6</v>
      </c>
      <c r="D1623" s="105" t="s">
        <v>26</v>
      </c>
      <c r="E1623">
        <v>40</v>
      </c>
      <c r="F1623">
        <v>42868.35</v>
      </c>
    </row>
    <row r="1624" spans="1:6" hidden="1" x14ac:dyDescent="0.3">
      <c r="A1624">
        <v>2026</v>
      </c>
      <c r="B1624">
        <v>1</v>
      </c>
      <c r="C1624" s="105" t="s">
        <v>6</v>
      </c>
      <c r="D1624" s="105" t="s">
        <v>27</v>
      </c>
      <c r="E1624">
        <v>40</v>
      </c>
      <c r="F1624">
        <v>34306.83</v>
      </c>
    </row>
    <row r="1625" spans="1:6" hidden="1" x14ac:dyDescent="0.3">
      <c r="A1625">
        <v>2026</v>
      </c>
      <c r="B1625">
        <v>1</v>
      </c>
      <c r="C1625" s="105" t="s">
        <v>6</v>
      </c>
      <c r="D1625" s="105" t="s">
        <v>28</v>
      </c>
      <c r="E1625">
        <v>21</v>
      </c>
      <c r="F1625">
        <v>18310.04</v>
      </c>
    </row>
    <row r="1626" spans="1:6" hidden="1" x14ac:dyDescent="0.3">
      <c r="A1626">
        <v>2026</v>
      </c>
      <c r="B1626">
        <v>1</v>
      </c>
      <c r="C1626" s="105" t="s">
        <v>6</v>
      </c>
      <c r="D1626" s="105" t="s">
        <v>29</v>
      </c>
      <c r="E1626">
        <v>86</v>
      </c>
      <c r="F1626">
        <v>77944.02</v>
      </c>
    </row>
    <row r="1627" spans="1:6" hidden="1" x14ac:dyDescent="0.3">
      <c r="A1627">
        <v>2026</v>
      </c>
      <c r="B1627">
        <v>1</v>
      </c>
      <c r="C1627" s="105" t="s">
        <v>6</v>
      </c>
      <c r="D1627" s="105" t="s">
        <v>30</v>
      </c>
      <c r="E1627">
        <v>26</v>
      </c>
      <c r="F1627">
        <v>15815.4</v>
      </c>
    </row>
    <row r="1628" spans="1:6" hidden="1" x14ac:dyDescent="0.3">
      <c r="A1628">
        <v>2026</v>
      </c>
      <c r="B1628">
        <v>1</v>
      </c>
      <c r="C1628" s="105" t="s">
        <v>6</v>
      </c>
      <c r="D1628" s="105" t="s">
        <v>31</v>
      </c>
      <c r="E1628">
        <v>137</v>
      </c>
      <c r="F1628">
        <v>138918.79</v>
      </c>
    </row>
    <row r="1629" spans="1:6" hidden="1" x14ac:dyDescent="0.3">
      <c r="A1629">
        <v>2026</v>
      </c>
      <c r="B1629">
        <v>1</v>
      </c>
      <c r="C1629" s="105" t="s">
        <v>6</v>
      </c>
      <c r="D1629" s="105" t="s">
        <v>51</v>
      </c>
      <c r="E1629">
        <v>11</v>
      </c>
      <c r="F1629">
        <v>7097</v>
      </c>
    </row>
    <row r="1630" spans="1:6" hidden="1" x14ac:dyDescent="0.3">
      <c r="A1630">
        <v>2026</v>
      </c>
      <c r="B1630">
        <v>1</v>
      </c>
      <c r="C1630" s="105" t="s">
        <v>6</v>
      </c>
      <c r="D1630" s="105" t="s">
        <v>32</v>
      </c>
      <c r="E1630">
        <v>43</v>
      </c>
      <c r="F1630">
        <v>46403.43</v>
      </c>
    </row>
    <row r="1631" spans="1:6" hidden="1" x14ac:dyDescent="0.3">
      <c r="A1631">
        <v>2026</v>
      </c>
      <c r="B1631">
        <v>1</v>
      </c>
      <c r="C1631" s="105" t="s">
        <v>6</v>
      </c>
      <c r="D1631" s="105" t="s">
        <v>52</v>
      </c>
      <c r="E1631">
        <v>6</v>
      </c>
      <c r="F1631">
        <v>4725</v>
      </c>
    </row>
    <row r="1632" spans="1:6" hidden="1" x14ac:dyDescent="0.3">
      <c r="A1632">
        <v>2026</v>
      </c>
      <c r="B1632">
        <v>1</v>
      </c>
      <c r="C1632" s="105" t="s">
        <v>6</v>
      </c>
      <c r="D1632" s="105" t="s">
        <v>33</v>
      </c>
      <c r="E1632">
        <v>145</v>
      </c>
      <c r="F1632">
        <v>139765.1</v>
      </c>
    </row>
    <row r="1633" spans="1:6" hidden="1" x14ac:dyDescent="0.3">
      <c r="A1633">
        <v>2026</v>
      </c>
      <c r="B1633">
        <v>1</v>
      </c>
      <c r="C1633" s="105" t="s">
        <v>6</v>
      </c>
      <c r="D1633" s="105" t="s">
        <v>58</v>
      </c>
      <c r="E1633">
        <v>2</v>
      </c>
      <c r="F1633">
        <v>1579</v>
      </c>
    </row>
    <row r="1634" spans="1:6" hidden="1" x14ac:dyDescent="0.3">
      <c r="A1634">
        <v>2026</v>
      </c>
      <c r="B1634">
        <v>1</v>
      </c>
      <c r="C1634" s="105" t="s">
        <v>6</v>
      </c>
      <c r="D1634" s="105" t="s">
        <v>34</v>
      </c>
      <c r="E1634">
        <v>84</v>
      </c>
      <c r="F1634">
        <v>105580.78</v>
      </c>
    </row>
    <row r="1635" spans="1:6" hidden="1" x14ac:dyDescent="0.3">
      <c r="A1635">
        <v>2026</v>
      </c>
      <c r="B1635">
        <v>1</v>
      </c>
      <c r="C1635" s="105" t="s">
        <v>6</v>
      </c>
      <c r="D1635" s="105" t="s">
        <v>56</v>
      </c>
      <c r="E1635">
        <v>3</v>
      </c>
      <c r="F1635">
        <v>1971</v>
      </c>
    </row>
    <row r="1636" spans="1:6" hidden="1" x14ac:dyDescent="0.3">
      <c r="A1636">
        <v>2026</v>
      </c>
      <c r="B1636">
        <v>1</v>
      </c>
      <c r="C1636" s="105" t="s">
        <v>6</v>
      </c>
      <c r="D1636" s="105" t="s">
        <v>57</v>
      </c>
      <c r="E1636">
        <v>3</v>
      </c>
      <c r="F1636">
        <v>2293</v>
      </c>
    </row>
    <row r="1637" spans="1:6" hidden="1" x14ac:dyDescent="0.3">
      <c r="A1637">
        <v>2026</v>
      </c>
      <c r="B1637">
        <v>1</v>
      </c>
      <c r="C1637" s="105" t="s">
        <v>6</v>
      </c>
      <c r="D1637" s="105" t="s">
        <v>49</v>
      </c>
      <c r="E1637">
        <v>2</v>
      </c>
      <c r="F1637">
        <v>2349.88</v>
      </c>
    </row>
    <row r="1638" spans="1:6" hidden="1" x14ac:dyDescent="0.3">
      <c r="A1638">
        <v>2026</v>
      </c>
      <c r="B1638">
        <v>1</v>
      </c>
      <c r="C1638" s="105" t="s">
        <v>6</v>
      </c>
      <c r="D1638" s="105" t="s">
        <v>53</v>
      </c>
      <c r="E1638">
        <v>13</v>
      </c>
      <c r="F1638">
        <v>13143</v>
      </c>
    </row>
    <row r="1639" spans="1:6" hidden="1" x14ac:dyDescent="0.3">
      <c r="A1639">
        <v>2026</v>
      </c>
      <c r="B1639">
        <v>1</v>
      </c>
      <c r="C1639" s="105" t="s">
        <v>6</v>
      </c>
      <c r="D1639" s="105" t="s">
        <v>35</v>
      </c>
      <c r="E1639">
        <v>56</v>
      </c>
      <c r="F1639">
        <v>50756.21</v>
      </c>
    </row>
    <row r="1640" spans="1:6" hidden="1" x14ac:dyDescent="0.3">
      <c r="A1640">
        <v>2026</v>
      </c>
      <c r="B1640">
        <v>1</v>
      </c>
      <c r="C1640" s="105" t="s">
        <v>6</v>
      </c>
      <c r="D1640" s="105" t="s">
        <v>36</v>
      </c>
      <c r="E1640">
        <v>59</v>
      </c>
      <c r="F1640">
        <v>50389.36</v>
      </c>
    </row>
    <row r="1641" spans="1:6" hidden="1" x14ac:dyDescent="0.3">
      <c r="A1641">
        <v>2026</v>
      </c>
      <c r="B1641">
        <v>1</v>
      </c>
      <c r="C1641" s="105" t="s">
        <v>6</v>
      </c>
      <c r="D1641" s="105" t="s">
        <v>37</v>
      </c>
      <c r="E1641">
        <v>64</v>
      </c>
      <c r="F1641">
        <v>58548.05</v>
      </c>
    </row>
    <row r="1642" spans="1:6" hidden="1" x14ac:dyDescent="0.3">
      <c r="A1642">
        <v>2026</v>
      </c>
      <c r="B1642">
        <v>2</v>
      </c>
      <c r="C1642" s="105" t="s">
        <v>38</v>
      </c>
      <c r="D1642" s="105" t="s">
        <v>7</v>
      </c>
      <c r="E1642">
        <v>35</v>
      </c>
      <c r="F1642">
        <v>45206.98</v>
      </c>
    </row>
    <row r="1643" spans="1:6" hidden="1" x14ac:dyDescent="0.3">
      <c r="A1643">
        <v>2026</v>
      </c>
      <c r="B1643">
        <v>2</v>
      </c>
      <c r="C1643" s="105" t="s">
        <v>38</v>
      </c>
      <c r="D1643" s="105" t="s">
        <v>8</v>
      </c>
      <c r="E1643">
        <v>38</v>
      </c>
      <c r="F1643">
        <v>28249.74</v>
      </c>
    </row>
    <row r="1644" spans="1:6" hidden="1" x14ac:dyDescent="0.3">
      <c r="A1644">
        <v>2026</v>
      </c>
      <c r="B1644">
        <v>2</v>
      </c>
      <c r="C1644" s="105" t="s">
        <v>38</v>
      </c>
      <c r="D1644" s="105" t="s">
        <v>9</v>
      </c>
      <c r="E1644">
        <v>26</v>
      </c>
      <c r="F1644">
        <v>20154.55</v>
      </c>
    </row>
    <row r="1645" spans="1:6" hidden="1" x14ac:dyDescent="0.3">
      <c r="A1645">
        <v>2026</v>
      </c>
      <c r="B1645">
        <v>2</v>
      </c>
      <c r="C1645" s="105" t="s">
        <v>38</v>
      </c>
      <c r="D1645" s="105" t="s">
        <v>10</v>
      </c>
      <c r="E1645">
        <v>42</v>
      </c>
      <c r="F1645">
        <v>43425.85</v>
      </c>
    </row>
    <row r="1646" spans="1:6" hidden="1" x14ac:dyDescent="0.3">
      <c r="A1646">
        <v>2026</v>
      </c>
      <c r="B1646">
        <v>2</v>
      </c>
      <c r="C1646" s="105" t="s">
        <v>38</v>
      </c>
      <c r="D1646" s="105" t="s">
        <v>11</v>
      </c>
      <c r="E1646">
        <v>39</v>
      </c>
      <c r="F1646">
        <v>33842.01</v>
      </c>
    </row>
    <row r="1647" spans="1:6" hidden="1" x14ac:dyDescent="0.3">
      <c r="A1647">
        <v>2026</v>
      </c>
      <c r="B1647">
        <v>2</v>
      </c>
      <c r="C1647" s="105" t="s">
        <v>38</v>
      </c>
      <c r="D1647" s="105" t="s">
        <v>59</v>
      </c>
      <c r="E1647">
        <v>2</v>
      </c>
      <c r="F1647">
        <v>2161</v>
      </c>
    </row>
    <row r="1648" spans="1:6" hidden="1" x14ac:dyDescent="0.3">
      <c r="A1648">
        <v>2026</v>
      </c>
      <c r="B1648">
        <v>2</v>
      </c>
      <c r="C1648" s="105" t="s">
        <v>38</v>
      </c>
      <c r="D1648" s="105" t="s">
        <v>12</v>
      </c>
      <c r="E1648">
        <v>50</v>
      </c>
      <c r="F1648">
        <v>49567.12</v>
      </c>
    </row>
    <row r="1649" spans="1:6" hidden="1" x14ac:dyDescent="0.3">
      <c r="A1649">
        <v>2026</v>
      </c>
      <c r="B1649">
        <v>2</v>
      </c>
      <c r="C1649" s="105" t="s">
        <v>38</v>
      </c>
      <c r="D1649" s="105" t="s">
        <v>13</v>
      </c>
      <c r="E1649">
        <v>63</v>
      </c>
      <c r="F1649">
        <v>47801.01</v>
      </c>
    </row>
    <row r="1650" spans="1:6" hidden="1" x14ac:dyDescent="0.3">
      <c r="A1650">
        <v>2026</v>
      </c>
      <c r="B1650">
        <v>2</v>
      </c>
      <c r="C1650" s="105" t="s">
        <v>38</v>
      </c>
      <c r="D1650" s="105" t="s">
        <v>14</v>
      </c>
      <c r="E1650">
        <v>47</v>
      </c>
      <c r="F1650">
        <v>32048.959999999999</v>
      </c>
    </row>
    <row r="1651" spans="1:6" hidden="1" x14ac:dyDescent="0.3">
      <c r="A1651">
        <v>2026</v>
      </c>
      <c r="B1651">
        <v>2</v>
      </c>
      <c r="C1651" s="105" t="s">
        <v>38</v>
      </c>
      <c r="D1651" s="105" t="s">
        <v>15</v>
      </c>
      <c r="E1651">
        <v>12</v>
      </c>
      <c r="F1651">
        <v>9291.68</v>
      </c>
    </row>
    <row r="1652" spans="1:6" hidden="1" x14ac:dyDescent="0.3">
      <c r="A1652">
        <v>2026</v>
      </c>
      <c r="B1652">
        <v>2</v>
      </c>
      <c r="C1652" s="105" t="s">
        <v>38</v>
      </c>
      <c r="D1652" s="105" t="s">
        <v>16</v>
      </c>
      <c r="E1652">
        <v>32</v>
      </c>
      <c r="F1652">
        <v>30321.98</v>
      </c>
    </row>
    <row r="1653" spans="1:6" hidden="1" x14ac:dyDescent="0.3">
      <c r="A1653">
        <v>2026</v>
      </c>
      <c r="B1653">
        <v>2</v>
      </c>
      <c r="C1653" s="105" t="s">
        <v>38</v>
      </c>
      <c r="D1653" s="105" t="s">
        <v>54</v>
      </c>
      <c r="E1653">
        <v>1</v>
      </c>
      <c r="F1653">
        <v>904</v>
      </c>
    </row>
    <row r="1654" spans="1:6" hidden="1" x14ac:dyDescent="0.3">
      <c r="A1654">
        <v>2026</v>
      </c>
      <c r="B1654">
        <v>2</v>
      </c>
      <c r="C1654" s="105" t="s">
        <v>38</v>
      </c>
      <c r="D1654" s="105" t="s">
        <v>17</v>
      </c>
      <c r="E1654">
        <v>83</v>
      </c>
      <c r="F1654">
        <v>74759.64</v>
      </c>
    </row>
    <row r="1655" spans="1:6" hidden="1" x14ac:dyDescent="0.3">
      <c r="A1655">
        <v>2026</v>
      </c>
      <c r="B1655">
        <v>2</v>
      </c>
      <c r="C1655" s="105" t="s">
        <v>38</v>
      </c>
      <c r="D1655" s="105" t="s">
        <v>18</v>
      </c>
      <c r="E1655">
        <v>95</v>
      </c>
      <c r="F1655">
        <v>91009.82</v>
      </c>
    </row>
    <row r="1656" spans="1:6" hidden="1" x14ac:dyDescent="0.3">
      <c r="A1656">
        <v>2026</v>
      </c>
      <c r="B1656">
        <v>2</v>
      </c>
      <c r="C1656" s="105" t="s">
        <v>38</v>
      </c>
      <c r="D1656" s="105" t="s">
        <v>50</v>
      </c>
      <c r="E1656">
        <v>7</v>
      </c>
      <c r="F1656">
        <v>6228</v>
      </c>
    </row>
    <row r="1657" spans="1:6" hidden="1" x14ac:dyDescent="0.3">
      <c r="A1657">
        <v>2026</v>
      </c>
      <c r="B1657">
        <v>2</v>
      </c>
      <c r="C1657" s="105" t="s">
        <v>38</v>
      </c>
      <c r="D1657" s="105" t="s">
        <v>55</v>
      </c>
      <c r="E1657">
        <v>1</v>
      </c>
      <c r="F1657">
        <v>843</v>
      </c>
    </row>
    <row r="1658" spans="1:6" hidden="1" x14ac:dyDescent="0.3">
      <c r="A1658">
        <v>2026</v>
      </c>
      <c r="B1658">
        <v>2</v>
      </c>
      <c r="C1658" s="105" t="s">
        <v>38</v>
      </c>
      <c r="D1658" s="105" t="s">
        <v>19</v>
      </c>
      <c r="E1658">
        <v>33</v>
      </c>
      <c r="F1658">
        <v>23461.89</v>
      </c>
    </row>
    <row r="1659" spans="1:6" x14ac:dyDescent="0.3">
      <c r="A1659">
        <v>2026</v>
      </c>
      <c r="B1659">
        <v>2</v>
      </c>
      <c r="C1659" s="105" t="s">
        <v>38</v>
      </c>
      <c r="D1659" s="105" t="s">
        <v>20</v>
      </c>
      <c r="E1659">
        <v>40</v>
      </c>
      <c r="F1659">
        <v>34347.480000000003</v>
      </c>
    </row>
    <row r="1660" spans="1:6" hidden="1" x14ac:dyDescent="0.3">
      <c r="A1660">
        <v>2026</v>
      </c>
      <c r="B1660">
        <v>2</v>
      </c>
      <c r="C1660" s="105" t="s">
        <v>38</v>
      </c>
      <c r="D1660" s="105" t="s">
        <v>21</v>
      </c>
      <c r="E1660">
        <v>98</v>
      </c>
      <c r="F1660">
        <v>94616.23</v>
      </c>
    </row>
    <row r="1661" spans="1:6" hidden="1" x14ac:dyDescent="0.3">
      <c r="A1661">
        <v>2026</v>
      </c>
      <c r="B1661">
        <v>2</v>
      </c>
      <c r="C1661" s="105" t="s">
        <v>38</v>
      </c>
      <c r="D1661" s="105" t="s">
        <v>22</v>
      </c>
      <c r="E1661">
        <v>42</v>
      </c>
      <c r="F1661">
        <v>33437.279999999999</v>
      </c>
    </row>
    <row r="1662" spans="1:6" hidden="1" x14ac:dyDescent="0.3">
      <c r="A1662">
        <v>2026</v>
      </c>
      <c r="B1662">
        <v>2</v>
      </c>
      <c r="C1662" s="105" t="s">
        <v>38</v>
      </c>
      <c r="D1662" s="105" t="s">
        <v>23</v>
      </c>
      <c r="E1662">
        <v>21</v>
      </c>
      <c r="F1662">
        <v>21541.1</v>
      </c>
    </row>
    <row r="1663" spans="1:6" hidden="1" x14ac:dyDescent="0.3">
      <c r="A1663">
        <v>2026</v>
      </c>
      <c r="B1663">
        <v>2</v>
      </c>
      <c r="C1663" s="105" t="s">
        <v>38</v>
      </c>
      <c r="D1663" s="105" t="s">
        <v>24</v>
      </c>
      <c r="E1663">
        <v>55</v>
      </c>
      <c r="F1663">
        <v>43734.27</v>
      </c>
    </row>
    <row r="1664" spans="1:6" hidden="1" x14ac:dyDescent="0.3">
      <c r="A1664">
        <v>2026</v>
      </c>
      <c r="B1664">
        <v>2</v>
      </c>
      <c r="C1664" s="105" t="s">
        <v>38</v>
      </c>
      <c r="D1664" s="105" t="s">
        <v>25</v>
      </c>
      <c r="E1664">
        <v>70</v>
      </c>
      <c r="F1664">
        <v>58925.93</v>
      </c>
    </row>
    <row r="1665" spans="1:6" hidden="1" x14ac:dyDescent="0.3">
      <c r="A1665">
        <v>2026</v>
      </c>
      <c r="B1665">
        <v>2</v>
      </c>
      <c r="C1665" s="105" t="s">
        <v>38</v>
      </c>
      <c r="D1665" s="105" t="s">
        <v>26</v>
      </c>
      <c r="E1665">
        <v>21</v>
      </c>
      <c r="F1665">
        <v>18861.22</v>
      </c>
    </row>
    <row r="1666" spans="1:6" hidden="1" x14ac:dyDescent="0.3">
      <c r="A1666">
        <v>2026</v>
      </c>
      <c r="B1666">
        <v>2</v>
      </c>
      <c r="C1666" s="105" t="s">
        <v>38</v>
      </c>
      <c r="D1666" s="105" t="s">
        <v>27</v>
      </c>
      <c r="E1666">
        <v>36</v>
      </c>
      <c r="F1666">
        <v>29541.59</v>
      </c>
    </row>
    <row r="1667" spans="1:6" hidden="1" x14ac:dyDescent="0.3">
      <c r="A1667">
        <v>2026</v>
      </c>
      <c r="B1667">
        <v>2</v>
      </c>
      <c r="C1667" s="105" t="s">
        <v>38</v>
      </c>
      <c r="D1667" s="105" t="s">
        <v>28</v>
      </c>
      <c r="E1667">
        <v>7</v>
      </c>
      <c r="F1667">
        <v>5839.85</v>
      </c>
    </row>
    <row r="1668" spans="1:6" hidden="1" x14ac:dyDescent="0.3">
      <c r="A1668">
        <v>2026</v>
      </c>
      <c r="B1668">
        <v>2</v>
      </c>
      <c r="C1668" s="105" t="s">
        <v>38</v>
      </c>
      <c r="D1668" s="105" t="s">
        <v>29</v>
      </c>
      <c r="E1668">
        <v>67</v>
      </c>
      <c r="F1668">
        <v>61299.59</v>
      </c>
    </row>
    <row r="1669" spans="1:6" hidden="1" x14ac:dyDescent="0.3">
      <c r="A1669">
        <v>2026</v>
      </c>
      <c r="B1669">
        <v>2</v>
      </c>
      <c r="C1669" s="105" t="s">
        <v>38</v>
      </c>
      <c r="D1669" s="105" t="s">
        <v>30</v>
      </c>
      <c r="E1669">
        <v>19</v>
      </c>
      <c r="F1669">
        <v>14130.6</v>
      </c>
    </row>
    <row r="1670" spans="1:6" hidden="1" x14ac:dyDescent="0.3">
      <c r="A1670">
        <v>2026</v>
      </c>
      <c r="B1670">
        <v>2</v>
      </c>
      <c r="C1670" s="105" t="s">
        <v>38</v>
      </c>
      <c r="D1670" s="105" t="s">
        <v>31</v>
      </c>
      <c r="E1670">
        <v>110</v>
      </c>
      <c r="F1670">
        <v>113454.54</v>
      </c>
    </row>
    <row r="1671" spans="1:6" hidden="1" x14ac:dyDescent="0.3">
      <c r="A1671">
        <v>2026</v>
      </c>
      <c r="B1671">
        <v>2</v>
      </c>
      <c r="C1671" s="105" t="s">
        <v>38</v>
      </c>
      <c r="D1671" s="105" t="s">
        <v>51</v>
      </c>
      <c r="E1671">
        <v>9</v>
      </c>
      <c r="F1671">
        <v>6308.13</v>
      </c>
    </row>
    <row r="1672" spans="1:6" hidden="1" x14ac:dyDescent="0.3">
      <c r="A1672">
        <v>2026</v>
      </c>
      <c r="B1672">
        <v>2</v>
      </c>
      <c r="C1672" s="105" t="s">
        <v>38</v>
      </c>
      <c r="D1672" s="105" t="s">
        <v>32</v>
      </c>
      <c r="E1672">
        <v>43</v>
      </c>
      <c r="F1672">
        <v>44838.51</v>
      </c>
    </row>
    <row r="1673" spans="1:6" hidden="1" x14ac:dyDescent="0.3">
      <c r="A1673">
        <v>2026</v>
      </c>
      <c r="B1673">
        <v>2</v>
      </c>
      <c r="C1673" s="105" t="s">
        <v>38</v>
      </c>
      <c r="D1673" s="105" t="s">
        <v>52</v>
      </c>
      <c r="E1673">
        <v>2</v>
      </c>
      <c r="F1673">
        <v>1731</v>
      </c>
    </row>
    <row r="1674" spans="1:6" hidden="1" x14ac:dyDescent="0.3">
      <c r="A1674">
        <v>2026</v>
      </c>
      <c r="B1674">
        <v>2</v>
      </c>
      <c r="C1674" s="105" t="s">
        <v>38</v>
      </c>
      <c r="D1674" s="105" t="s">
        <v>33</v>
      </c>
      <c r="E1674">
        <v>132</v>
      </c>
      <c r="F1674">
        <v>118910.94</v>
      </c>
    </row>
    <row r="1675" spans="1:6" hidden="1" x14ac:dyDescent="0.3">
      <c r="A1675">
        <v>2026</v>
      </c>
      <c r="B1675">
        <v>2</v>
      </c>
      <c r="C1675" s="105" t="s">
        <v>38</v>
      </c>
      <c r="D1675" s="105" t="s">
        <v>58</v>
      </c>
      <c r="E1675">
        <v>1</v>
      </c>
      <c r="F1675">
        <v>835</v>
      </c>
    </row>
    <row r="1676" spans="1:6" hidden="1" x14ac:dyDescent="0.3">
      <c r="A1676">
        <v>2026</v>
      </c>
      <c r="B1676">
        <v>2</v>
      </c>
      <c r="C1676" s="105" t="s">
        <v>38</v>
      </c>
      <c r="D1676" s="105" t="s">
        <v>34</v>
      </c>
      <c r="E1676">
        <v>49</v>
      </c>
      <c r="F1676">
        <v>42485.63</v>
      </c>
    </row>
    <row r="1677" spans="1:6" hidden="1" x14ac:dyDescent="0.3">
      <c r="A1677">
        <v>2026</v>
      </c>
      <c r="B1677">
        <v>2</v>
      </c>
      <c r="C1677" s="105" t="s">
        <v>38</v>
      </c>
      <c r="D1677" s="105" t="s">
        <v>56</v>
      </c>
      <c r="E1677">
        <v>5</v>
      </c>
      <c r="F1677">
        <v>3805</v>
      </c>
    </row>
    <row r="1678" spans="1:6" hidden="1" x14ac:dyDescent="0.3">
      <c r="A1678">
        <v>2026</v>
      </c>
      <c r="B1678">
        <v>2</v>
      </c>
      <c r="C1678" s="105" t="s">
        <v>38</v>
      </c>
      <c r="D1678" s="105" t="s">
        <v>57</v>
      </c>
      <c r="E1678">
        <v>3</v>
      </c>
      <c r="F1678">
        <v>2221</v>
      </c>
    </row>
    <row r="1679" spans="1:6" hidden="1" x14ac:dyDescent="0.3">
      <c r="A1679">
        <v>2026</v>
      </c>
      <c r="B1679">
        <v>2</v>
      </c>
      <c r="C1679" s="105" t="s">
        <v>38</v>
      </c>
      <c r="D1679" s="105" t="s">
        <v>49</v>
      </c>
      <c r="E1679">
        <v>2</v>
      </c>
      <c r="F1679">
        <v>1130.72</v>
      </c>
    </row>
    <row r="1680" spans="1:6" hidden="1" x14ac:dyDescent="0.3">
      <c r="A1680">
        <v>2026</v>
      </c>
      <c r="B1680">
        <v>2</v>
      </c>
      <c r="C1680" s="105" t="s">
        <v>38</v>
      </c>
      <c r="D1680" s="105" t="s">
        <v>53</v>
      </c>
      <c r="E1680">
        <v>8</v>
      </c>
      <c r="F1680">
        <v>6671</v>
      </c>
    </row>
    <row r="1681" spans="1:6" hidden="1" x14ac:dyDescent="0.3">
      <c r="A1681">
        <v>2026</v>
      </c>
      <c r="B1681">
        <v>2</v>
      </c>
      <c r="C1681" s="105" t="s">
        <v>38</v>
      </c>
      <c r="D1681" s="105" t="s">
        <v>35</v>
      </c>
      <c r="E1681">
        <v>52</v>
      </c>
      <c r="F1681">
        <v>55113.67</v>
      </c>
    </row>
    <row r="1682" spans="1:6" hidden="1" x14ac:dyDescent="0.3">
      <c r="A1682">
        <v>2026</v>
      </c>
      <c r="B1682">
        <v>2</v>
      </c>
      <c r="C1682" s="105" t="s">
        <v>38</v>
      </c>
      <c r="D1682" s="105" t="s">
        <v>36</v>
      </c>
      <c r="E1682">
        <v>52</v>
      </c>
      <c r="F1682">
        <v>45606.65</v>
      </c>
    </row>
    <row r="1683" spans="1:6" hidden="1" x14ac:dyDescent="0.3">
      <c r="A1683">
        <v>2026</v>
      </c>
      <c r="B1683">
        <v>2</v>
      </c>
      <c r="C1683" s="105" t="s">
        <v>38</v>
      </c>
      <c r="D1683" s="105" t="s">
        <v>37</v>
      </c>
      <c r="E1683">
        <v>41</v>
      </c>
      <c r="F1683">
        <v>41761.21</v>
      </c>
    </row>
    <row r="1684" spans="1:6" hidden="1" x14ac:dyDescent="0.3">
      <c r="A1684">
        <v>2026</v>
      </c>
      <c r="B1684">
        <v>3</v>
      </c>
      <c r="C1684" s="105" t="s">
        <v>39</v>
      </c>
      <c r="D1684" s="105" t="s">
        <v>7</v>
      </c>
      <c r="E1684">
        <v>32</v>
      </c>
      <c r="F1684">
        <v>31242.81</v>
      </c>
    </row>
    <row r="1685" spans="1:6" hidden="1" x14ac:dyDescent="0.3">
      <c r="A1685">
        <v>2026</v>
      </c>
      <c r="B1685">
        <v>3</v>
      </c>
      <c r="C1685" s="105" t="s">
        <v>39</v>
      </c>
      <c r="D1685" s="105" t="s">
        <v>8</v>
      </c>
      <c r="E1685">
        <v>33</v>
      </c>
      <c r="F1685">
        <v>25980.65</v>
      </c>
    </row>
    <row r="1686" spans="1:6" hidden="1" x14ac:dyDescent="0.3">
      <c r="A1686">
        <v>2026</v>
      </c>
      <c r="B1686">
        <v>3</v>
      </c>
      <c r="C1686" s="105" t="s">
        <v>39</v>
      </c>
      <c r="D1686" s="105" t="s">
        <v>9</v>
      </c>
      <c r="E1686">
        <v>16</v>
      </c>
      <c r="F1686">
        <v>12153.6</v>
      </c>
    </row>
    <row r="1687" spans="1:6" hidden="1" x14ac:dyDescent="0.3">
      <c r="A1687">
        <v>2026</v>
      </c>
      <c r="B1687">
        <v>3</v>
      </c>
      <c r="C1687" s="105" t="s">
        <v>39</v>
      </c>
      <c r="D1687" s="105" t="s">
        <v>10</v>
      </c>
      <c r="E1687">
        <v>56</v>
      </c>
      <c r="F1687">
        <v>60293.09</v>
      </c>
    </row>
    <row r="1688" spans="1:6" hidden="1" x14ac:dyDescent="0.3">
      <c r="A1688">
        <v>2026</v>
      </c>
      <c r="B1688">
        <v>3</v>
      </c>
      <c r="C1688" s="105" t="s">
        <v>39</v>
      </c>
      <c r="D1688" s="105" t="s">
        <v>11</v>
      </c>
      <c r="E1688">
        <v>53</v>
      </c>
      <c r="F1688">
        <v>47059.42</v>
      </c>
    </row>
    <row r="1689" spans="1:6" hidden="1" x14ac:dyDescent="0.3">
      <c r="A1689">
        <v>2026</v>
      </c>
      <c r="B1689">
        <v>3</v>
      </c>
      <c r="C1689" s="105" t="s">
        <v>39</v>
      </c>
      <c r="D1689" s="105" t="s">
        <v>12</v>
      </c>
      <c r="E1689">
        <v>52</v>
      </c>
      <c r="F1689">
        <v>41800.97</v>
      </c>
    </row>
    <row r="1690" spans="1:6" hidden="1" x14ac:dyDescent="0.3">
      <c r="A1690">
        <v>2026</v>
      </c>
      <c r="B1690">
        <v>3</v>
      </c>
      <c r="C1690" s="105" t="s">
        <v>39</v>
      </c>
      <c r="D1690" s="105" t="s">
        <v>13</v>
      </c>
      <c r="E1690">
        <v>91</v>
      </c>
      <c r="F1690">
        <v>89485.19</v>
      </c>
    </row>
    <row r="1691" spans="1:6" hidden="1" x14ac:dyDescent="0.3">
      <c r="A1691">
        <v>2026</v>
      </c>
      <c r="B1691">
        <v>3</v>
      </c>
      <c r="C1691" s="105" t="s">
        <v>39</v>
      </c>
      <c r="D1691" s="105" t="s">
        <v>14</v>
      </c>
      <c r="E1691">
        <v>61</v>
      </c>
      <c r="F1691">
        <v>43353.279999999999</v>
      </c>
    </row>
    <row r="1692" spans="1:6" hidden="1" x14ac:dyDescent="0.3">
      <c r="A1692">
        <v>2026</v>
      </c>
      <c r="B1692">
        <v>3</v>
      </c>
      <c r="C1692" s="105" t="s">
        <v>39</v>
      </c>
      <c r="D1692" s="105" t="s">
        <v>15</v>
      </c>
      <c r="E1692">
        <v>30</v>
      </c>
      <c r="F1692">
        <v>15934.5</v>
      </c>
    </row>
    <row r="1693" spans="1:6" hidden="1" x14ac:dyDescent="0.3">
      <c r="A1693">
        <v>2026</v>
      </c>
      <c r="B1693">
        <v>3</v>
      </c>
      <c r="C1693" s="105" t="s">
        <v>39</v>
      </c>
      <c r="D1693" s="105" t="s">
        <v>16</v>
      </c>
      <c r="E1693">
        <v>22</v>
      </c>
      <c r="F1693">
        <v>17053.580000000002</v>
      </c>
    </row>
    <row r="1694" spans="1:6" hidden="1" x14ac:dyDescent="0.3">
      <c r="A1694">
        <v>2026</v>
      </c>
      <c r="B1694">
        <v>3</v>
      </c>
      <c r="C1694" s="105" t="s">
        <v>39</v>
      </c>
      <c r="D1694" s="105" t="s">
        <v>54</v>
      </c>
      <c r="E1694">
        <v>5</v>
      </c>
      <c r="F1694">
        <v>3857</v>
      </c>
    </row>
    <row r="1695" spans="1:6" hidden="1" x14ac:dyDescent="0.3">
      <c r="A1695">
        <v>2026</v>
      </c>
      <c r="B1695">
        <v>3</v>
      </c>
      <c r="C1695" s="105" t="s">
        <v>39</v>
      </c>
      <c r="D1695" s="105" t="s">
        <v>17</v>
      </c>
      <c r="E1695">
        <v>103</v>
      </c>
      <c r="F1695">
        <v>107885.4</v>
      </c>
    </row>
    <row r="1696" spans="1:6" hidden="1" x14ac:dyDescent="0.3">
      <c r="A1696">
        <v>2026</v>
      </c>
      <c r="B1696">
        <v>3</v>
      </c>
      <c r="C1696" s="105" t="s">
        <v>39</v>
      </c>
      <c r="D1696" s="105" t="s">
        <v>18</v>
      </c>
      <c r="E1696">
        <v>93</v>
      </c>
      <c r="F1696">
        <v>87224.53</v>
      </c>
    </row>
    <row r="1697" spans="1:6" hidden="1" x14ac:dyDescent="0.3">
      <c r="A1697">
        <v>2026</v>
      </c>
      <c r="B1697">
        <v>3</v>
      </c>
      <c r="C1697" s="105" t="s">
        <v>39</v>
      </c>
      <c r="D1697" s="105" t="s">
        <v>50</v>
      </c>
      <c r="E1697">
        <v>9</v>
      </c>
      <c r="F1697">
        <v>8405</v>
      </c>
    </row>
    <row r="1698" spans="1:6" hidden="1" x14ac:dyDescent="0.3">
      <c r="A1698">
        <v>2026</v>
      </c>
      <c r="B1698">
        <v>3</v>
      </c>
      <c r="C1698" s="105" t="s">
        <v>39</v>
      </c>
      <c r="D1698" s="105" t="s">
        <v>55</v>
      </c>
      <c r="E1698">
        <v>2</v>
      </c>
      <c r="F1698">
        <v>1700</v>
      </c>
    </row>
    <row r="1699" spans="1:6" hidden="1" x14ac:dyDescent="0.3">
      <c r="A1699">
        <v>2026</v>
      </c>
      <c r="B1699">
        <v>3</v>
      </c>
      <c r="C1699" s="105" t="s">
        <v>39</v>
      </c>
      <c r="D1699" s="105" t="s">
        <v>19</v>
      </c>
      <c r="E1699">
        <v>19</v>
      </c>
      <c r="F1699">
        <v>12815.83</v>
      </c>
    </row>
    <row r="1700" spans="1:6" x14ac:dyDescent="0.3">
      <c r="A1700">
        <v>2026</v>
      </c>
      <c r="B1700">
        <v>3</v>
      </c>
      <c r="C1700" s="105" t="s">
        <v>39</v>
      </c>
      <c r="D1700" s="105" t="s">
        <v>20</v>
      </c>
      <c r="E1700">
        <v>81</v>
      </c>
      <c r="F1700">
        <v>76827.86</v>
      </c>
    </row>
    <row r="1701" spans="1:6" hidden="1" x14ac:dyDescent="0.3">
      <c r="A1701">
        <v>2026</v>
      </c>
      <c r="B1701">
        <v>3</v>
      </c>
      <c r="C1701" s="105" t="s">
        <v>39</v>
      </c>
      <c r="D1701" s="105" t="s">
        <v>21</v>
      </c>
      <c r="E1701">
        <v>104</v>
      </c>
      <c r="F1701">
        <v>104386.85</v>
      </c>
    </row>
    <row r="1702" spans="1:6" hidden="1" x14ac:dyDescent="0.3">
      <c r="A1702">
        <v>2026</v>
      </c>
      <c r="B1702">
        <v>3</v>
      </c>
      <c r="C1702" s="105" t="s">
        <v>39</v>
      </c>
      <c r="D1702" s="105" t="s">
        <v>22</v>
      </c>
      <c r="E1702">
        <v>44</v>
      </c>
      <c r="F1702">
        <v>31654.15</v>
      </c>
    </row>
    <row r="1703" spans="1:6" hidden="1" x14ac:dyDescent="0.3">
      <c r="A1703">
        <v>2026</v>
      </c>
      <c r="B1703">
        <v>3</v>
      </c>
      <c r="C1703" s="105" t="s">
        <v>39</v>
      </c>
      <c r="D1703" s="105" t="s">
        <v>23</v>
      </c>
      <c r="E1703">
        <v>25</v>
      </c>
      <c r="F1703">
        <v>25703.200000000001</v>
      </c>
    </row>
    <row r="1704" spans="1:6" hidden="1" x14ac:dyDescent="0.3">
      <c r="A1704">
        <v>2026</v>
      </c>
      <c r="B1704">
        <v>3</v>
      </c>
      <c r="C1704" s="105" t="s">
        <v>39</v>
      </c>
      <c r="D1704" s="105" t="s">
        <v>24</v>
      </c>
      <c r="E1704">
        <v>61</v>
      </c>
      <c r="F1704">
        <v>44872.71</v>
      </c>
    </row>
    <row r="1705" spans="1:6" hidden="1" x14ac:dyDescent="0.3">
      <c r="A1705">
        <v>2026</v>
      </c>
      <c r="B1705">
        <v>3</v>
      </c>
      <c r="C1705" s="105" t="s">
        <v>39</v>
      </c>
      <c r="D1705" s="105" t="s">
        <v>25</v>
      </c>
      <c r="E1705">
        <v>70</v>
      </c>
      <c r="F1705">
        <v>59723.1</v>
      </c>
    </row>
    <row r="1706" spans="1:6" hidden="1" x14ac:dyDescent="0.3">
      <c r="A1706">
        <v>2026</v>
      </c>
      <c r="B1706">
        <v>3</v>
      </c>
      <c r="C1706" s="105" t="s">
        <v>39</v>
      </c>
      <c r="D1706" s="105" t="s">
        <v>26</v>
      </c>
      <c r="E1706">
        <v>22</v>
      </c>
      <c r="F1706">
        <v>17277.080000000002</v>
      </c>
    </row>
    <row r="1707" spans="1:6" hidden="1" x14ac:dyDescent="0.3">
      <c r="A1707">
        <v>2026</v>
      </c>
      <c r="B1707">
        <v>3</v>
      </c>
      <c r="C1707" s="105" t="s">
        <v>39</v>
      </c>
      <c r="D1707" s="105" t="s">
        <v>27</v>
      </c>
      <c r="E1707">
        <v>70</v>
      </c>
      <c r="F1707">
        <v>70832.75</v>
      </c>
    </row>
    <row r="1708" spans="1:6" hidden="1" x14ac:dyDescent="0.3">
      <c r="A1708">
        <v>2026</v>
      </c>
      <c r="B1708">
        <v>3</v>
      </c>
      <c r="C1708" s="105" t="s">
        <v>39</v>
      </c>
      <c r="D1708" s="105" t="s">
        <v>28</v>
      </c>
      <c r="E1708">
        <v>11</v>
      </c>
      <c r="F1708">
        <v>10045.15</v>
      </c>
    </row>
    <row r="1709" spans="1:6" hidden="1" x14ac:dyDescent="0.3">
      <c r="A1709">
        <v>2026</v>
      </c>
      <c r="B1709">
        <v>3</v>
      </c>
      <c r="C1709" s="105" t="s">
        <v>39</v>
      </c>
      <c r="D1709" s="105" t="s">
        <v>29</v>
      </c>
      <c r="E1709">
        <v>69</v>
      </c>
      <c r="F1709">
        <v>60957.3</v>
      </c>
    </row>
    <row r="1710" spans="1:6" hidden="1" x14ac:dyDescent="0.3">
      <c r="A1710">
        <v>2026</v>
      </c>
      <c r="B1710">
        <v>3</v>
      </c>
      <c r="C1710" s="105" t="s">
        <v>39</v>
      </c>
      <c r="D1710" s="105" t="s">
        <v>30</v>
      </c>
      <c r="E1710">
        <v>11</v>
      </c>
      <c r="F1710">
        <v>8020.28</v>
      </c>
    </row>
    <row r="1711" spans="1:6" hidden="1" x14ac:dyDescent="0.3">
      <c r="A1711">
        <v>2026</v>
      </c>
      <c r="B1711">
        <v>3</v>
      </c>
      <c r="C1711" s="105" t="s">
        <v>39</v>
      </c>
      <c r="D1711" s="105" t="s">
        <v>31</v>
      </c>
      <c r="E1711">
        <v>111</v>
      </c>
      <c r="F1711">
        <v>123297.2</v>
      </c>
    </row>
    <row r="1712" spans="1:6" hidden="1" x14ac:dyDescent="0.3">
      <c r="A1712">
        <v>2026</v>
      </c>
      <c r="B1712">
        <v>3</v>
      </c>
      <c r="C1712" s="105" t="s">
        <v>39</v>
      </c>
      <c r="D1712" s="105" t="s">
        <v>51</v>
      </c>
      <c r="E1712">
        <v>4</v>
      </c>
      <c r="F1712">
        <v>2314</v>
      </c>
    </row>
    <row r="1713" spans="1:6" hidden="1" x14ac:dyDescent="0.3">
      <c r="A1713">
        <v>2026</v>
      </c>
      <c r="B1713">
        <v>3</v>
      </c>
      <c r="C1713" s="105" t="s">
        <v>39</v>
      </c>
      <c r="D1713" s="105" t="s">
        <v>32</v>
      </c>
      <c r="E1713">
        <v>33</v>
      </c>
      <c r="F1713">
        <v>29329.75</v>
      </c>
    </row>
    <row r="1714" spans="1:6" hidden="1" x14ac:dyDescent="0.3">
      <c r="A1714">
        <v>2026</v>
      </c>
      <c r="B1714">
        <v>3</v>
      </c>
      <c r="C1714" s="105" t="s">
        <v>39</v>
      </c>
      <c r="D1714" s="105" t="s">
        <v>52</v>
      </c>
      <c r="E1714">
        <v>7</v>
      </c>
      <c r="F1714">
        <v>6210.5</v>
      </c>
    </row>
    <row r="1715" spans="1:6" hidden="1" x14ac:dyDescent="0.3">
      <c r="A1715">
        <v>2026</v>
      </c>
      <c r="B1715">
        <v>3</v>
      </c>
      <c r="C1715" s="105" t="s">
        <v>39</v>
      </c>
      <c r="D1715" s="105" t="s">
        <v>33</v>
      </c>
      <c r="E1715">
        <v>129</v>
      </c>
      <c r="F1715">
        <v>124520.72</v>
      </c>
    </row>
    <row r="1716" spans="1:6" hidden="1" x14ac:dyDescent="0.3">
      <c r="A1716">
        <v>2026</v>
      </c>
      <c r="B1716">
        <v>3</v>
      </c>
      <c r="C1716" s="105" t="s">
        <v>39</v>
      </c>
      <c r="D1716" s="105" t="s">
        <v>58</v>
      </c>
      <c r="E1716">
        <v>5</v>
      </c>
      <c r="F1716">
        <v>3908</v>
      </c>
    </row>
    <row r="1717" spans="1:6" hidden="1" x14ac:dyDescent="0.3">
      <c r="A1717">
        <v>2026</v>
      </c>
      <c r="B1717">
        <v>3</v>
      </c>
      <c r="C1717" s="105" t="s">
        <v>39</v>
      </c>
      <c r="D1717" s="105" t="s">
        <v>34</v>
      </c>
      <c r="E1717">
        <v>75</v>
      </c>
      <c r="F1717">
        <v>66929.13</v>
      </c>
    </row>
    <row r="1718" spans="1:6" hidden="1" x14ac:dyDescent="0.3">
      <c r="A1718">
        <v>2026</v>
      </c>
      <c r="B1718">
        <v>3</v>
      </c>
      <c r="C1718" s="105" t="s">
        <v>39</v>
      </c>
      <c r="D1718" s="105" t="s">
        <v>56</v>
      </c>
      <c r="E1718">
        <v>2</v>
      </c>
      <c r="F1718">
        <v>1662</v>
      </c>
    </row>
    <row r="1719" spans="1:6" hidden="1" x14ac:dyDescent="0.3">
      <c r="A1719">
        <v>2026</v>
      </c>
      <c r="B1719">
        <v>3</v>
      </c>
      <c r="C1719" s="105" t="s">
        <v>39</v>
      </c>
      <c r="D1719" s="105" t="s">
        <v>57</v>
      </c>
      <c r="E1719">
        <v>4</v>
      </c>
      <c r="F1719">
        <v>3144</v>
      </c>
    </row>
    <row r="1720" spans="1:6" hidden="1" x14ac:dyDescent="0.3">
      <c r="A1720">
        <v>2026</v>
      </c>
      <c r="B1720">
        <v>3</v>
      </c>
      <c r="C1720" s="105" t="s">
        <v>39</v>
      </c>
      <c r="D1720" s="105" t="s">
        <v>49</v>
      </c>
      <c r="E1720">
        <v>2</v>
      </c>
      <c r="F1720">
        <v>1668</v>
      </c>
    </row>
    <row r="1721" spans="1:6" hidden="1" x14ac:dyDescent="0.3">
      <c r="A1721">
        <v>2026</v>
      </c>
      <c r="B1721">
        <v>3</v>
      </c>
      <c r="C1721" s="105" t="s">
        <v>39</v>
      </c>
      <c r="D1721" s="105" t="s">
        <v>53</v>
      </c>
      <c r="E1721">
        <v>8</v>
      </c>
      <c r="F1721">
        <v>7391</v>
      </c>
    </row>
    <row r="1722" spans="1:6" hidden="1" x14ac:dyDescent="0.3">
      <c r="A1722">
        <v>2026</v>
      </c>
      <c r="B1722">
        <v>3</v>
      </c>
      <c r="C1722" s="105" t="s">
        <v>39</v>
      </c>
      <c r="D1722" s="105" t="s">
        <v>35</v>
      </c>
      <c r="E1722">
        <v>58</v>
      </c>
      <c r="F1722">
        <v>53844.29</v>
      </c>
    </row>
    <row r="1723" spans="1:6" hidden="1" x14ac:dyDescent="0.3">
      <c r="A1723">
        <v>2026</v>
      </c>
      <c r="B1723">
        <v>3</v>
      </c>
      <c r="C1723" s="105" t="s">
        <v>39</v>
      </c>
      <c r="D1723" s="105" t="s">
        <v>36</v>
      </c>
      <c r="E1723">
        <v>45</v>
      </c>
      <c r="F1723">
        <v>46399.03</v>
      </c>
    </row>
    <row r="1724" spans="1:6" hidden="1" x14ac:dyDescent="0.3">
      <c r="A1724">
        <v>2026</v>
      </c>
      <c r="B1724">
        <v>3</v>
      </c>
      <c r="C1724" s="105" t="s">
        <v>39</v>
      </c>
      <c r="D1724" s="105" t="s">
        <v>37</v>
      </c>
      <c r="E1724">
        <v>59</v>
      </c>
      <c r="F1724">
        <v>58207.46</v>
      </c>
    </row>
    <row r="1725" spans="1:6" hidden="1" x14ac:dyDescent="0.3">
      <c r="A1725">
        <v>2026</v>
      </c>
      <c r="B1725">
        <v>4</v>
      </c>
      <c r="C1725" s="105" t="s">
        <v>40</v>
      </c>
      <c r="D1725" s="105" t="s">
        <v>7</v>
      </c>
      <c r="E1725">
        <v>30</v>
      </c>
      <c r="F1725">
        <v>28174.35</v>
      </c>
    </row>
    <row r="1726" spans="1:6" hidden="1" x14ac:dyDescent="0.3">
      <c r="A1726">
        <v>2026</v>
      </c>
      <c r="B1726">
        <v>4</v>
      </c>
      <c r="C1726" s="105" t="s">
        <v>40</v>
      </c>
      <c r="D1726" s="105" t="s">
        <v>8</v>
      </c>
      <c r="E1726">
        <v>33</v>
      </c>
      <c r="F1726">
        <v>30711.51</v>
      </c>
    </row>
    <row r="1727" spans="1:6" hidden="1" x14ac:dyDescent="0.3">
      <c r="A1727">
        <v>2026</v>
      </c>
      <c r="B1727">
        <v>4</v>
      </c>
      <c r="C1727" s="105" t="s">
        <v>40</v>
      </c>
      <c r="D1727" s="105" t="s">
        <v>9</v>
      </c>
      <c r="E1727">
        <v>18</v>
      </c>
      <c r="F1727">
        <v>18369.060000000001</v>
      </c>
    </row>
    <row r="1728" spans="1:6" hidden="1" x14ac:dyDescent="0.3">
      <c r="A1728">
        <v>2026</v>
      </c>
      <c r="B1728">
        <v>4</v>
      </c>
      <c r="C1728" s="105" t="s">
        <v>40</v>
      </c>
      <c r="D1728" s="105" t="s">
        <v>10</v>
      </c>
      <c r="E1728">
        <v>66</v>
      </c>
      <c r="F1728">
        <v>67930.070000000007</v>
      </c>
    </row>
    <row r="1729" spans="1:6" hidden="1" x14ac:dyDescent="0.3">
      <c r="A1729">
        <v>2026</v>
      </c>
      <c r="B1729">
        <v>4</v>
      </c>
      <c r="C1729" s="105" t="s">
        <v>40</v>
      </c>
      <c r="D1729" s="105" t="s">
        <v>11</v>
      </c>
      <c r="E1729">
        <v>40</v>
      </c>
      <c r="F1729">
        <v>35991.629999999997</v>
      </c>
    </row>
    <row r="1730" spans="1:6" hidden="1" x14ac:dyDescent="0.3">
      <c r="A1730">
        <v>2026</v>
      </c>
      <c r="B1730">
        <v>4</v>
      </c>
      <c r="C1730" s="105" t="s">
        <v>40</v>
      </c>
      <c r="D1730" s="105" t="s">
        <v>59</v>
      </c>
      <c r="E1730">
        <v>1</v>
      </c>
      <c r="F1730">
        <v>275</v>
      </c>
    </row>
    <row r="1731" spans="1:6" hidden="1" x14ac:dyDescent="0.3">
      <c r="A1731">
        <v>2026</v>
      </c>
      <c r="B1731">
        <v>4</v>
      </c>
      <c r="C1731" s="105" t="s">
        <v>40</v>
      </c>
      <c r="D1731" s="105" t="s">
        <v>12</v>
      </c>
      <c r="E1731">
        <v>49</v>
      </c>
      <c r="F1731">
        <v>38546.410000000003</v>
      </c>
    </row>
    <row r="1732" spans="1:6" hidden="1" x14ac:dyDescent="0.3">
      <c r="A1732">
        <v>2026</v>
      </c>
      <c r="B1732">
        <v>4</v>
      </c>
      <c r="C1732" s="105" t="s">
        <v>40</v>
      </c>
      <c r="D1732" s="105" t="s">
        <v>13</v>
      </c>
      <c r="E1732">
        <v>91</v>
      </c>
      <c r="F1732">
        <v>79542.47</v>
      </c>
    </row>
    <row r="1733" spans="1:6" hidden="1" x14ac:dyDescent="0.3">
      <c r="A1733">
        <v>2026</v>
      </c>
      <c r="B1733">
        <v>4</v>
      </c>
      <c r="C1733" s="105" t="s">
        <v>40</v>
      </c>
      <c r="D1733" s="105" t="s">
        <v>14</v>
      </c>
      <c r="E1733">
        <v>64</v>
      </c>
      <c r="F1733">
        <v>45122.01</v>
      </c>
    </row>
    <row r="1734" spans="1:6" hidden="1" x14ac:dyDescent="0.3">
      <c r="A1734">
        <v>2026</v>
      </c>
      <c r="B1734">
        <v>4</v>
      </c>
      <c r="C1734" s="105" t="s">
        <v>40</v>
      </c>
      <c r="D1734" s="105" t="s">
        <v>15</v>
      </c>
      <c r="E1734">
        <v>31</v>
      </c>
      <c r="F1734">
        <v>18002.599999999999</v>
      </c>
    </row>
    <row r="1735" spans="1:6" hidden="1" x14ac:dyDescent="0.3">
      <c r="A1735">
        <v>2026</v>
      </c>
      <c r="B1735">
        <v>4</v>
      </c>
      <c r="C1735" s="105" t="s">
        <v>40</v>
      </c>
      <c r="D1735" s="105" t="s">
        <v>16</v>
      </c>
      <c r="E1735">
        <v>22</v>
      </c>
      <c r="F1735">
        <v>14632.71</v>
      </c>
    </row>
    <row r="1736" spans="1:6" hidden="1" x14ac:dyDescent="0.3">
      <c r="A1736">
        <v>2026</v>
      </c>
      <c r="B1736">
        <v>4</v>
      </c>
      <c r="C1736" s="105" t="s">
        <v>40</v>
      </c>
      <c r="D1736" s="105" t="s">
        <v>17</v>
      </c>
      <c r="E1736">
        <v>95</v>
      </c>
      <c r="F1736">
        <v>99193.89</v>
      </c>
    </row>
    <row r="1737" spans="1:6" hidden="1" x14ac:dyDescent="0.3">
      <c r="A1737">
        <v>2026</v>
      </c>
      <c r="B1737">
        <v>4</v>
      </c>
      <c r="C1737" s="105" t="s">
        <v>40</v>
      </c>
      <c r="D1737" s="105" t="s">
        <v>18</v>
      </c>
      <c r="E1737">
        <v>106</v>
      </c>
      <c r="F1737">
        <v>98776.9</v>
      </c>
    </row>
    <row r="1738" spans="1:6" hidden="1" x14ac:dyDescent="0.3">
      <c r="A1738">
        <v>2026</v>
      </c>
      <c r="B1738">
        <v>4</v>
      </c>
      <c r="C1738" s="105" t="s">
        <v>40</v>
      </c>
      <c r="D1738" s="105" t="s">
        <v>50</v>
      </c>
      <c r="E1738">
        <v>9</v>
      </c>
      <c r="F1738">
        <v>36068</v>
      </c>
    </row>
    <row r="1739" spans="1:6" hidden="1" x14ac:dyDescent="0.3">
      <c r="A1739">
        <v>2026</v>
      </c>
      <c r="B1739">
        <v>4</v>
      </c>
      <c r="C1739" s="105" t="s">
        <v>40</v>
      </c>
      <c r="D1739" s="105" t="s">
        <v>55</v>
      </c>
      <c r="E1739">
        <v>4</v>
      </c>
      <c r="F1739">
        <v>3552</v>
      </c>
    </row>
    <row r="1740" spans="1:6" hidden="1" x14ac:dyDescent="0.3">
      <c r="A1740">
        <v>2026</v>
      </c>
      <c r="B1740">
        <v>4</v>
      </c>
      <c r="C1740" s="105" t="s">
        <v>40</v>
      </c>
      <c r="D1740" s="105" t="s">
        <v>19</v>
      </c>
      <c r="E1740">
        <v>20</v>
      </c>
      <c r="F1740">
        <v>15517.08</v>
      </c>
    </row>
    <row r="1741" spans="1:6" x14ac:dyDescent="0.3">
      <c r="A1741">
        <v>2026</v>
      </c>
      <c r="B1741">
        <v>4</v>
      </c>
      <c r="C1741" s="105" t="s">
        <v>40</v>
      </c>
      <c r="D1741" s="105" t="s">
        <v>20</v>
      </c>
      <c r="E1741">
        <v>57</v>
      </c>
      <c r="F1741">
        <v>72843.27</v>
      </c>
    </row>
    <row r="1742" spans="1:6" hidden="1" x14ac:dyDescent="0.3">
      <c r="A1742">
        <v>2026</v>
      </c>
      <c r="B1742">
        <v>4</v>
      </c>
      <c r="C1742" s="105" t="s">
        <v>40</v>
      </c>
      <c r="D1742" s="105" t="s">
        <v>21</v>
      </c>
      <c r="E1742">
        <v>99</v>
      </c>
      <c r="F1742">
        <v>95629.34</v>
      </c>
    </row>
    <row r="1743" spans="1:6" hidden="1" x14ac:dyDescent="0.3">
      <c r="A1743">
        <v>2026</v>
      </c>
      <c r="B1743">
        <v>4</v>
      </c>
      <c r="C1743" s="105" t="s">
        <v>40</v>
      </c>
      <c r="D1743" s="105" t="s">
        <v>22</v>
      </c>
      <c r="E1743">
        <v>48</v>
      </c>
      <c r="F1743">
        <v>40485.74</v>
      </c>
    </row>
    <row r="1744" spans="1:6" hidden="1" x14ac:dyDescent="0.3">
      <c r="A1744">
        <v>2026</v>
      </c>
      <c r="B1744">
        <v>4</v>
      </c>
      <c r="C1744" s="105" t="s">
        <v>40</v>
      </c>
      <c r="D1744" s="105" t="s">
        <v>23</v>
      </c>
      <c r="E1744">
        <v>39</v>
      </c>
      <c r="F1744">
        <v>42325.56</v>
      </c>
    </row>
    <row r="1745" spans="1:6" hidden="1" x14ac:dyDescent="0.3">
      <c r="A1745">
        <v>2026</v>
      </c>
      <c r="B1745">
        <v>4</v>
      </c>
      <c r="C1745" s="105" t="s">
        <v>40</v>
      </c>
      <c r="D1745" s="105" t="s">
        <v>24</v>
      </c>
      <c r="E1745">
        <v>54</v>
      </c>
      <c r="F1745">
        <v>41981.68</v>
      </c>
    </row>
    <row r="1746" spans="1:6" hidden="1" x14ac:dyDescent="0.3">
      <c r="A1746">
        <v>2026</v>
      </c>
      <c r="B1746">
        <v>4</v>
      </c>
      <c r="C1746" s="105" t="s">
        <v>40</v>
      </c>
      <c r="D1746" s="105" t="s">
        <v>25</v>
      </c>
      <c r="E1746">
        <v>88</v>
      </c>
      <c r="F1746">
        <v>73314.36</v>
      </c>
    </row>
    <row r="1747" spans="1:6" hidden="1" x14ac:dyDescent="0.3">
      <c r="A1747">
        <v>2026</v>
      </c>
      <c r="B1747">
        <v>4</v>
      </c>
      <c r="C1747" s="105" t="s">
        <v>40</v>
      </c>
      <c r="D1747" s="105" t="s">
        <v>26</v>
      </c>
      <c r="E1747">
        <v>25</v>
      </c>
      <c r="F1747">
        <v>29058.12</v>
      </c>
    </row>
    <row r="1748" spans="1:6" hidden="1" x14ac:dyDescent="0.3">
      <c r="A1748">
        <v>2026</v>
      </c>
      <c r="B1748">
        <v>4</v>
      </c>
      <c r="C1748" s="105" t="s">
        <v>40</v>
      </c>
      <c r="D1748" s="105" t="s">
        <v>27</v>
      </c>
      <c r="E1748">
        <v>61</v>
      </c>
      <c r="F1748">
        <v>60789.96</v>
      </c>
    </row>
    <row r="1749" spans="1:6" hidden="1" x14ac:dyDescent="0.3">
      <c r="A1749">
        <v>2026</v>
      </c>
      <c r="B1749">
        <v>4</v>
      </c>
      <c r="C1749" s="105" t="s">
        <v>40</v>
      </c>
      <c r="D1749" s="105" t="s">
        <v>28</v>
      </c>
      <c r="E1749">
        <v>9</v>
      </c>
      <c r="F1749">
        <v>6776.45</v>
      </c>
    </row>
    <row r="1750" spans="1:6" hidden="1" x14ac:dyDescent="0.3">
      <c r="A1750">
        <v>2026</v>
      </c>
      <c r="B1750">
        <v>4</v>
      </c>
      <c r="C1750" s="105" t="s">
        <v>40</v>
      </c>
      <c r="D1750" s="105" t="s">
        <v>29</v>
      </c>
      <c r="E1750">
        <v>65</v>
      </c>
      <c r="F1750">
        <v>57738.81</v>
      </c>
    </row>
    <row r="1751" spans="1:6" hidden="1" x14ac:dyDescent="0.3">
      <c r="A1751">
        <v>2026</v>
      </c>
      <c r="B1751">
        <v>4</v>
      </c>
      <c r="C1751" s="105" t="s">
        <v>40</v>
      </c>
      <c r="D1751" s="105" t="s">
        <v>30</v>
      </c>
      <c r="E1751">
        <v>19</v>
      </c>
      <c r="F1751">
        <v>23270.28</v>
      </c>
    </row>
    <row r="1752" spans="1:6" hidden="1" x14ac:dyDescent="0.3">
      <c r="A1752">
        <v>2026</v>
      </c>
      <c r="B1752">
        <v>4</v>
      </c>
      <c r="C1752" s="105" t="s">
        <v>40</v>
      </c>
      <c r="D1752" s="105" t="s">
        <v>31</v>
      </c>
      <c r="E1752">
        <v>141</v>
      </c>
      <c r="F1752">
        <v>138461.71</v>
      </c>
    </row>
    <row r="1753" spans="1:6" hidden="1" x14ac:dyDescent="0.3">
      <c r="A1753">
        <v>2026</v>
      </c>
      <c r="B1753">
        <v>4</v>
      </c>
      <c r="C1753" s="105" t="s">
        <v>40</v>
      </c>
      <c r="D1753" s="105" t="s">
        <v>51</v>
      </c>
      <c r="E1753">
        <v>6</v>
      </c>
      <c r="F1753">
        <v>4614.25</v>
      </c>
    </row>
    <row r="1754" spans="1:6" hidden="1" x14ac:dyDescent="0.3">
      <c r="A1754">
        <v>2026</v>
      </c>
      <c r="B1754">
        <v>4</v>
      </c>
      <c r="C1754" s="105" t="s">
        <v>40</v>
      </c>
      <c r="D1754" s="105" t="s">
        <v>32</v>
      </c>
      <c r="E1754">
        <v>37</v>
      </c>
      <c r="F1754">
        <v>30889.09</v>
      </c>
    </row>
    <row r="1755" spans="1:6" hidden="1" x14ac:dyDescent="0.3">
      <c r="A1755">
        <v>2026</v>
      </c>
      <c r="B1755">
        <v>4</v>
      </c>
      <c r="C1755" s="105" t="s">
        <v>40</v>
      </c>
      <c r="D1755" s="105" t="s">
        <v>52</v>
      </c>
      <c r="E1755">
        <v>7</v>
      </c>
      <c r="F1755">
        <v>6008</v>
      </c>
    </row>
    <row r="1756" spans="1:6" hidden="1" x14ac:dyDescent="0.3">
      <c r="A1756">
        <v>2026</v>
      </c>
      <c r="B1756">
        <v>4</v>
      </c>
      <c r="C1756" s="105" t="s">
        <v>40</v>
      </c>
      <c r="D1756" s="105" t="s">
        <v>33</v>
      </c>
      <c r="E1756">
        <v>137</v>
      </c>
      <c r="F1756">
        <v>137064.39000000001</v>
      </c>
    </row>
    <row r="1757" spans="1:6" hidden="1" x14ac:dyDescent="0.3">
      <c r="A1757">
        <v>2026</v>
      </c>
      <c r="B1757">
        <v>4</v>
      </c>
      <c r="C1757" s="105" t="s">
        <v>40</v>
      </c>
      <c r="D1757" s="105" t="s">
        <v>58</v>
      </c>
      <c r="E1757">
        <v>3</v>
      </c>
      <c r="F1757">
        <v>1451</v>
      </c>
    </row>
    <row r="1758" spans="1:6" hidden="1" x14ac:dyDescent="0.3">
      <c r="A1758">
        <v>2026</v>
      </c>
      <c r="B1758">
        <v>4</v>
      </c>
      <c r="C1758" s="105" t="s">
        <v>40</v>
      </c>
      <c r="D1758" s="105" t="s">
        <v>34</v>
      </c>
      <c r="E1758">
        <v>70</v>
      </c>
      <c r="F1758">
        <v>62107.98</v>
      </c>
    </row>
    <row r="1759" spans="1:6" hidden="1" x14ac:dyDescent="0.3">
      <c r="A1759">
        <v>2026</v>
      </c>
      <c r="B1759">
        <v>4</v>
      </c>
      <c r="C1759" s="105" t="s">
        <v>40</v>
      </c>
      <c r="D1759" s="105" t="s">
        <v>56</v>
      </c>
      <c r="E1759">
        <v>6</v>
      </c>
      <c r="F1759">
        <v>4042</v>
      </c>
    </row>
    <row r="1760" spans="1:6" hidden="1" x14ac:dyDescent="0.3">
      <c r="A1760">
        <v>2026</v>
      </c>
      <c r="B1760">
        <v>4</v>
      </c>
      <c r="C1760" s="105" t="s">
        <v>40</v>
      </c>
      <c r="D1760" s="105" t="s">
        <v>57</v>
      </c>
      <c r="E1760">
        <v>10</v>
      </c>
      <c r="F1760">
        <v>6855</v>
      </c>
    </row>
    <row r="1761" spans="1:6" hidden="1" x14ac:dyDescent="0.3">
      <c r="A1761">
        <v>2026</v>
      </c>
      <c r="B1761">
        <v>4</v>
      </c>
      <c r="C1761" s="105" t="s">
        <v>40</v>
      </c>
      <c r="D1761" s="105" t="s">
        <v>49</v>
      </c>
      <c r="E1761">
        <v>1</v>
      </c>
      <c r="F1761">
        <v>872</v>
      </c>
    </row>
    <row r="1762" spans="1:6" hidden="1" x14ac:dyDescent="0.3">
      <c r="A1762">
        <v>2026</v>
      </c>
      <c r="B1762">
        <v>4</v>
      </c>
      <c r="C1762" s="105" t="s">
        <v>40</v>
      </c>
      <c r="D1762" s="105" t="s">
        <v>53</v>
      </c>
      <c r="E1762">
        <v>11</v>
      </c>
      <c r="F1762">
        <v>9437.93</v>
      </c>
    </row>
    <row r="1763" spans="1:6" hidden="1" x14ac:dyDescent="0.3">
      <c r="A1763">
        <v>2026</v>
      </c>
      <c r="B1763">
        <v>4</v>
      </c>
      <c r="C1763" s="105" t="s">
        <v>40</v>
      </c>
      <c r="D1763" s="105" t="s">
        <v>35</v>
      </c>
      <c r="E1763">
        <v>54</v>
      </c>
      <c r="F1763">
        <v>53888.65</v>
      </c>
    </row>
    <row r="1764" spans="1:6" hidden="1" x14ac:dyDescent="0.3">
      <c r="A1764">
        <v>2026</v>
      </c>
      <c r="B1764">
        <v>4</v>
      </c>
      <c r="C1764" s="105" t="s">
        <v>40</v>
      </c>
      <c r="D1764" s="105" t="s">
        <v>36</v>
      </c>
      <c r="E1764">
        <v>41</v>
      </c>
      <c r="F1764">
        <v>44783.72</v>
      </c>
    </row>
    <row r="1765" spans="1:6" hidden="1" x14ac:dyDescent="0.3">
      <c r="A1765">
        <v>2026</v>
      </c>
      <c r="B1765">
        <v>4</v>
      </c>
      <c r="C1765" s="105" t="s">
        <v>40</v>
      </c>
      <c r="D1765" s="105" t="s">
        <v>37</v>
      </c>
      <c r="E1765">
        <v>64</v>
      </c>
      <c r="F1765">
        <v>58414.26</v>
      </c>
    </row>
    <row r="1766" spans="1:6" hidden="1" x14ac:dyDescent="0.3">
      <c r="A1766">
        <v>2026</v>
      </c>
      <c r="B1766">
        <v>5</v>
      </c>
      <c r="C1766" s="105" t="s">
        <v>41</v>
      </c>
      <c r="D1766" s="105" t="s">
        <v>7</v>
      </c>
      <c r="E1766">
        <v>8</v>
      </c>
      <c r="F1766">
        <v>7515.75</v>
      </c>
    </row>
    <row r="1767" spans="1:6" hidden="1" x14ac:dyDescent="0.3">
      <c r="A1767">
        <v>2026</v>
      </c>
      <c r="B1767">
        <v>5</v>
      </c>
      <c r="C1767" s="105" t="s">
        <v>41</v>
      </c>
      <c r="D1767" s="105" t="s">
        <v>8</v>
      </c>
      <c r="E1767">
        <v>8</v>
      </c>
      <c r="F1767">
        <v>6476.78</v>
      </c>
    </row>
    <row r="1768" spans="1:6" hidden="1" x14ac:dyDescent="0.3">
      <c r="A1768">
        <v>2026</v>
      </c>
      <c r="B1768">
        <v>5</v>
      </c>
      <c r="C1768" s="105" t="s">
        <v>41</v>
      </c>
      <c r="D1768" s="105" t="s">
        <v>9</v>
      </c>
      <c r="E1768">
        <v>2</v>
      </c>
      <c r="F1768">
        <v>2201.52</v>
      </c>
    </row>
    <row r="1769" spans="1:6" hidden="1" x14ac:dyDescent="0.3">
      <c r="A1769">
        <v>2026</v>
      </c>
      <c r="B1769">
        <v>5</v>
      </c>
      <c r="C1769" s="105" t="s">
        <v>41</v>
      </c>
      <c r="D1769" s="105" t="s">
        <v>10</v>
      </c>
      <c r="E1769">
        <v>18</v>
      </c>
      <c r="F1769">
        <v>18021.240000000002</v>
      </c>
    </row>
    <row r="1770" spans="1:6" hidden="1" x14ac:dyDescent="0.3">
      <c r="A1770">
        <v>2026</v>
      </c>
      <c r="B1770">
        <v>5</v>
      </c>
      <c r="C1770" s="105" t="s">
        <v>41</v>
      </c>
      <c r="D1770" s="105" t="s">
        <v>11</v>
      </c>
      <c r="E1770">
        <v>10</v>
      </c>
      <c r="F1770">
        <v>8938.43</v>
      </c>
    </row>
    <row r="1771" spans="1:6" hidden="1" x14ac:dyDescent="0.3">
      <c r="A1771">
        <v>2026</v>
      </c>
      <c r="B1771">
        <v>5</v>
      </c>
      <c r="C1771" s="105" t="s">
        <v>41</v>
      </c>
      <c r="D1771" s="105" t="s">
        <v>12</v>
      </c>
      <c r="E1771">
        <v>27</v>
      </c>
      <c r="F1771">
        <v>19369.490000000002</v>
      </c>
    </row>
    <row r="1772" spans="1:6" hidden="1" x14ac:dyDescent="0.3">
      <c r="A1772">
        <v>2026</v>
      </c>
      <c r="B1772">
        <v>5</v>
      </c>
      <c r="C1772" s="105" t="s">
        <v>41</v>
      </c>
      <c r="D1772" s="105" t="s">
        <v>13</v>
      </c>
      <c r="E1772">
        <v>30</v>
      </c>
      <c r="F1772">
        <v>20679.150000000001</v>
      </c>
    </row>
    <row r="1773" spans="1:6" hidden="1" x14ac:dyDescent="0.3">
      <c r="A1773">
        <v>2026</v>
      </c>
      <c r="B1773">
        <v>5</v>
      </c>
      <c r="C1773" s="105" t="s">
        <v>41</v>
      </c>
      <c r="D1773" s="105" t="s">
        <v>14</v>
      </c>
      <c r="E1773">
        <v>14</v>
      </c>
      <c r="F1773">
        <v>9587.5499999999993</v>
      </c>
    </row>
    <row r="1774" spans="1:6" hidden="1" x14ac:dyDescent="0.3">
      <c r="A1774">
        <v>2026</v>
      </c>
      <c r="B1774">
        <v>5</v>
      </c>
      <c r="C1774" s="105" t="s">
        <v>41</v>
      </c>
      <c r="D1774" s="105" t="s">
        <v>15</v>
      </c>
      <c r="E1774">
        <v>11</v>
      </c>
      <c r="F1774">
        <v>5827.49</v>
      </c>
    </row>
    <row r="1775" spans="1:6" hidden="1" x14ac:dyDescent="0.3">
      <c r="A1775">
        <v>2026</v>
      </c>
      <c r="B1775">
        <v>5</v>
      </c>
      <c r="C1775" s="105" t="s">
        <v>41</v>
      </c>
      <c r="D1775" s="105" t="s">
        <v>16</v>
      </c>
      <c r="E1775">
        <v>6</v>
      </c>
      <c r="F1775">
        <v>4448.8</v>
      </c>
    </row>
    <row r="1776" spans="1:6" hidden="1" x14ac:dyDescent="0.3">
      <c r="A1776">
        <v>2026</v>
      </c>
      <c r="B1776">
        <v>5</v>
      </c>
      <c r="C1776" s="105" t="s">
        <v>41</v>
      </c>
      <c r="D1776" s="105" t="s">
        <v>17</v>
      </c>
      <c r="E1776">
        <v>32</v>
      </c>
      <c r="F1776">
        <v>30301.33</v>
      </c>
    </row>
    <row r="1777" spans="1:6" hidden="1" x14ac:dyDescent="0.3">
      <c r="A1777">
        <v>2026</v>
      </c>
      <c r="B1777">
        <v>5</v>
      </c>
      <c r="C1777" s="105" t="s">
        <v>41</v>
      </c>
      <c r="D1777" s="105" t="s">
        <v>18</v>
      </c>
      <c r="E1777">
        <v>26</v>
      </c>
      <c r="F1777">
        <v>24006.05</v>
      </c>
    </row>
    <row r="1778" spans="1:6" hidden="1" x14ac:dyDescent="0.3">
      <c r="A1778">
        <v>2026</v>
      </c>
      <c r="B1778">
        <v>5</v>
      </c>
      <c r="C1778" s="105" t="s">
        <v>41</v>
      </c>
      <c r="D1778" s="105" t="s">
        <v>50</v>
      </c>
      <c r="E1778">
        <v>2</v>
      </c>
      <c r="F1778">
        <v>1332</v>
      </c>
    </row>
    <row r="1779" spans="1:6" hidden="1" x14ac:dyDescent="0.3">
      <c r="A1779">
        <v>2026</v>
      </c>
      <c r="B1779">
        <v>5</v>
      </c>
      <c r="C1779" s="105" t="s">
        <v>41</v>
      </c>
      <c r="D1779" s="105" t="s">
        <v>55</v>
      </c>
      <c r="E1779">
        <v>1</v>
      </c>
      <c r="F1779">
        <v>504</v>
      </c>
    </row>
    <row r="1780" spans="1:6" hidden="1" x14ac:dyDescent="0.3">
      <c r="A1780">
        <v>2026</v>
      </c>
      <c r="B1780">
        <v>5</v>
      </c>
      <c r="C1780" s="105" t="s">
        <v>41</v>
      </c>
      <c r="D1780" s="105" t="s">
        <v>19</v>
      </c>
      <c r="E1780">
        <v>10</v>
      </c>
      <c r="F1780">
        <v>6742</v>
      </c>
    </row>
    <row r="1781" spans="1:6" x14ac:dyDescent="0.3">
      <c r="A1781">
        <v>2026</v>
      </c>
      <c r="B1781">
        <v>5</v>
      </c>
      <c r="C1781" s="105" t="s">
        <v>41</v>
      </c>
      <c r="D1781" s="105" t="s">
        <v>20</v>
      </c>
      <c r="E1781">
        <v>17</v>
      </c>
      <c r="F1781">
        <v>12761.87</v>
      </c>
    </row>
    <row r="1782" spans="1:6" hidden="1" x14ac:dyDescent="0.3">
      <c r="A1782">
        <v>2026</v>
      </c>
      <c r="B1782">
        <v>5</v>
      </c>
      <c r="C1782" s="105" t="s">
        <v>41</v>
      </c>
      <c r="D1782" s="105" t="s">
        <v>21</v>
      </c>
      <c r="E1782">
        <v>24</v>
      </c>
      <c r="F1782">
        <v>21506.52</v>
      </c>
    </row>
    <row r="1783" spans="1:6" hidden="1" x14ac:dyDescent="0.3">
      <c r="A1783">
        <v>2026</v>
      </c>
      <c r="B1783">
        <v>5</v>
      </c>
      <c r="C1783" s="105" t="s">
        <v>41</v>
      </c>
      <c r="D1783" s="105" t="s">
        <v>22</v>
      </c>
      <c r="E1783">
        <v>20</v>
      </c>
      <c r="F1783">
        <v>14417.84</v>
      </c>
    </row>
    <row r="1784" spans="1:6" hidden="1" x14ac:dyDescent="0.3">
      <c r="A1784">
        <v>2026</v>
      </c>
      <c r="B1784">
        <v>5</v>
      </c>
      <c r="C1784" s="105" t="s">
        <v>41</v>
      </c>
      <c r="D1784" s="105" t="s">
        <v>23</v>
      </c>
      <c r="E1784">
        <v>14</v>
      </c>
      <c r="F1784">
        <v>38003.699999999997</v>
      </c>
    </row>
    <row r="1785" spans="1:6" hidden="1" x14ac:dyDescent="0.3">
      <c r="A1785">
        <v>2026</v>
      </c>
      <c r="B1785">
        <v>5</v>
      </c>
      <c r="C1785" s="105" t="s">
        <v>41</v>
      </c>
      <c r="D1785" s="105" t="s">
        <v>24</v>
      </c>
      <c r="E1785">
        <v>12</v>
      </c>
      <c r="F1785">
        <v>8907.4</v>
      </c>
    </row>
    <row r="1786" spans="1:6" hidden="1" x14ac:dyDescent="0.3">
      <c r="A1786">
        <v>2026</v>
      </c>
      <c r="B1786">
        <v>5</v>
      </c>
      <c r="C1786" s="105" t="s">
        <v>41</v>
      </c>
      <c r="D1786" s="105" t="s">
        <v>25</v>
      </c>
      <c r="E1786">
        <v>23</v>
      </c>
      <c r="F1786">
        <v>19400.48</v>
      </c>
    </row>
    <row r="1787" spans="1:6" hidden="1" x14ac:dyDescent="0.3">
      <c r="A1787">
        <v>2026</v>
      </c>
      <c r="B1787">
        <v>5</v>
      </c>
      <c r="C1787" s="105" t="s">
        <v>41</v>
      </c>
      <c r="D1787" s="105" t="s">
        <v>26</v>
      </c>
      <c r="E1787">
        <v>10</v>
      </c>
      <c r="F1787">
        <v>9065.02</v>
      </c>
    </row>
    <row r="1788" spans="1:6" hidden="1" x14ac:dyDescent="0.3">
      <c r="A1788">
        <v>2026</v>
      </c>
      <c r="B1788">
        <v>5</v>
      </c>
      <c r="C1788" s="105" t="s">
        <v>41</v>
      </c>
      <c r="D1788" s="105" t="s">
        <v>27</v>
      </c>
      <c r="E1788">
        <v>12</v>
      </c>
      <c r="F1788">
        <v>9834.06</v>
      </c>
    </row>
    <row r="1789" spans="1:6" hidden="1" x14ac:dyDescent="0.3">
      <c r="A1789">
        <v>2026</v>
      </c>
      <c r="B1789">
        <v>5</v>
      </c>
      <c r="C1789" s="105" t="s">
        <v>41</v>
      </c>
      <c r="D1789" s="105" t="s">
        <v>28</v>
      </c>
      <c r="E1789">
        <v>4</v>
      </c>
      <c r="F1789">
        <v>2402</v>
      </c>
    </row>
    <row r="1790" spans="1:6" hidden="1" x14ac:dyDescent="0.3">
      <c r="A1790">
        <v>2026</v>
      </c>
      <c r="B1790">
        <v>5</v>
      </c>
      <c r="C1790" s="105" t="s">
        <v>41</v>
      </c>
      <c r="D1790" s="105" t="s">
        <v>29</v>
      </c>
      <c r="E1790">
        <v>14</v>
      </c>
      <c r="F1790">
        <v>13933.34</v>
      </c>
    </row>
    <row r="1791" spans="1:6" hidden="1" x14ac:dyDescent="0.3">
      <c r="A1791">
        <v>2026</v>
      </c>
      <c r="B1791">
        <v>5</v>
      </c>
      <c r="C1791" s="105" t="s">
        <v>41</v>
      </c>
      <c r="D1791" s="105" t="s">
        <v>30</v>
      </c>
      <c r="E1791">
        <v>8</v>
      </c>
      <c r="F1791">
        <v>4488</v>
      </c>
    </row>
    <row r="1792" spans="1:6" hidden="1" x14ac:dyDescent="0.3">
      <c r="A1792">
        <v>2026</v>
      </c>
      <c r="B1792">
        <v>5</v>
      </c>
      <c r="C1792" s="105" t="s">
        <v>41</v>
      </c>
      <c r="D1792" s="105" t="s">
        <v>31</v>
      </c>
      <c r="E1792">
        <v>51</v>
      </c>
      <c r="F1792">
        <v>51668.36</v>
      </c>
    </row>
    <row r="1793" spans="1:6" hidden="1" x14ac:dyDescent="0.3">
      <c r="A1793">
        <v>2026</v>
      </c>
      <c r="B1793">
        <v>5</v>
      </c>
      <c r="C1793" s="105" t="s">
        <v>41</v>
      </c>
      <c r="D1793" s="105" t="s">
        <v>51</v>
      </c>
      <c r="E1793">
        <v>4</v>
      </c>
      <c r="F1793">
        <v>2145</v>
      </c>
    </row>
    <row r="1794" spans="1:6" hidden="1" x14ac:dyDescent="0.3">
      <c r="A1794">
        <v>2026</v>
      </c>
      <c r="B1794">
        <v>5</v>
      </c>
      <c r="C1794" s="105" t="s">
        <v>41</v>
      </c>
      <c r="D1794" s="105" t="s">
        <v>32</v>
      </c>
      <c r="E1794">
        <v>19</v>
      </c>
      <c r="F1794">
        <v>14372.65</v>
      </c>
    </row>
    <row r="1795" spans="1:6" hidden="1" x14ac:dyDescent="0.3">
      <c r="A1795">
        <v>2026</v>
      </c>
      <c r="B1795">
        <v>5</v>
      </c>
      <c r="C1795" s="105" t="s">
        <v>41</v>
      </c>
      <c r="D1795" s="105" t="s">
        <v>52</v>
      </c>
      <c r="E1795">
        <v>3</v>
      </c>
      <c r="F1795">
        <v>2036</v>
      </c>
    </row>
    <row r="1796" spans="1:6" hidden="1" x14ac:dyDescent="0.3">
      <c r="A1796">
        <v>2026</v>
      </c>
      <c r="B1796">
        <v>5</v>
      </c>
      <c r="C1796" s="105" t="s">
        <v>41</v>
      </c>
      <c r="D1796" s="105" t="s">
        <v>33</v>
      </c>
      <c r="E1796">
        <v>44</v>
      </c>
      <c r="F1796">
        <v>39130.82</v>
      </c>
    </row>
    <row r="1797" spans="1:6" hidden="1" x14ac:dyDescent="0.3">
      <c r="A1797">
        <v>2026</v>
      </c>
      <c r="B1797">
        <v>5</v>
      </c>
      <c r="C1797" s="105" t="s">
        <v>41</v>
      </c>
      <c r="D1797" s="105" t="s">
        <v>58</v>
      </c>
      <c r="E1797">
        <v>2</v>
      </c>
      <c r="F1797">
        <v>1669</v>
      </c>
    </row>
    <row r="1798" spans="1:6" hidden="1" x14ac:dyDescent="0.3">
      <c r="A1798">
        <v>2026</v>
      </c>
      <c r="B1798">
        <v>5</v>
      </c>
      <c r="C1798" s="105" t="s">
        <v>41</v>
      </c>
      <c r="D1798" s="105" t="s">
        <v>34</v>
      </c>
      <c r="E1798">
        <v>12</v>
      </c>
      <c r="F1798">
        <v>11759.76</v>
      </c>
    </row>
    <row r="1799" spans="1:6" hidden="1" x14ac:dyDescent="0.3">
      <c r="A1799">
        <v>2026</v>
      </c>
      <c r="B1799">
        <v>5</v>
      </c>
      <c r="C1799" s="105" t="s">
        <v>41</v>
      </c>
      <c r="D1799" s="105" t="s">
        <v>56</v>
      </c>
      <c r="E1799">
        <v>2</v>
      </c>
      <c r="F1799">
        <v>1758</v>
      </c>
    </row>
    <row r="1800" spans="1:6" hidden="1" x14ac:dyDescent="0.3">
      <c r="A1800">
        <v>2026</v>
      </c>
      <c r="B1800">
        <v>5</v>
      </c>
      <c r="C1800" s="105" t="s">
        <v>41</v>
      </c>
      <c r="D1800" s="105" t="s">
        <v>57</v>
      </c>
      <c r="E1800">
        <v>1</v>
      </c>
      <c r="F1800">
        <v>788</v>
      </c>
    </row>
    <row r="1801" spans="1:6" hidden="1" x14ac:dyDescent="0.3">
      <c r="A1801">
        <v>2026</v>
      </c>
      <c r="B1801">
        <v>5</v>
      </c>
      <c r="C1801" s="105" t="s">
        <v>41</v>
      </c>
      <c r="D1801" s="105" t="s">
        <v>53</v>
      </c>
      <c r="E1801">
        <v>5</v>
      </c>
      <c r="F1801">
        <v>3228</v>
      </c>
    </row>
    <row r="1802" spans="1:6" hidden="1" x14ac:dyDescent="0.3">
      <c r="A1802">
        <v>2026</v>
      </c>
      <c r="B1802">
        <v>5</v>
      </c>
      <c r="C1802" s="105" t="s">
        <v>41</v>
      </c>
      <c r="D1802" s="105" t="s">
        <v>35</v>
      </c>
      <c r="E1802">
        <v>14</v>
      </c>
      <c r="F1802">
        <v>11755</v>
      </c>
    </row>
    <row r="1803" spans="1:6" hidden="1" x14ac:dyDescent="0.3">
      <c r="A1803">
        <v>2026</v>
      </c>
      <c r="B1803">
        <v>5</v>
      </c>
      <c r="C1803" s="105" t="s">
        <v>41</v>
      </c>
      <c r="D1803" s="105" t="s">
        <v>36</v>
      </c>
      <c r="E1803">
        <v>13</v>
      </c>
      <c r="F1803">
        <v>11023.79</v>
      </c>
    </row>
    <row r="1804" spans="1:6" hidden="1" x14ac:dyDescent="0.3">
      <c r="A1804">
        <v>2026</v>
      </c>
      <c r="B1804">
        <v>5</v>
      </c>
      <c r="C1804" s="105" t="s">
        <v>41</v>
      </c>
      <c r="D1804" s="105" t="s">
        <v>37</v>
      </c>
      <c r="E1804">
        <v>27</v>
      </c>
      <c r="F1804">
        <v>25298.05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9D5E3D-86D7-4965-AE4E-20F8CB164E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Branch View</vt:lpstr>
      <vt:lpstr>YOY 2 Branch</vt:lpstr>
      <vt:lpstr>Code</vt:lpstr>
      <vt:lpstr>All Sales csv</vt:lpstr>
      <vt:lpstr>Sales csv</vt:lpstr>
      <vt:lpstr>Cancels csv</vt:lpstr>
      <vt:lpstr>IM Cancels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Bowen, Benjamin</dc:creator>
  <cp:lastModifiedBy>Bowen, Benjamin</cp:lastModifiedBy>
  <dcterms:created xsi:type="dcterms:W3CDTF">2015-06-05T18:17:20Z</dcterms:created>
  <dcterms:modified xsi:type="dcterms:W3CDTF">2026-05-11T16:23:07Z</dcterms:modified>
</cp:coreProperties>
</file>