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enjamin.bowen\Repos\Sql-Queries\"/>
    </mc:Choice>
  </mc:AlternateContent>
  <xr:revisionPtr revIDLastSave="0" documentId="13_ncr:1_{374A21AB-C249-443E-85E4-A992887BD666}" xr6:coauthVersionLast="47" xr6:coauthVersionMax="47" xr10:uidLastSave="{00000000-0000-0000-0000-000000000000}"/>
  <bookViews>
    <workbookView xWindow="828" yWindow="-108" windowWidth="22320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27" i="1"/>
  <c r="B27" i="1"/>
  <c r="E25" i="1"/>
  <c r="E24" i="1"/>
  <c r="E23" i="1"/>
  <c r="E26" i="1" s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2" i="1"/>
  <c r="E20" i="1" l="1"/>
</calcChain>
</file>

<file path=xl/sharedStrings.xml><?xml version="1.0" encoding="utf-8"?>
<sst xmlns="http://schemas.openxmlformats.org/spreadsheetml/2006/main" count="43" uniqueCount="33">
  <si>
    <t>Ad ext</t>
  </si>
  <si>
    <t>gad</t>
  </si>
  <si>
    <t>Gads</t>
  </si>
  <si>
    <t>direct</t>
  </si>
  <si>
    <t>elocal</t>
  </si>
  <si>
    <t>email</t>
  </si>
  <si>
    <t xml:space="preserve">fb </t>
  </si>
  <si>
    <t>fb</t>
  </si>
  <si>
    <t>gmb</t>
  </si>
  <si>
    <t>goodzer</t>
  </si>
  <si>
    <t>lsa</t>
  </si>
  <si>
    <t xml:space="preserve">organic </t>
  </si>
  <si>
    <t>organic</t>
  </si>
  <si>
    <t>wgl</t>
  </si>
  <si>
    <t>website</t>
  </si>
  <si>
    <t>local biz</t>
  </si>
  <si>
    <t>meta</t>
  </si>
  <si>
    <t>nextdoor</t>
  </si>
  <si>
    <t>others</t>
  </si>
  <si>
    <t>pest net</t>
  </si>
  <si>
    <t>pestnet</t>
  </si>
  <si>
    <t>ring local</t>
  </si>
  <si>
    <t>lsa text</t>
  </si>
  <si>
    <t>Leadferno</t>
  </si>
  <si>
    <t>leadferno</t>
  </si>
  <si>
    <t>Contact Forms</t>
  </si>
  <si>
    <t>contact forms</t>
  </si>
  <si>
    <t>MSP Source</t>
  </si>
  <si>
    <t>MSP Leads</t>
  </si>
  <si>
    <t>IM Source</t>
  </si>
  <si>
    <t>IM Leads</t>
  </si>
  <si>
    <t>Total leads</t>
  </si>
  <si>
    <t>IM minus MSP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</si>
</sst>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0" fontId="0" fillId="0" borderId="0" xfId="2" applyNumberFormat="1" applyFont="1"/>
    <xf numFmtId="0" fontId="0" fillId="0" borderId="0" xfId="0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28" sqref="E28"/>
    </sheetView>
  </sheetViews>
  <sheetFormatPr defaultRowHeight="15" x14ac:dyDescent="0.25"/>
  <cols>
    <col min="1" max="1" width="11.28515625" bestFit="1" customWidth="1"/>
    <col min="2" max="2" width="10.28515625" bestFit="1" customWidth="1"/>
    <col min="3" max="3" width="13.140625" bestFit="1" customWidth="1"/>
    <col min="4" max="4" width="8.7109375" bestFit="1" customWidth="1"/>
    <col min="5" max="5" width="13.5703125" bestFit="1" customWidth="1"/>
  </cols>
  <sheetData>
    <row r="1" spans="1:5" x14ac:dyDescent="0.25">
      <c r="A1" t="s">
        <v>27</v>
      </c>
      <c r="B1" t="s">
        <v>28</v>
      </c>
      <c r="C1" t="s">
        <v>29</v>
      </c>
      <c r="D1" t="s">
        <v>30</v>
      </c>
      <c r="E1" t="s">
        <v>32</v>
      </c>
    </row>
    <row r="2" spans="1:5" x14ac:dyDescent="0.25">
      <c r="A2" s="1" t="s">
        <v>0</v>
      </c>
      <c r="B2" s="1">
        <v>104</v>
      </c>
      <c r="C2" s="1" t="s">
        <v>1</v>
      </c>
      <c r="D2">
        <v>2097</v>
      </c>
      <c r="E2">
        <f>D2-(B2+B3)</f>
        <v>271</v>
      </c>
    </row>
    <row r="3" spans="1:5" x14ac:dyDescent="0.25">
      <c r="A3" s="1" t="s">
        <v>2</v>
      </c>
      <c r="B3" s="1">
        <v>1722</v>
      </c>
      <c r="C3" s="1"/>
    </row>
    <row r="4" spans="1:5" x14ac:dyDescent="0.25">
      <c r="A4" s="1"/>
      <c r="B4" s="1"/>
      <c r="C4" s="1"/>
    </row>
    <row r="5" spans="1:5" x14ac:dyDescent="0.25">
      <c r="A5" s="1" t="s">
        <v>3</v>
      </c>
      <c r="B5" s="1">
        <v>75</v>
      </c>
      <c r="C5" s="1" t="s">
        <v>3</v>
      </c>
      <c r="D5">
        <v>89</v>
      </c>
      <c r="E5">
        <f>D5-B5</f>
        <v>14</v>
      </c>
    </row>
    <row r="6" spans="1:5" x14ac:dyDescent="0.25">
      <c r="A6" s="1" t="s">
        <v>4</v>
      </c>
      <c r="B6" s="1">
        <v>69</v>
      </c>
      <c r="C6" s="2" t="s">
        <v>4</v>
      </c>
      <c r="D6" s="2">
        <v>99</v>
      </c>
      <c r="E6">
        <f>D6-B6</f>
        <v>30</v>
      </c>
    </row>
    <row r="7" spans="1:5" x14ac:dyDescent="0.25">
      <c r="A7" s="1" t="s">
        <v>5</v>
      </c>
      <c r="B7" s="1">
        <v>2</v>
      </c>
      <c r="C7" s="1" t="s">
        <v>5</v>
      </c>
      <c r="D7">
        <v>1</v>
      </c>
      <c r="E7">
        <f>D7-B7</f>
        <v>-1</v>
      </c>
    </row>
    <row r="8" spans="1:5" x14ac:dyDescent="0.25">
      <c r="A8" s="1" t="s">
        <v>6</v>
      </c>
      <c r="B8" s="1">
        <v>4</v>
      </c>
      <c r="C8" s="1" t="s">
        <v>7</v>
      </c>
      <c r="D8">
        <v>3</v>
      </c>
      <c r="E8">
        <f>D8-B8</f>
        <v>-1</v>
      </c>
    </row>
    <row r="9" spans="1:5" x14ac:dyDescent="0.25">
      <c r="A9" s="1" t="s">
        <v>8</v>
      </c>
      <c r="B9" s="1">
        <v>1472</v>
      </c>
      <c r="C9" s="1" t="s">
        <v>8</v>
      </c>
      <c r="D9">
        <v>1607</v>
      </c>
      <c r="E9">
        <f>D9-B9</f>
        <v>135</v>
      </c>
    </row>
    <row r="10" spans="1:5" x14ac:dyDescent="0.25">
      <c r="A10" s="1" t="s">
        <v>9</v>
      </c>
      <c r="B10" s="1">
        <v>96</v>
      </c>
      <c r="C10" s="1" t="s">
        <v>9</v>
      </c>
      <c r="D10">
        <v>108</v>
      </c>
      <c r="E10">
        <f>D10-B10</f>
        <v>12</v>
      </c>
    </row>
    <row r="11" spans="1:5" x14ac:dyDescent="0.25">
      <c r="A11" s="1" t="s">
        <v>10</v>
      </c>
      <c r="B11" s="1">
        <v>1015</v>
      </c>
      <c r="C11" s="1" t="s">
        <v>10</v>
      </c>
      <c r="D11">
        <v>1076</v>
      </c>
      <c r="E11">
        <f>D11-B11</f>
        <v>61</v>
      </c>
    </row>
    <row r="12" spans="1:5" x14ac:dyDescent="0.25">
      <c r="A12" s="1" t="s">
        <v>11</v>
      </c>
      <c r="B12" s="1">
        <v>640</v>
      </c>
      <c r="C12" s="1" t="s">
        <v>12</v>
      </c>
      <c r="D12">
        <v>768</v>
      </c>
      <c r="E12">
        <f>D12-B12</f>
        <v>128</v>
      </c>
    </row>
    <row r="13" spans="1:5" x14ac:dyDescent="0.25">
      <c r="A13" s="3" t="s">
        <v>13</v>
      </c>
      <c r="B13" s="3">
        <v>1317</v>
      </c>
      <c r="C13" s="1" t="s">
        <v>13</v>
      </c>
      <c r="D13">
        <v>1515</v>
      </c>
      <c r="E13">
        <f>D13-B13</f>
        <v>198</v>
      </c>
    </row>
    <row r="14" spans="1:5" x14ac:dyDescent="0.25">
      <c r="A14" s="1" t="s">
        <v>14</v>
      </c>
      <c r="B14" s="1">
        <v>695</v>
      </c>
      <c r="C14" s="1" t="s">
        <v>14</v>
      </c>
      <c r="D14">
        <v>824</v>
      </c>
      <c r="E14">
        <f>D14-B14</f>
        <v>129</v>
      </c>
    </row>
    <row r="15" spans="1:5" x14ac:dyDescent="0.25">
      <c r="A15" s="1" t="s">
        <v>15</v>
      </c>
      <c r="B15" s="1">
        <v>106</v>
      </c>
      <c r="C15" s="1" t="s">
        <v>15</v>
      </c>
      <c r="D15">
        <v>117</v>
      </c>
      <c r="E15">
        <f>D15-B15</f>
        <v>11</v>
      </c>
    </row>
    <row r="16" spans="1:5" x14ac:dyDescent="0.25">
      <c r="A16" s="1" t="s">
        <v>16</v>
      </c>
      <c r="B16" s="1">
        <v>0</v>
      </c>
      <c r="C16" s="1"/>
      <c r="E16">
        <f>D16-B16</f>
        <v>0</v>
      </c>
    </row>
    <row r="17" spans="1:5" x14ac:dyDescent="0.25">
      <c r="A17" s="2" t="s">
        <v>17</v>
      </c>
      <c r="B17" s="2">
        <v>1</v>
      </c>
      <c r="C17" s="3" t="s">
        <v>18</v>
      </c>
      <c r="D17">
        <v>1</v>
      </c>
      <c r="E17">
        <f>D17-B17</f>
        <v>0</v>
      </c>
    </row>
    <row r="18" spans="1:5" x14ac:dyDescent="0.25">
      <c r="A18" s="1" t="s">
        <v>19</v>
      </c>
      <c r="B18" s="1">
        <v>232</v>
      </c>
      <c r="C18" s="1" t="s">
        <v>20</v>
      </c>
      <c r="D18">
        <v>245</v>
      </c>
      <c r="E18">
        <f>D18-B18</f>
        <v>13</v>
      </c>
    </row>
    <row r="19" spans="1:5" x14ac:dyDescent="0.25">
      <c r="A19" s="1" t="s">
        <v>21</v>
      </c>
      <c r="B19" s="1">
        <v>9</v>
      </c>
      <c r="C19" s="1"/>
      <c r="E19">
        <f>D19-B19</f>
        <v>-9</v>
      </c>
    </row>
    <row r="20" spans="1:5" x14ac:dyDescent="0.25">
      <c r="A20" s="1"/>
      <c r="B20" s="1"/>
      <c r="C20" s="1"/>
      <c r="E20">
        <f>SUM(E2:E19)</f>
        <v>991</v>
      </c>
    </row>
    <row r="21" spans="1:5" x14ac:dyDescent="0.25">
      <c r="A21" s="1"/>
      <c r="B21" s="1"/>
      <c r="C21" s="1"/>
    </row>
    <row r="22" spans="1:5" x14ac:dyDescent="0.25">
      <c r="A22" s="1"/>
      <c r="B22" s="1"/>
      <c r="C22" s="1"/>
    </row>
    <row r="23" spans="1:5" x14ac:dyDescent="0.25">
      <c r="A23" s="3" t="s">
        <v>22</v>
      </c>
      <c r="B23" s="3">
        <v>0</v>
      </c>
      <c r="C23" s="1" t="s">
        <v>22</v>
      </c>
      <c r="D23">
        <v>213</v>
      </c>
      <c r="E23">
        <f>D23-B23</f>
        <v>213</v>
      </c>
    </row>
    <row r="24" spans="1:5" ht="30" x14ac:dyDescent="0.25">
      <c r="A24" s="3" t="s">
        <v>23</v>
      </c>
      <c r="B24" s="3">
        <v>0</v>
      </c>
      <c r="C24" s="1" t="s">
        <v>24</v>
      </c>
      <c r="D24">
        <v>293</v>
      </c>
      <c r="E24">
        <f>D24-B24</f>
        <v>293</v>
      </c>
    </row>
    <row r="25" spans="1:5" ht="30" x14ac:dyDescent="0.25">
      <c r="A25" s="3" t="s">
        <v>25</v>
      </c>
      <c r="B25" s="3">
        <v>0</v>
      </c>
      <c r="C25" s="1" t="s">
        <v>26</v>
      </c>
      <c r="D25">
        <v>393</v>
      </c>
      <c r="E25">
        <f>D25-B25</f>
        <v>393</v>
      </c>
    </row>
    <row r="26" spans="1:5" x14ac:dyDescent="0.25">
      <c r="A26" s="1"/>
      <c r="B26" s="1"/>
      <c r="C26" s="1"/>
      <c r="E26">
        <f>SUM(E23:E25)</f>
        <v>899</v>
      </c>
    </row>
    <row r="27" spans="1:5" x14ac:dyDescent="0.25">
      <c r="A27" s="3" t="s">
        <v>31</v>
      </c>
      <c r="B27">
        <f>SUM(B2:B25)</f>
        <v>7559</v>
      </c>
      <c r="D27">
        <f>SUM(D2:D25)</f>
        <v>9449</v>
      </c>
      <c r="E27">
        <f>E26+E20</f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>Bowen, Benjamin</cp:lastModifiedBy>
  <dcterms:created xsi:type="dcterms:W3CDTF">2015-06-05T18:17:20Z</dcterms:created>
  <dcterms:modified xsi:type="dcterms:W3CDTF">2024-10-17T03:48:09Z</dcterms:modified>
</cp:coreProperties>
</file>